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ções" sheetId="1" state="visible" r:id="rId1"/>
    <sheet name="Janeiro" sheetId="2" state="visible" r:id="rId2"/>
    <sheet name="Fevereiro" sheetId="3" state="visible" r:id="rId3"/>
    <sheet name="Março" sheetId="4" state="visible" r:id="rId4"/>
    <sheet name="Abril" sheetId="5" state="visible" r:id="rId5"/>
    <sheet name="Maio" sheetId="6" state="visible" r:id="rId6"/>
    <sheet name="Junho" sheetId="7" state="visible" r:id="rId7"/>
    <sheet name="Julho" sheetId="8" state="visible" r:id="rId8"/>
    <sheet name="Agosto" sheetId="9" state="visible" r:id="rId9"/>
    <sheet name="Setembro" sheetId="10" state="visible" r:id="rId10"/>
    <sheet name="Outubro" sheetId="11" state="visible" r:id="rId11"/>
    <sheet name="Novembro" sheetId="12" state="visible" r:id="rId12"/>
    <sheet name="Dezembro" sheetId="13" state="visible" r:id="rId13"/>
  </sheets>
  <definedNames>
    <definedName name="_xlnm._FilterDatabase" localSheetId="1" hidden="1">'Janeiro'!$A$66:$JZ$79</definedName>
    <definedName name="_xlnm._FilterDatabase" localSheetId="2" hidden="1">'Fevereiro'!$A$66:$JZ$79</definedName>
    <definedName name="_xlnm._FilterDatabase" localSheetId="3" hidden="1">'Março'!$A$66:$JZ$79</definedName>
    <definedName name="_xlnm._FilterDatabase" localSheetId="4" hidden="1">'Abril'!$A$66:$JZ$79</definedName>
    <definedName name="_xlnm._FilterDatabase" localSheetId="5" hidden="1">'Maio'!$A$66:$JZ$79</definedName>
    <definedName name="_xlnm._FilterDatabase" localSheetId="6" hidden="1">'Junho'!$A$66:$JZ$79</definedName>
    <definedName name="_xlnm._FilterDatabase" localSheetId="7" hidden="1">'Julho'!$A$66:$JZ$79</definedName>
    <definedName name="_xlnm._FilterDatabase" localSheetId="8" hidden="1">'Agosto'!$A$66:$JZ$79</definedName>
    <definedName name="_xlnm._FilterDatabase" localSheetId="9" hidden="1">'Setembro'!$A$66:$JZ$79</definedName>
    <definedName name="_xlnm._FilterDatabase" localSheetId="10" hidden="1">'Outubro'!$A$66:$JZ$79</definedName>
    <definedName name="_xlnm._FilterDatabase" localSheetId="11" hidden="1">'Novembro'!$A$66:$JZ$79</definedName>
    <definedName name="_xlnm._FilterDatabase" localSheetId="12" hidden="1">'Dezembro'!$A$66:$JZ$79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R$ #,##0.00;[RED]-R$ #,##0.00"/>
    <numFmt numFmtId="166" formatCode="dd/mm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i val="1"/>
      <color rgb="00595959"/>
      <sz val="9"/>
    </font>
    <font>
      <b val="1"/>
      <color rgb="001F3864"/>
      <sz val="11"/>
    </font>
    <font>
      <b val="1"/>
      <color rgb="001E7145"/>
      <sz val="12"/>
    </font>
    <font>
      <name val="Calibri"/>
      <b val="1"/>
      <color rgb="00FFFFFF"/>
      <sz val="10"/>
    </font>
    <font>
      <b val="1"/>
      <color rgb="001F3864"/>
      <sz val="10"/>
    </font>
    <font>
      <b val="1"/>
      <sz val="10"/>
    </font>
    <font>
      <sz val="10"/>
    </font>
    <font>
      <name val="Calibri"/>
      <b val="1"/>
      <color rgb="00FFFFFF"/>
      <sz val="15"/>
    </font>
    <font>
      <i val="1"/>
      <sz val="8"/>
    </font>
    <font>
      <b val="1"/>
      <sz val="8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1F3864"/>
      <sz val="12"/>
    </font>
    <font>
      <name val="Calibri"/>
      <b val="1"/>
      <color rgb="001F3864"/>
      <sz val="10"/>
    </font>
    <font>
      <b val="1"/>
      <sz val="9"/>
    </font>
    <font>
      <sz val="8"/>
    </font>
    <font>
      <name val="Calibri"/>
      <b val="1"/>
      <color rgb="00FFFFFF"/>
      <sz val="8"/>
    </font>
    <font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5395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E4C9A6"/>
      </patternFill>
    </fill>
    <fill>
      <patternFill patternType="solid">
        <fgColor rgb="00E2F0D9"/>
      </patternFill>
    </fill>
    <fill>
      <patternFill patternType="solid">
        <fgColor rgb="00C55A11"/>
      </patternFill>
    </fill>
    <fill>
      <patternFill patternType="solid">
        <fgColor rgb="00FFFDE7"/>
      </patternFill>
    </fill>
    <fill>
      <patternFill patternType="solid">
        <fgColor rgb="00FCE9D8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2E5395"/>
      </left>
      <right style="medium">
        <color rgb="002E5395"/>
      </right>
      <top style="medium">
        <color rgb="002E5395"/>
      </top>
      <bottom style="medium">
        <color rgb="002E5395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2E5395"/>
      </left>
      <right style="thin">
        <color rgb="002E5395"/>
      </right>
      <top style="thin">
        <color rgb="002E5395"/>
      </top>
      <bottom style="thin">
        <color rgb="002E5395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indent="1"/>
    </xf>
    <xf numFmtId="1" fontId="4" fillId="4" borderId="2" applyAlignment="1" applyProtection="1" pivotButton="0" quotePrefix="0" xfId="0">
      <alignment horizontal="center" vertical="center"/>
      <protection locked="0" hidden="0"/>
    </xf>
    <xf numFmtId="0" fontId="5" fillId="2" borderId="3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4" applyAlignment="1" applyProtection="1" pivotButton="0" quotePrefix="0" xfId="0">
      <alignment horizontal="left" vertical="center" indent="1"/>
      <protection locked="0" hidden="0"/>
    </xf>
    <xf numFmtId="164" fontId="8" fillId="4" borderId="4" applyAlignment="1" applyProtection="1" pivotButton="0" quotePrefix="0" xfId="0">
      <alignment horizontal="right" vertical="center"/>
      <protection locked="0" hidden="0"/>
    </xf>
    <xf numFmtId="0" fontId="6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9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17" fillId="0" borderId="0" pivotButton="0" quotePrefix="0" xfId="0"/>
    <xf numFmtId="166" fontId="17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13" fillId="6" borderId="3" applyAlignment="1" pivotButton="0" quotePrefix="0" xfId="0">
      <alignment horizontal="center" vertical="center" wrapText="1"/>
    </xf>
    <xf numFmtId="164" fontId="14" fillId="3" borderId="3" applyAlignment="1" pivotButton="0" quotePrefix="0" xfId="0">
      <alignment horizontal="center" vertical="center" wrapText="1"/>
    </xf>
    <xf numFmtId="0" fontId="15" fillId="3" borderId="3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164" fontId="0" fillId="7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indent="1"/>
    </xf>
    <xf numFmtId="164" fontId="0" fillId="8" borderId="1" applyAlignment="1" pivotButton="0" quotePrefix="0" xfId="0">
      <alignment horizontal="right" vertical="center"/>
    </xf>
    <xf numFmtId="165" fontId="0" fillId="8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1"/>
    </xf>
    <xf numFmtId="164" fontId="0" fillId="9" borderId="1" applyAlignment="1" pivotButton="0" quotePrefix="0" xfId="0">
      <alignment horizontal="right" vertical="center"/>
    </xf>
    <xf numFmtId="165" fontId="0" fillId="9" borderId="1" applyAlignment="1" pivotButton="0" quotePrefix="0" xfId="0">
      <alignment horizontal="right" vertical="center"/>
    </xf>
    <xf numFmtId="0" fontId="1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indent="1"/>
    </xf>
    <xf numFmtId="164" fontId="0" fillId="10" borderId="1" applyAlignment="1" pivotButton="0" quotePrefix="0" xfId="0">
      <alignment horizontal="right" vertical="center"/>
    </xf>
    <xf numFmtId="165" fontId="0" fillId="10" borderId="1" applyAlignment="1" pivotButton="0" quotePrefix="0" xfId="0">
      <alignment horizontal="right" vertical="center"/>
    </xf>
    <xf numFmtId="0" fontId="16" fillId="1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indent="1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0" fontId="1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164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0" fontId="16" fillId="4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 indent="1"/>
    </xf>
    <xf numFmtId="0" fontId="12" fillId="2" borderId="3" applyAlignment="1" pivotButton="0" quotePrefix="0" xfId="0">
      <alignment horizontal="center" vertical="center" wrapText="1"/>
    </xf>
    <xf numFmtId="0" fontId="18" fillId="11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7" fillId="3" borderId="4" applyAlignment="1" pivotButton="0" quotePrefix="0" xfId="0">
      <alignment horizontal="left" vertical="center" indent="1"/>
    </xf>
    <xf numFmtId="164" fontId="0" fillId="12" borderId="1" applyAlignment="1" applyProtection="1" pivotButton="0" quotePrefix="0" xfId="0">
      <alignment horizontal="right" vertical="center"/>
      <protection locked="0" hidden="0"/>
    </xf>
    <xf numFmtId="164" fontId="19" fillId="4" borderId="1" applyAlignment="1" pivotButton="0" quotePrefix="0" xfId="0">
      <alignment horizontal="right" vertical="center"/>
    </xf>
    <xf numFmtId="165" fontId="0" fillId="12" borderId="1" applyAlignment="1" applyProtection="1" pivotButton="0" quotePrefix="0" xfId="0">
      <alignment horizontal="right" vertical="center"/>
      <protection locked="0" hidden="0"/>
    </xf>
    <xf numFmtId="164" fontId="6" fillId="4" borderId="1" applyAlignment="1" pivotButton="0" quotePrefix="0" xfId="0">
      <alignment horizontal="right" vertical="center"/>
    </xf>
    <xf numFmtId="0" fontId="0" fillId="12" borderId="1" applyAlignment="1" applyProtection="1" pivotButton="0" quotePrefix="0" xfId="0">
      <alignment horizontal="left" vertical="center" indent="1"/>
      <protection locked="0" hidden="0"/>
    </xf>
    <xf numFmtId="164" fontId="0" fillId="13" borderId="1" applyAlignment="1" pivotButton="0" quotePrefix="0" xfId="0">
      <alignment horizontal="right" vertical="center"/>
    </xf>
    <xf numFmtId="165" fontId="0" fillId="13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right" vertical="center"/>
    </xf>
    <xf numFmtId="164" fontId="19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ont>
        <b val="1"/>
        <color rgb="001E7145"/>
      </font>
      <fill>
        <patternFill patternType="solid">
          <fgColor rgb="00E2F0D9"/>
        </patternFill>
      </fill>
    </dxf>
    <dxf>
      <font>
        <i val="1"/>
        <color rgb="009B9B9B"/>
      </font>
      <fill>
        <patternFill patternType="solid">
          <fgColor rgb="00D9D9D9"/>
        </patternFill>
      </fill>
    </dxf>
    <dxf>
      <font>
        <b val="1"/>
        <color rgb="001E7145"/>
      </font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Ranking de Assessores — Produção Total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'Janeiro'!C13</f>
            </strRef>
          </tx>
          <spPr>
            <a:solidFill>
              <a:srgbClr val="2E5395"/>
            </a:solidFill>
            <a:ln>
              <a:prstDash val="solid"/>
            </a:ln>
          </spPr>
          <cat>
            <numRef>
              <f>'Janeiro'!$B$14:$B$26</f>
            </numRef>
          </cat>
          <val>
            <numRef>
              <f>'Janeiro'!$C$14:$C$26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Comparativo — Captação Líquida por Assessor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'Janeiro'!D13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'Janeiro'!$B$14:$B$26</f>
            </numRef>
          </cat>
          <val>
            <numRef>
              <f>'Janeiro'!$D$14:$D$26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Diária — Produção e Captação</a:t>
            </a:r>
          </a:p>
        </rich>
      </tx>
    </title>
    <plotArea>
      <lineChart>
        <grouping val="standard"/>
        <ser>
          <idx val="0"/>
          <order val="0"/>
          <tx>
            <strRef>
              <f>'Janeiro'!KE1</f>
            </strRef>
          </tx>
          <spPr>
            <a:ln>
              <a:solidFill>
                <a:srgbClr val="1E71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'Janeiro'!$KC$2:$KC$32</f>
            </numRef>
          </cat>
          <val>
            <numRef>
              <f>'Janeiro'!$KE$2:$KE$32</f>
            </numRef>
          </val>
          <smooth val="0"/>
        </ser>
        <ser>
          <idx val="1"/>
          <order val="1"/>
          <tx>
            <strRef>
              <f>'Janeiro'!KF1</f>
            </strRef>
          </tx>
          <spPr>
            <a:ln>
              <a:solidFill>
                <a:srgbClr val="C55A1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'Janeiro'!$KC$2:$KC$32</f>
            </numRef>
          </cat>
          <val>
            <numRef>
              <f>'Janeiro'!$KF$2:$KF$32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Dia do 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Participação por Produto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'Janeiro'!$KH$2:$KH$5</f>
            </numRef>
          </cat>
          <val>
            <numRef>
              <f>'Janeiro'!$KI$2:$KI$5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Ranking de Assessores — Produção Total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'Fevereiro'!C13</f>
            </strRef>
          </tx>
          <spPr>
            <a:solidFill>
              <a:srgbClr val="2E5395"/>
            </a:solidFill>
            <a:ln>
              <a:prstDash val="solid"/>
            </a:ln>
          </spPr>
          <cat>
            <numRef>
              <f>'Fevereiro'!$B$14:$B$26</f>
            </numRef>
          </cat>
          <val>
            <numRef>
              <f>'Fevereiro'!$C$14:$C$26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Comparativo — Captação Líquida por Assessor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'Fevereiro'!D13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'Fevereiro'!$B$14:$B$26</f>
            </numRef>
          </cat>
          <val>
            <numRef>
              <f>'Fevereiro'!$D$14:$D$26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Diária — Produção e Captação</a:t>
            </a:r>
          </a:p>
        </rich>
      </tx>
    </title>
    <plotArea>
      <lineChart>
        <grouping val="standard"/>
        <ser>
          <idx val="0"/>
          <order val="0"/>
          <tx>
            <strRef>
              <f>'Fevereiro'!KE1</f>
            </strRef>
          </tx>
          <spPr>
            <a:ln>
              <a:solidFill>
                <a:srgbClr val="1E71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'Fevereiro'!$KC$2:$KC$32</f>
            </numRef>
          </cat>
          <val>
            <numRef>
              <f>'Fevereiro'!$KE$2:$KE$32</f>
            </numRef>
          </val>
          <smooth val="0"/>
        </ser>
        <ser>
          <idx val="1"/>
          <order val="1"/>
          <tx>
            <strRef>
              <f>'Fevereiro'!KF1</f>
            </strRef>
          </tx>
          <spPr>
            <a:ln>
              <a:solidFill>
                <a:srgbClr val="C55A1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'Fevereiro'!$KC$2:$KC$32</f>
            </numRef>
          </cat>
          <val>
            <numRef>
              <f>'Fevereiro'!$KF$2:$KF$32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Dia do 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Participação por Produto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'Fevereiro'!$KH$2:$KH$5</f>
            </numRef>
          </cat>
          <val>
            <numRef>
              <f>'Fevereiro'!$KI$2:$KI$5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Ranking de Assessores — Produção Total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'Março'!C13</f>
            </strRef>
          </tx>
          <spPr>
            <a:solidFill>
              <a:srgbClr val="2E5395"/>
            </a:solidFill>
            <a:ln>
              <a:prstDash val="solid"/>
            </a:ln>
          </spPr>
          <cat>
            <numRef>
              <f>'Março'!$B$14:$B$26</f>
            </numRef>
          </cat>
          <val>
            <numRef>
              <f>'Março'!$C$14:$C$26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Comparativo — Captação Líquida por Assessor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'Março'!D13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'Março'!$B$14:$B$26</f>
            </numRef>
          </cat>
          <val>
            <numRef>
              <f>'Março'!$D$14:$D$26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Diária — Produção e Captação</a:t>
            </a:r>
          </a:p>
        </rich>
      </tx>
    </title>
    <plotArea>
      <lineChart>
        <grouping val="standard"/>
        <ser>
          <idx val="0"/>
          <order val="0"/>
          <tx>
            <strRef>
              <f>'Março'!KE1</f>
            </strRef>
          </tx>
          <spPr>
            <a:ln>
              <a:solidFill>
                <a:srgbClr val="1E71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'Março'!$KC$2:$KC$32</f>
            </numRef>
          </cat>
          <val>
            <numRef>
              <f>'Março'!$KE$2:$KE$32</f>
            </numRef>
          </val>
          <smooth val="0"/>
        </ser>
        <ser>
          <idx val="1"/>
          <order val="1"/>
          <tx>
            <strRef>
              <f>'Março'!KF1</f>
            </strRef>
          </tx>
          <spPr>
            <a:ln>
              <a:solidFill>
                <a:srgbClr val="C55A1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'Março'!$KC$2:$KC$32</f>
            </numRef>
          </cat>
          <val>
            <numRef>
              <f>'Março'!$KF$2:$KF$32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Dia do 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Participação por Produto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'Março'!$KH$2:$KH$5</f>
            </numRef>
          </cat>
          <val>
            <numRef>
              <f>'Março'!$KI$2:$KI$5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Ranking de Assessores — Produção Total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'Abril'!C13</f>
            </strRef>
          </tx>
          <spPr>
            <a:solidFill>
              <a:srgbClr val="2E5395"/>
            </a:solidFill>
            <a:ln>
              <a:prstDash val="solid"/>
            </a:ln>
          </spPr>
          <cat>
            <numRef>
              <f>'Abril'!$B$14:$B$26</f>
            </numRef>
          </cat>
          <val>
            <numRef>
              <f>'Abril'!$C$14:$C$26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Comparativo — Captação Líquida por Assessor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'Abril'!D13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'Abril'!$B$14:$B$26</f>
            </numRef>
          </cat>
          <val>
            <numRef>
              <f>'Abril'!$D$14:$D$26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Diária — Produção e Captação</a:t>
            </a:r>
          </a:p>
        </rich>
      </tx>
    </title>
    <plotArea>
      <lineChart>
        <grouping val="standard"/>
        <ser>
          <idx val="0"/>
          <order val="0"/>
          <tx>
            <strRef>
              <f>'Abril'!KE1</f>
            </strRef>
          </tx>
          <spPr>
            <a:ln>
              <a:solidFill>
                <a:srgbClr val="1E71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'Abril'!$KC$2:$KC$32</f>
            </numRef>
          </cat>
          <val>
            <numRef>
              <f>'Abril'!$KE$2:$KE$32</f>
            </numRef>
          </val>
          <smooth val="0"/>
        </ser>
        <ser>
          <idx val="1"/>
          <order val="1"/>
          <tx>
            <strRef>
              <f>'Abril'!KF1</f>
            </strRef>
          </tx>
          <spPr>
            <a:ln>
              <a:solidFill>
                <a:srgbClr val="C55A1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'Abril'!$KC$2:$KC$32</f>
            </numRef>
          </cat>
          <val>
            <numRef>
              <f>'Abril'!$KF$2:$KF$32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Dia do 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Participação por Produto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'Abril'!$KH$2:$KH$5</f>
            </numRef>
          </cat>
          <val>
            <numRef>
              <f>'Abril'!$KI$2:$KI$5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Ranking de Assessores — Produção Total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'Maio'!C13</f>
            </strRef>
          </tx>
          <spPr>
            <a:solidFill>
              <a:srgbClr val="2E5395"/>
            </a:solidFill>
            <a:ln>
              <a:prstDash val="solid"/>
            </a:ln>
          </spPr>
          <cat>
            <numRef>
              <f>'Maio'!$B$14:$B$26</f>
            </numRef>
          </cat>
          <val>
            <numRef>
              <f>'Maio'!$C$14:$C$26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Comparativo — Captação Líquida por Assessor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'Maio'!D13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'Maio'!$B$14:$B$26</f>
            </numRef>
          </cat>
          <val>
            <numRef>
              <f>'Maio'!$D$14:$D$26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Diária — Produção e Captação</a:t>
            </a:r>
          </a:p>
        </rich>
      </tx>
    </title>
    <plotArea>
      <lineChart>
        <grouping val="standard"/>
        <ser>
          <idx val="0"/>
          <order val="0"/>
          <tx>
            <strRef>
              <f>'Maio'!KE1</f>
            </strRef>
          </tx>
          <spPr>
            <a:ln>
              <a:solidFill>
                <a:srgbClr val="1E71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'Maio'!$KC$2:$KC$32</f>
            </numRef>
          </cat>
          <val>
            <numRef>
              <f>'Maio'!$KE$2:$KE$32</f>
            </numRef>
          </val>
          <smooth val="0"/>
        </ser>
        <ser>
          <idx val="1"/>
          <order val="1"/>
          <tx>
            <strRef>
              <f>'Maio'!KF1</f>
            </strRef>
          </tx>
          <spPr>
            <a:ln>
              <a:solidFill>
                <a:srgbClr val="C55A1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'Maio'!$KC$2:$KC$32</f>
            </numRef>
          </cat>
          <val>
            <numRef>
              <f>'Maio'!$KF$2:$KF$32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Dia do 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Participação por Produto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'Maio'!$KH$2:$KH$5</f>
            </numRef>
          </cat>
          <val>
            <numRef>
              <f>'Maio'!$KI$2:$KI$5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Ranking de Assessores — Produção Total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'Junho'!C13</f>
            </strRef>
          </tx>
          <spPr>
            <a:solidFill>
              <a:srgbClr val="2E5395"/>
            </a:solidFill>
            <a:ln>
              <a:prstDash val="solid"/>
            </a:ln>
          </spPr>
          <cat>
            <numRef>
              <f>'Junho'!$B$14:$B$26</f>
            </numRef>
          </cat>
          <val>
            <numRef>
              <f>'Junho'!$C$14:$C$26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Comparativo — Captação Líquida por Assessor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'Junho'!D13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'Junho'!$B$14:$B$26</f>
            </numRef>
          </cat>
          <val>
            <numRef>
              <f>'Junho'!$D$14:$D$26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Diária — Produção e Captação</a:t>
            </a:r>
          </a:p>
        </rich>
      </tx>
    </title>
    <plotArea>
      <lineChart>
        <grouping val="standard"/>
        <ser>
          <idx val="0"/>
          <order val="0"/>
          <tx>
            <strRef>
              <f>'Junho'!KE1</f>
            </strRef>
          </tx>
          <spPr>
            <a:ln>
              <a:solidFill>
                <a:srgbClr val="1E71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'Junho'!$KC$2:$KC$32</f>
            </numRef>
          </cat>
          <val>
            <numRef>
              <f>'Junho'!$KE$2:$KE$32</f>
            </numRef>
          </val>
          <smooth val="0"/>
        </ser>
        <ser>
          <idx val="1"/>
          <order val="1"/>
          <tx>
            <strRef>
              <f>'Junho'!KF1</f>
            </strRef>
          </tx>
          <spPr>
            <a:ln>
              <a:solidFill>
                <a:srgbClr val="C55A1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'Junho'!$KC$2:$KC$32</f>
            </numRef>
          </cat>
          <val>
            <numRef>
              <f>'Junho'!$KF$2:$KF$32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Dia do 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Participação por Produto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'Junho'!$KH$2:$KH$5</f>
            </numRef>
          </cat>
          <val>
            <numRef>
              <f>'Junho'!$KI$2:$KI$5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Ranking de Assessores — Produção Total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'Julho'!C13</f>
            </strRef>
          </tx>
          <spPr>
            <a:solidFill>
              <a:srgbClr val="2E5395"/>
            </a:solidFill>
            <a:ln>
              <a:prstDash val="solid"/>
            </a:ln>
          </spPr>
          <cat>
            <numRef>
              <f>'Julho'!$B$14:$B$26</f>
            </numRef>
          </cat>
          <val>
            <numRef>
              <f>'Julho'!$C$14:$C$26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Comparativo — Captação Líquida por Assessor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'Julho'!D13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'Julho'!$B$14:$B$26</f>
            </numRef>
          </cat>
          <val>
            <numRef>
              <f>'Julho'!$D$14:$D$26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Diária — Produção e Captação</a:t>
            </a:r>
          </a:p>
        </rich>
      </tx>
    </title>
    <plotArea>
      <lineChart>
        <grouping val="standard"/>
        <ser>
          <idx val="0"/>
          <order val="0"/>
          <tx>
            <strRef>
              <f>'Julho'!KE1</f>
            </strRef>
          </tx>
          <spPr>
            <a:ln>
              <a:solidFill>
                <a:srgbClr val="1E71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'Julho'!$KC$2:$KC$32</f>
            </numRef>
          </cat>
          <val>
            <numRef>
              <f>'Julho'!$KE$2:$KE$32</f>
            </numRef>
          </val>
          <smooth val="0"/>
        </ser>
        <ser>
          <idx val="1"/>
          <order val="1"/>
          <tx>
            <strRef>
              <f>'Julho'!KF1</f>
            </strRef>
          </tx>
          <spPr>
            <a:ln>
              <a:solidFill>
                <a:srgbClr val="C55A1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'Julho'!$KC$2:$KC$32</f>
            </numRef>
          </cat>
          <val>
            <numRef>
              <f>'Julho'!$KF$2:$KF$32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Dia do 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Participação por Produto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'Julho'!$KH$2:$KH$5</f>
            </numRef>
          </cat>
          <val>
            <numRef>
              <f>'Julho'!$KI$2:$KI$5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Ranking de Assessores — Produção Total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'Agosto'!C13</f>
            </strRef>
          </tx>
          <spPr>
            <a:solidFill>
              <a:srgbClr val="2E5395"/>
            </a:solidFill>
            <a:ln>
              <a:prstDash val="solid"/>
            </a:ln>
          </spPr>
          <cat>
            <numRef>
              <f>'Agosto'!$B$14:$B$26</f>
            </numRef>
          </cat>
          <val>
            <numRef>
              <f>'Agosto'!$C$14:$C$26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Comparativo — Captação Líquida por Assessor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'Agosto'!D13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'Agosto'!$B$14:$B$26</f>
            </numRef>
          </cat>
          <val>
            <numRef>
              <f>'Agosto'!$D$14:$D$26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Diária — Produção e Captação</a:t>
            </a:r>
          </a:p>
        </rich>
      </tx>
    </title>
    <plotArea>
      <lineChart>
        <grouping val="standard"/>
        <ser>
          <idx val="0"/>
          <order val="0"/>
          <tx>
            <strRef>
              <f>'Agosto'!KE1</f>
            </strRef>
          </tx>
          <spPr>
            <a:ln>
              <a:solidFill>
                <a:srgbClr val="1E71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'Agosto'!$KC$2:$KC$32</f>
            </numRef>
          </cat>
          <val>
            <numRef>
              <f>'Agosto'!$KE$2:$KE$32</f>
            </numRef>
          </val>
          <smooth val="0"/>
        </ser>
        <ser>
          <idx val="1"/>
          <order val="1"/>
          <tx>
            <strRef>
              <f>'Agosto'!KF1</f>
            </strRef>
          </tx>
          <spPr>
            <a:ln>
              <a:solidFill>
                <a:srgbClr val="C55A1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'Agosto'!$KC$2:$KC$32</f>
            </numRef>
          </cat>
          <val>
            <numRef>
              <f>'Agosto'!$KF$2:$KF$32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Dia do 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Participação por Produto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'Agosto'!$KH$2:$KH$5</f>
            </numRef>
          </cat>
          <val>
            <numRef>
              <f>'Agosto'!$KI$2:$KI$5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Ranking de Assessores — Produção Total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'Setembro'!C13</f>
            </strRef>
          </tx>
          <spPr>
            <a:solidFill>
              <a:srgbClr val="2E5395"/>
            </a:solidFill>
            <a:ln>
              <a:prstDash val="solid"/>
            </a:ln>
          </spPr>
          <cat>
            <numRef>
              <f>'Setembro'!$B$14:$B$26</f>
            </numRef>
          </cat>
          <val>
            <numRef>
              <f>'Setembro'!$C$14:$C$26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Comparativo — Captação Líquida por Assessor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'Setembro'!D13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'Setembro'!$B$14:$B$26</f>
            </numRef>
          </cat>
          <val>
            <numRef>
              <f>'Setembro'!$D$14:$D$26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Diária — Produção e Captação</a:t>
            </a:r>
          </a:p>
        </rich>
      </tx>
    </title>
    <plotArea>
      <lineChart>
        <grouping val="standard"/>
        <ser>
          <idx val="0"/>
          <order val="0"/>
          <tx>
            <strRef>
              <f>'Setembro'!KE1</f>
            </strRef>
          </tx>
          <spPr>
            <a:ln>
              <a:solidFill>
                <a:srgbClr val="1E71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'Setembro'!$KC$2:$KC$32</f>
            </numRef>
          </cat>
          <val>
            <numRef>
              <f>'Setembro'!$KE$2:$KE$32</f>
            </numRef>
          </val>
          <smooth val="0"/>
        </ser>
        <ser>
          <idx val="1"/>
          <order val="1"/>
          <tx>
            <strRef>
              <f>'Setembro'!KF1</f>
            </strRef>
          </tx>
          <spPr>
            <a:ln>
              <a:solidFill>
                <a:srgbClr val="C55A1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'Setembro'!$KC$2:$KC$32</f>
            </numRef>
          </cat>
          <val>
            <numRef>
              <f>'Setembro'!$KF$2:$KF$32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Dia do 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Participação por Produto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'Setembro'!$KH$2:$KH$5</f>
            </numRef>
          </cat>
          <val>
            <numRef>
              <f>'Setembro'!$KI$2:$KI$5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Ranking de Assessores — Produção Total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'Outubro'!C13</f>
            </strRef>
          </tx>
          <spPr>
            <a:solidFill>
              <a:srgbClr val="2E5395"/>
            </a:solidFill>
            <a:ln>
              <a:prstDash val="solid"/>
            </a:ln>
          </spPr>
          <cat>
            <numRef>
              <f>'Outubro'!$B$14:$B$26</f>
            </numRef>
          </cat>
          <val>
            <numRef>
              <f>'Outubro'!$C$14:$C$26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Comparativo — Captação Líquida por Assessor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'Outubro'!D13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'Outubro'!$B$14:$B$26</f>
            </numRef>
          </cat>
          <val>
            <numRef>
              <f>'Outubro'!$D$14:$D$26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Diária — Produção e Captação</a:t>
            </a:r>
          </a:p>
        </rich>
      </tx>
    </title>
    <plotArea>
      <lineChart>
        <grouping val="standard"/>
        <ser>
          <idx val="0"/>
          <order val="0"/>
          <tx>
            <strRef>
              <f>'Outubro'!KE1</f>
            </strRef>
          </tx>
          <spPr>
            <a:ln>
              <a:solidFill>
                <a:srgbClr val="1E71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'Outubro'!$KC$2:$KC$32</f>
            </numRef>
          </cat>
          <val>
            <numRef>
              <f>'Outubro'!$KE$2:$KE$32</f>
            </numRef>
          </val>
          <smooth val="0"/>
        </ser>
        <ser>
          <idx val="1"/>
          <order val="1"/>
          <tx>
            <strRef>
              <f>'Outubro'!KF1</f>
            </strRef>
          </tx>
          <spPr>
            <a:ln>
              <a:solidFill>
                <a:srgbClr val="C55A1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'Outubro'!$KC$2:$KC$32</f>
            </numRef>
          </cat>
          <val>
            <numRef>
              <f>'Outubro'!$KF$2:$KF$32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Dia do 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Participação por Produto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'Outubro'!$KH$2:$KH$5</f>
            </numRef>
          </cat>
          <val>
            <numRef>
              <f>'Outubro'!$KI$2:$KI$5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Ranking de Assessores — Produção Total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'Novembro'!C13</f>
            </strRef>
          </tx>
          <spPr>
            <a:solidFill>
              <a:srgbClr val="2E5395"/>
            </a:solidFill>
            <a:ln>
              <a:prstDash val="solid"/>
            </a:ln>
          </spPr>
          <cat>
            <numRef>
              <f>'Novembro'!$B$14:$B$26</f>
            </numRef>
          </cat>
          <val>
            <numRef>
              <f>'Novembro'!$C$14:$C$26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Comparativo — Captação Líquida por Assessor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'Novembro'!D13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'Novembro'!$B$14:$B$26</f>
            </numRef>
          </cat>
          <val>
            <numRef>
              <f>'Novembro'!$D$14:$D$26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Diária — Produção e Captação</a:t>
            </a:r>
          </a:p>
        </rich>
      </tx>
    </title>
    <plotArea>
      <lineChart>
        <grouping val="standard"/>
        <ser>
          <idx val="0"/>
          <order val="0"/>
          <tx>
            <strRef>
              <f>'Novembro'!KE1</f>
            </strRef>
          </tx>
          <spPr>
            <a:ln>
              <a:solidFill>
                <a:srgbClr val="1E71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'Novembro'!$KC$2:$KC$32</f>
            </numRef>
          </cat>
          <val>
            <numRef>
              <f>'Novembro'!$KE$2:$KE$32</f>
            </numRef>
          </val>
          <smooth val="0"/>
        </ser>
        <ser>
          <idx val="1"/>
          <order val="1"/>
          <tx>
            <strRef>
              <f>'Novembro'!KF1</f>
            </strRef>
          </tx>
          <spPr>
            <a:ln>
              <a:solidFill>
                <a:srgbClr val="C55A1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'Novembro'!$KC$2:$KC$32</f>
            </numRef>
          </cat>
          <val>
            <numRef>
              <f>'Novembro'!$KF$2:$KF$32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Dia do 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Participação por Produto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'Novembro'!$KH$2:$KH$5</f>
            </numRef>
          </cat>
          <val>
            <numRef>
              <f>'Novembro'!$KI$2:$KI$5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Ranking de Assessores — Produção Total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'Dezembro'!C13</f>
            </strRef>
          </tx>
          <spPr>
            <a:solidFill>
              <a:srgbClr val="2E5395"/>
            </a:solidFill>
            <a:ln>
              <a:prstDash val="solid"/>
            </a:ln>
          </spPr>
          <cat>
            <numRef>
              <f>'Dezembro'!$B$14:$B$26</f>
            </numRef>
          </cat>
          <val>
            <numRef>
              <f>'Dezembro'!$C$14:$C$26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Comparativo — Captação Líquida por Assessor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'Dezembro'!D13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'Dezembro'!$B$14:$B$26</f>
            </numRef>
          </cat>
          <val>
            <numRef>
              <f>'Dezembro'!$D$14:$D$26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Diária — Produção e Captação</a:t>
            </a:r>
          </a:p>
        </rich>
      </tx>
    </title>
    <plotArea>
      <lineChart>
        <grouping val="standard"/>
        <ser>
          <idx val="0"/>
          <order val="0"/>
          <tx>
            <strRef>
              <f>'Dezembro'!KE1</f>
            </strRef>
          </tx>
          <spPr>
            <a:ln>
              <a:solidFill>
                <a:srgbClr val="1E71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'Dezembro'!$KC$2:$KC$32</f>
            </numRef>
          </cat>
          <val>
            <numRef>
              <f>'Dezembro'!$KE$2:$KE$32</f>
            </numRef>
          </val>
          <smooth val="0"/>
        </ser>
        <ser>
          <idx val="1"/>
          <order val="1"/>
          <tx>
            <strRef>
              <f>'Dezembro'!KF1</f>
            </strRef>
          </tx>
          <spPr>
            <a:ln>
              <a:solidFill>
                <a:srgbClr val="C55A1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'Dezembro'!$KC$2:$KC$32</f>
            </numRef>
          </cat>
          <val>
            <numRef>
              <f>'Dezembro'!$KF$2:$KF$32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Dia do 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Participação por Produto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'Dezembro'!$KH$2:$KH$5</f>
            </numRef>
          </cat>
          <val>
            <numRef>
              <f>'Dezembro'!$KI$2:$KI$5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Relationship Type="http://schemas.openxmlformats.org/officeDocument/2006/relationships/chart" Target="/xl/charts/chart16.xml" Id="rId4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5.xml" Id="rId1" /><Relationship Type="http://schemas.openxmlformats.org/officeDocument/2006/relationships/chart" Target="/xl/charts/chart26.xml" Id="rId2" /><Relationship Type="http://schemas.openxmlformats.org/officeDocument/2006/relationships/chart" Target="/xl/charts/chart27.xml" Id="rId3" /><Relationship Type="http://schemas.openxmlformats.org/officeDocument/2006/relationships/chart" Target="/xl/charts/chart28.xml" Id="rId4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9.xml" Id="rId1" /><Relationship Type="http://schemas.openxmlformats.org/officeDocument/2006/relationships/chart" Target="/xl/charts/chart30.xml" Id="rId2" /><Relationship Type="http://schemas.openxmlformats.org/officeDocument/2006/relationships/chart" Target="/xl/charts/chart31.xml" Id="rId3" /><Relationship Type="http://schemas.openxmlformats.org/officeDocument/2006/relationships/chart" Target="/xl/charts/chart32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Relationship Type="http://schemas.openxmlformats.org/officeDocument/2006/relationships/chart" Target="/xl/charts/chart35.xml" Id="rId3" /><Relationship Type="http://schemas.openxmlformats.org/officeDocument/2006/relationships/chart" Target="/xl/charts/chart36.xml" Id="rId4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7.xml" Id="rId1" /><Relationship Type="http://schemas.openxmlformats.org/officeDocument/2006/relationships/chart" Target="/xl/charts/chart38.xml" Id="rId2" /><Relationship Type="http://schemas.openxmlformats.org/officeDocument/2006/relationships/chart" Target="/xl/charts/chart39.xml" Id="rId3" /><Relationship Type="http://schemas.openxmlformats.org/officeDocument/2006/relationships/chart" Target="/xl/charts/chart40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5.xml" Id="rId1" /><Relationship Type="http://schemas.openxmlformats.org/officeDocument/2006/relationships/chart" Target="/xl/charts/chart46.xml" Id="rId2" /><Relationship Type="http://schemas.openxmlformats.org/officeDocument/2006/relationships/chart" Target="/xl/charts/chart47.xml" Id="rId3" /><Relationship Type="http://schemas.openxmlformats.org/officeDocument/2006/relationships/chart" Target="/xl/charts/chart48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27</row>
      <rowOff>0</rowOff>
    </from>
    <ext cx="61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45</row>
      <rowOff>0</rowOff>
    </from>
    <ext cx="612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45</row>
      <rowOff>0</rowOff>
    </from>
    <ext cx="612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27</row>
      <rowOff>0</rowOff>
    </from>
    <ext cx="61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45</row>
      <rowOff>0</rowOff>
    </from>
    <ext cx="612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45</row>
      <rowOff>0</rowOff>
    </from>
    <ext cx="612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27</row>
      <rowOff>0</rowOff>
    </from>
    <ext cx="61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45</row>
      <rowOff>0</rowOff>
    </from>
    <ext cx="612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45</row>
      <rowOff>0</rowOff>
    </from>
    <ext cx="612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27</row>
      <rowOff>0</rowOff>
    </from>
    <ext cx="61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45</row>
      <rowOff>0</rowOff>
    </from>
    <ext cx="612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45</row>
      <rowOff>0</rowOff>
    </from>
    <ext cx="612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27</row>
      <rowOff>0</rowOff>
    </from>
    <ext cx="61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45</row>
      <rowOff>0</rowOff>
    </from>
    <ext cx="612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45</row>
      <rowOff>0</rowOff>
    </from>
    <ext cx="612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27</row>
      <rowOff>0</rowOff>
    </from>
    <ext cx="61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45</row>
      <rowOff>0</rowOff>
    </from>
    <ext cx="612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45</row>
      <rowOff>0</rowOff>
    </from>
    <ext cx="612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27</row>
      <rowOff>0</rowOff>
    </from>
    <ext cx="61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45</row>
      <rowOff>0</rowOff>
    </from>
    <ext cx="612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45</row>
      <rowOff>0</rowOff>
    </from>
    <ext cx="612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27</row>
      <rowOff>0</rowOff>
    </from>
    <ext cx="61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45</row>
      <rowOff>0</rowOff>
    </from>
    <ext cx="612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45</row>
      <rowOff>0</rowOff>
    </from>
    <ext cx="612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27</row>
      <rowOff>0</rowOff>
    </from>
    <ext cx="61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45</row>
      <rowOff>0</rowOff>
    </from>
    <ext cx="612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45</row>
      <rowOff>0</rowOff>
    </from>
    <ext cx="612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27</row>
      <rowOff>0</rowOff>
    </from>
    <ext cx="61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45</row>
      <rowOff>0</rowOff>
    </from>
    <ext cx="612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45</row>
      <rowOff>0</rowOff>
    </from>
    <ext cx="612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27</row>
      <rowOff>0</rowOff>
    </from>
    <ext cx="61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45</row>
      <rowOff>0</rowOff>
    </from>
    <ext cx="612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45</row>
      <rowOff>0</rowOff>
    </from>
    <ext cx="612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27</row>
      <rowOff>0</rowOff>
    </from>
    <ext cx="61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45</row>
      <rowOff>0</rowOff>
    </from>
    <ext cx="612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45</row>
      <rowOff>0</rowOff>
    </from>
    <ext cx="612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20" customWidth="1" min="4" max="4"/>
    <col width="3" customWidth="1" min="5" max="5"/>
    <col width="70" customWidth="1" min="6" max="6"/>
  </cols>
  <sheetData>
    <row r="1" ht="30" customHeight="1">
      <c r="A1" s="1" t="inlineStr">
        <is>
          <t>⚙  CONFIGURAÇÕES GERAIS — PAINEL DE ACOMPANHAMENTO DE ASSESSORES</t>
        </is>
      </c>
    </row>
    <row r="2" ht="28" customHeight="1">
      <c r="A2" s="2" t="inlineStr">
        <is>
          <t>Preencha o ano, o nome dos 13 assessores, a meta mensal e o saldo pulso inicial (opcional). Todo o restante — dias do mês, totais, ranking, saldos e gráficos — é calculado automaticamente nas 12 abas mensais.</t>
        </is>
      </c>
    </row>
    <row r="3" ht="24" customHeight="1">
      <c r="A3" s="3" t="inlineStr">
        <is>
          <t>Ano de Referência</t>
        </is>
      </c>
      <c r="B3" s="4" t="n">
        <v>2026</v>
      </c>
    </row>
    <row r="6" ht="26" customHeight="1">
      <c r="A6" s="5" t="inlineStr">
        <is>
          <t>Nº</t>
        </is>
      </c>
      <c r="B6" s="5" t="inlineStr">
        <is>
          <t>Nome do Assessor</t>
        </is>
      </c>
      <c r="C6" s="5" t="inlineStr">
        <is>
          <t>Meta Mensal de Produção (R$)</t>
        </is>
      </c>
      <c r="D6" s="5" t="inlineStr">
        <is>
          <t>Saldo Pulso Inicial (R$)</t>
        </is>
      </c>
    </row>
    <row r="7" ht="20" customHeight="1">
      <c r="A7" s="6" t="n">
        <v>1</v>
      </c>
      <c r="B7" s="7" t="n"/>
      <c r="C7" s="8" t="n"/>
      <c r="D7" s="8" t="n"/>
    </row>
    <row r="8" ht="20" customHeight="1">
      <c r="A8" s="9" t="n">
        <v>2</v>
      </c>
      <c r="B8" s="7" t="n"/>
      <c r="C8" s="8" t="n"/>
      <c r="D8" s="8" t="n"/>
    </row>
    <row r="9" ht="20" customHeight="1">
      <c r="A9" s="6" t="n">
        <v>3</v>
      </c>
      <c r="B9" s="7" t="n"/>
      <c r="C9" s="8" t="n"/>
      <c r="D9" s="8" t="n"/>
    </row>
    <row r="10" ht="20" customHeight="1">
      <c r="A10" s="9" t="n">
        <v>4</v>
      </c>
      <c r="B10" s="7" t="n"/>
      <c r="C10" s="8" t="n"/>
      <c r="D10" s="8" t="n"/>
    </row>
    <row r="11" ht="20" customHeight="1">
      <c r="A11" s="6" t="n">
        <v>5</v>
      </c>
      <c r="B11" s="7" t="n"/>
      <c r="C11" s="8" t="n"/>
      <c r="D11" s="8" t="n"/>
    </row>
    <row r="12" ht="20" customHeight="1">
      <c r="A12" s="9" t="n">
        <v>6</v>
      </c>
      <c r="B12" s="7" t="n"/>
      <c r="C12" s="8" t="n"/>
      <c r="D12" s="8" t="n"/>
    </row>
    <row r="13" ht="20" customHeight="1">
      <c r="A13" s="6" t="n">
        <v>7</v>
      </c>
      <c r="B13" s="7" t="n"/>
      <c r="C13" s="8" t="n"/>
      <c r="D13" s="8" t="n"/>
    </row>
    <row r="14" ht="20" customHeight="1">
      <c r="A14" s="9" t="n">
        <v>8</v>
      </c>
      <c r="B14" s="7" t="n"/>
      <c r="C14" s="8" t="n"/>
      <c r="D14" s="8" t="n"/>
    </row>
    <row r="15" ht="20" customHeight="1">
      <c r="A15" s="6" t="n">
        <v>9</v>
      </c>
      <c r="B15" s="7" t="n"/>
      <c r="C15" s="8" t="n"/>
      <c r="D15" s="8" t="n"/>
    </row>
    <row r="16" ht="20" customHeight="1">
      <c r="A16" s="9" t="n">
        <v>10</v>
      </c>
      <c r="B16" s="7" t="n"/>
      <c r="C16" s="8" t="n"/>
      <c r="D16" s="8" t="n"/>
    </row>
    <row r="17" ht="20" customHeight="1">
      <c r="A17" s="6" t="n">
        <v>11</v>
      </c>
      <c r="B17" s="7" t="n"/>
      <c r="C17" s="8" t="n"/>
      <c r="D17" s="8" t="n"/>
    </row>
    <row r="18" ht="20" customHeight="1">
      <c r="A18" s="9" t="n">
        <v>12</v>
      </c>
      <c r="B18" s="7" t="n"/>
      <c r="C18" s="8" t="n"/>
      <c r="D18" s="8" t="n"/>
    </row>
    <row r="19" ht="20" customHeight="1">
      <c r="A19" s="6" t="n">
        <v>13</v>
      </c>
      <c r="B19" s="7" t="n"/>
      <c r="C19" s="8" t="n"/>
      <c r="D19" s="8" t="n"/>
    </row>
    <row r="21" ht="26" customHeight="1">
      <c r="A21" s="10" t="inlineStr">
        <is>
          <t>🔒  As células em branco com borda azul são as únicas editáveis. O restante da planilha é protegido contra alterações acidentais.</t>
        </is>
      </c>
    </row>
    <row r="22" ht="26" customHeight="1">
      <c r="A22" s="10" t="inlineStr">
        <is>
          <t>ℹ  O Saldo Pulso Inicial é usado apenas como Saldo Anterior do dia 1 de Janeiro. Nos demais meses, o Saldo Anterior do dia 1 puxa automaticamente o último Saldo Pulso do mês anterior.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5">
    <mergeCell ref="A1:D1"/>
    <mergeCell ref="A22:D22"/>
    <mergeCell ref="A3"/>
    <mergeCell ref="A21:D21"/>
    <mergeCell ref="A2:D2"/>
  </mergeCells>
  <dataValidations count="3">
    <dataValidation sqref="B3" showDropDown="0" showInputMessage="0" showErrorMessage="1" allowBlank="0" errorTitle="Ano inválido" error="Informe um ano entre 2000 e 2100." type="whole" operator="between">
      <formula1>2000</formula1>
      <formula2>2100</formula2>
    </dataValidation>
    <dataValidation sqref="C7 C8 C9 C10 C11 C12 C13 C14 C15 C16 C17 C18 C1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D7 D8 D9 D10 D11 D12 D13 D14 D15 D16 D17 D18 D19" showDropDown="0" showInputMessage="0" showErrorMessage="1" allowBlank="1" errorTitle="Valor inválido" error="Informe um valor numérico maior ou igual a zero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I79"/>
  <sheetViews>
    <sheetView showGridLines="0" zoomScale="90" workbookViewId="0">
      <pane xSplit="1" ySplit="66" topLeftCell="B6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11" customWidth="1" min="5" max="5"/>
    <col width="12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4" customWidth="1" min="13" max="13"/>
    <col width="11" customWidth="1" min="14" max="14"/>
    <col width="12" customWidth="1" min="15" max="15"/>
    <col width="13" customWidth="1" min="16" max="16"/>
    <col width="13" customWidth="1" min="17" max="17"/>
    <col width="13" customWidth="1" min="18" max="18"/>
    <col width="20" customWidth="1" min="19" max="19"/>
    <col width="13" customWidth="1" min="20" max="20"/>
    <col width="13" customWidth="1" min="21" max="21"/>
    <col width="14" customWidth="1" min="22" max="22"/>
    <col width="11" customWidth="1" min="23" max="23"/>
    <col width="12" customWidth="1" min="24" max="24"/>
    <col width="13" customWidth="1" min="25" max="25"/>
    <col width="13" customWidth="1" min="26" max="26"/>
    <col width="13" customWidth="1" min="27" max="27"/>
    <col width="20" customWidth="1" min="28" max="28"/>
    <col width="13" customWidth="1" min="29" max="29"/>
    <col width="13" customWidth="1" min="30" max="30"/>
    <col width="14" customWidth="1" min="31" max="31"/>
    <col width="11" customWidth="1" min="32" max="32"/>
    <col width="12" customWidth="1" min="33" max="33"/>
    <col width="13" customWidth="1" min="34" max="34"/>
    <col width="13" customWidth="1" min="35" max="35"/>
    <col width="13" customWidth="1" min="36" max="36"/>
    <col width="20" customWidth="1" min="37" max="37"/>
    <col width="13" customWidth="1" min="38" max="38"/>
    <col width="13" customWidth="1" min="39" max="39"/>
    <col width="14" customWidth="1" min="40" max="40"/>
    <col width="11" customWidth="1" min="41" max="41"/>
    <col width="12" customWidth="1" min="42" max="42"/>
    <col width="13" customWidth="1" min="43" max="43"/>
    <col width="13" customWidth="1" min="44" max="44"/>
    <col width="13" customWidth="1" min="45" max="45"/>
    <col width="20" customWidth="1" min="46" max="46"/>
    <col width="13" customWidth="1" min="47" max="47"/>
    <col width="13" customWidth="1" min="48" max="48"/>
    <col width="14" customWidth="1" min="49" max="49"/>
    <col width="11" customWidth="1" min="50" max="50"/>
    <col width="12" customWidth="1" min="51" max="51"/>
    <col width="13" customWidth="1" min="52" max="52"/>
    <col width="13" customWidth="1" min="53" max="53"/>
    <col width="13" customWidth="1" min="54" max="54"/>
    <col width="20" customWidth="1" min="55" max="55"/>
    <col width="13" customWidth="1" min="56" max="56"/>
    <col width="13" customWidth="1" min="57" max="57"/>
    <col width="14" customWidth="1" min="58" max="58"/>
    <col width="11" customWidth="1" min="59" max="59"/>
    <col width="12" customWidth="1" min="60" max="60"/>
    <col width="13" customWidth="1" min="61" max="61"/>
    <col width="13" customWidth="1" min="62" max="62"/>
    <col width="13" customWidth="1" min="63" max="63"/>
    <col width="20" customWidth="1" min="64" max="64"/>
    <col width="13" customWidth="1" min="65" max="65"/>
    <col width="13" customWidth="1" min="66" max="66"/>
    <col width="14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20" customWidth="1" min="73" max="73"/>
    <col width="13" customWidth="1" min="74" max="74"/>
    <col width="13" customWidth="1" min="75" max="75"/>
    <col width="14" customWidth="1" min="76" max="76"/>
    <col width="11" customWidth="1" min="77" max="77"/>
    <col width="12" customWidth="1" min="78" max="78"/>
    <col width="13" customWidth="1" min="79" max="79"/>
    <col width="13" customWidth="1" min="80" max="80"/>
    <col width="13" customWidth="1" min="81" max="81"/>
    <col width="20" customWidth="1" min="82" max="82"/>
    <col width="13" customWidth="1" min="83" max="83"/>
    <col width="13" customWidth="1" min="84" max="84"/>
    <col width="14" customWidth="1" min="85" max="85"/>
    <col width="11" customWidth="1" min="86" max="86"/>
    <col width="12" customWidth="1" min="87" max="87"/>
    <col width="13" customWidth="1" min="88" max="88"/>
    <col width="13" customWidth="1" min="89" max="89"/>
    <col width="13" customWidth="1" min="90" max="90"/>
    <col width="20" customWidth="1" min="91" max="91"/>
    <col width="13" customWidth="1" min="92" max="92"/>
    <col width="13" customWidth="1" min="93" max="93"/>
    <col width="14" customWidth="1" min="94" max="94"/>
    <col width="11" customWidth="1" min="95" max="95"/>
    <col width="12" customWidth="1" min="96" max="96"/>
    <col width="13" customWidth="1" min="97" max="97"/>
    <col width="13" customWidth="1" min="98" max="98"/>
    <col width="13" customWidth="1" min="99" max="99"/>
    <col width="20" customWidth="1" min="100" max="100"/>
    <col width="13" customWidth="1" min="101" max="101"/>
    <col width="13" customWidth="1" min="102" max="102"/>
    <col width="14" customWidth="1" min="103" max="103"/>
    <col width="11" customWidth="1" min="104" max="104"/>
    <col width="12" customWidth="1" min="105" max="105"/>
    <col width="13" customWidth="1" min="106" max="106"/>
    <col width="13" customWidth="1" min="107" max="107"/>
    <col width="13" customWidth="1" min="108" max="108"/>
    <col width="20" customWidth="1" min="109" max="109"/>
    <col width="13" customWidth="1" min="110" max="110"/>
    <col width="13" customWidth="1" min="111" max="111"/>
    <col width="14" customWidth="1" min="112" max="112"/>
    <col width="11" customWidth="1" min="113" max="113"/>
    <col width="12" customWidth="1" min="114" max="114"/>
    <col width="13" customWidth="1" min="115" max="115"/>
    <col width="13" customWidth="1" min="116" max="116"/>
    <col width="13" customWidth="1" min="117" max="117"/>
    <col width="20" customWidth="1" min="118" max="118"/>
    <col width="13" customWidth="1" min="119" max="119"/>
    <col width="13" customWidth="1" min="120" max="120"/>
    <col width="14" customWidth="1" min="121" max="121"/>
    <col width="11" customWidth="1" min="122" max="122"/>
    <col width="12" customWidth="1" min="123" max="123"/>
    <col width="13" customWidth="1" min="124" max="124"/>
    <col width="13" customWidth="1" min="125" max="125"/>
    <col width="13" customWidth="1" min="126" max="126"/>
    <col width="20" customWidth="1" min="127" max="127"/>
    <col width="13" customWidth="1" min="128" max="128"/>
    <col width="13" customWidth="1" min="129" max="129"/>
    <col width="14" customWidth="1" min="130" max="130"/>
    <col width="11" customWidth="1" min="131" max="131"/>
    <col width="12" customWidth="1" min="132" max="132"/>
    <col width="13" customWidth="1" min="133" max="133"/>
    <col width="13" customWidth="1" min="134" max="134"/>
    <col width="13" customWidth="1" min="135" max="135"/>
    <col width="20" customWidth="1" min="136" max="136"/>
    <col width="13" customWidth="1" min="137" max="137"/>
    <col width="13" customWidth="1" min="138" max="138"/>
    <col width="14" customWidth="1" min="139" max="139"/>
    <col width="11" customWidth="1" min="140" max="140"/>
    <col width="12" customWidth="1" min="141" max="141"/>
    <col width="13" customWidth="1" min="142" max="142"/>
    <col width="13" customWidth="1" min="143" max="143"/>
    <col width="13" customWidth="1" min="144" max="144"/>
    <col width="20" customWidth="1" min="145" max="145"/>
    <col width="13" customWidth="1" min="146" max="146"/>
    <col width="13" customWidth="1" min="147" max="147"/>
    <col width="14" customWidth="1" min="148" max="148"/>
    <col width="11" customWidth="1" min="149" max="149"/>
    <col width="12" customWidth="1" min="150" max="150"/>
    <col width="13" customWidth="1" min="151" max="151"/>
    <col width="13" customWidth="1" min="152" max="152"/>
    <col width="13" customWidth="1" min="153" max="153"/>
    <col width="20" customWidth="1" min="154" max="154"/>
    <col width="13" customWidth="1" min="155" max="155"/>
    <col width="13" customWidth="1" min="156" max="156"/>
    <col width="14" customWidth="1" min="157" max="157"/>
    <col width="11" customWidth="1" min="158" max="158"/>
    <col width="12" customWidth="1" min="159" max="159"/>
    <col width="13" customWidth="1" min="160" max="160"/>
    <col width="13" customWidth="1" min="161" max="161"/>
    <col width="13" customWidth="1" min="162" max="162"/>
    <col width="20" customWidth="1" min="163" max="163"/>
    <col width="13" customWidth="1" min="164" max="164"/>
    <col width="13" customWidth="1" min="165" max="165"/>
    <col width="14" customWidth="1" min="166" max="166"/>
    <col width="11" customWidth="1" min="167" max="167"/>
    <col width="12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13" customWidth="1" min="173" max="173"/>
    <col width="13" customWidth="1" min="174" max="174"/>
    <col width="14" customWidth="1" min="175" max="175"/>
    <col width="11" customWidth="1" min="176" max="176"/>
    <col width="12" customWidth="1" min="177" max="177"/>
    <col width="13" customWidth="1" min="178" max="178"/>
    <col width="13" customWidth="1" min="179" max="179"/>
    <col width="13" customWidth="1" min="180" max="180"/>
    <col width="20" customWidth="1" min="181" max="181"/>
    <col width="13" customWidth="1" min="182" max="182"/>
    <col width="13" customWidth="1" min="183" max="183"/>
    <col width="14" customWidth="1" min="184" max="184"/>
    <col width="11" customWidth="1" min="185" max="185"/>
    <col width="12" customWidth="1" min="186" max="186"/>
    <col width="13" customWidth="1" min="187" max="187"/>
    <col width="13" customWidth="1" min="188" max="188"/>
    <col width="13" customWidth="1" min="189" max="189"/>
    <col width="20" customWidth="1" min="190" max="190"/>
    <col width="13" customWidth="1" min="191" max="191"/>
    <col width="13" customWidth="1" min="192" max="192"/>
    <col width="14" customWidth="1" min="193" max="193"/>
    <col width="11" customWidth="1" min="194" max="194"/>
    <col width="12" customWidth="1" min="195" max="195"/>
    <col width="13" customWidth="1" min="196" max="196"/>
    <col width="13" customWidth="1" min="197" max="197"/>
    <col width="13" customWidth="1" min="198" max="198"/>
    <col width="20" customWidth="1" min="199" max="199"/>
    <col width="13" customWidth="1" min="200" max="200"/>
    <col width="13" customWidth="1" min="201" max="201"/>
    <col width="14" customWidth="1" min="202" max="202"/>
    <col width="11" customWidth="1" min="203" max="203"/>
    <col width="12" customWidth="1" min="204" max="204"/>
    <col width="13" customWidth="1" min="205" max="205"/>
    <col width="13" customWidth="1" min="206" max="206"/>
    <col width="13" customWidth="1" min="207" max="207"/>
    <col width="20" customWidth="1" min="208" max="208"/>
    <col width="13" customWidth="1" min="209" max="209"/>
    <col width="13" customWidth="1" min="210" max="210"/>
    <col width="14" customWidth="1" min="211" max="211"/>
    <col width="11" customWidth="1" min="212" max="212"/>
    <col width="12" customWidth="1" min="213" max="213"/>
    <col width="13" customWidth="1" min="214" max="214"/>
    <col width="13" customWidth="1" min="215" max="215"/>
    <col width="13" customWidth="1" min="216" max="216"/>
    <col width="20" customWidth="1" min="217" max="217"/>
    <col width="13" customWidth="1" min="218" max="218"/>
    <col width="13" customWidth="1" min="219" max="219"/>
    <col width="14" customWidth="1" min="220" max="220"/>
    <col width="11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20" customWidth="1" min="226" max="226"/>
    <col width="13" customWidth="1" min="227" max="227"/>
    <col width="13" customWidth="1" min="228" max="228"/>
    <col width="14" customWidth="1" min="229" max="229"/>
    <col width="11" customWidth="1" min="230" max="230"/>
    <col width="12" customWidth="1" min="231" max="231"/>
    <col width="13" customWidth="1" min="232" max="232"/>
    <col width="13" customWidth="1" min="233" max="233"/>
    <col width="13" customWidth="1" min="234" max="234"/>
    <col width="20" customWidth="1" min="235" max="235"/>
    <col width="13" customWidth="1" min="236" max="236"/>
    <col width="13" customWidth="1" min="237" max="237"/>
    <col width="14" customWidth="1" min="238" max="238"/>
    <col width="11" customWidth="1" min="239" max="239"/>
    <col width="12" customWidth="1" min="240" max="240"/>
    <col width="13" customWidth="1" min="241" max="241"/>
    <col width="13" customWidth="1" min="242" max="242"/>
    <col width="13" customWidth="1" min="243" max="243"/>
    <col width="20" customWidth="1" min="244" max="244"/>
    <col width="13" customWidth="1" min="245" max="245"/>
    <col width="13" customWidth="1" min="246" max="246"/>
    <col width="14" customWidth="1" min="247" max="247"/>
    <col width="11" customWidth="1" min="248" max="248"/>
    <col width="12" customWidth="1" min="249" max="249"/>
    <col width="13" customWidth="1" min="250" max="250"/>
    <col width="13" customWidth="1" min="251" max="251"/>
    <col width="13" customWidth="1" min="252" max="252"/>
    <col width="20" customWidth="1" min="253" max="253"/>
    <col width="13" customWidth="1" min="254" max="254"/>
    <col width="13" customWidth="1" min="255" max="255"/>
    <col width="14" customWidth="1" min="256" max="256"/>
    <col width="11" customWidth="1" min="257" max="257"/>
    <col width="12" customWidth="1" min="258" max="258"/>
    <col width="13" customWidth="1" min="259" max="259"/>
    <col width="13" customWidth="1" min="260" max="260"/>
    <col width="13" customWidth="1" min="261" max="261"/>
    <col width="20" customWidth="1" min="262" max="262"/>
    <col width="13" customWidth="1" min="263" max="263"/>
    <col width="13" customWidth="1" min="264" max="264"/>
    <col width="14" customWidth="1" min="265" max="265"/>
    <col width="11" customWidth="1" min="266" max="266"/>
    <col width="12" customWidth="1" min="267" max="267"/>
    <col width="13" customWidth="1" min="268" max="268"/>
    <col width="13" customWidth="1" min="269" max="269"/>
    <col width="13" customWidth="1" min="270" max="270"/>
    <col width="20" customWidth="1" min="271" max="271"/>
    <col width="13" customWidth="1" min="272" max="272"/>
    <col width="13" customWidth="1" min="273" max="273"/>
    <col width="14" customWidth="1" min="274" max="274"/>
    <col width="11" customWidth="1" min="275" max="275"/>
    <col width="12" customWidth="1" min="276" max="276"/>
    <col width="13" customWidth="1" min="277" max="277"/>
    <col width="13" customWidth="1" min="278" max="278"/>
    <col width="13" customWidth="1" min="279" max="279"/>
    <col width="20" customWidth="1" min="280" max="280"/>
    <col width="16" customWidth="1" min="281" max="281"/>
    <col width="16" customWidth="1" min="282" max="282"/>
    <col width="16" customWidth="1" min="283" max="283"/>
    <col width="14" customWidth="1" min="284" max="284"/>
    <col width="14" customWidth="1" min="285" max="285"/>
    <col width="14" customWidth="1" min="286" max="286"/>
    <col hidden="1" width="10" customWidth="1" min="287" max="287"/>
    <col hidden="1" width="16" customWidth="1" min="289" max="289"/>
    <col hidden="1" width="16" customWidth="1" min="290" max="290"/>
    <col hidden="1" width="16" customWidth="1" min="291" max="291"/>
    <col hidden="1" width="16" customWidth="1" min="292" max="292"/>
    <col hidden="1" width="16" customWidth="1" min="294" max="294"/>
    <col hidden="1" width="16" customWidth="1" min="295" max="295"/>
  </cols>
  <sheetData>
    <row r="1" ht="32" customHeight="1">
      <c r="A1" s="11">
        <f>"ACOMPANHAMENTO DIÁRIO DE ASSESSORES — JANEIRO / "&amp;Configurações!$B$3</f>
        <v/>
      </c>
      <c r="KC1" t="inlineStr">
        <is>
          <t>Dia</t>
        </is>
      </c>
      <c r="KD1" t="inlineStr">
        <is>
          <t>Data</t>
        </is>
      </c>
      <c r="KE1" t="inlineStr">
        <is>
          <t>Produção do Dia</t>
        </is>
      </c>
      <c r="KF1" t="inlineStr">
        <is>
          <t>Captação do Dia</t>
        </is>
      </c>
    </row>
    <row r="2" ht="18" customHeight="1">
      <c r="A2" s="12">
        <f>"Dias no mês: "&amp;$Z$3&amp;"   |   Cada assessor ocupa 1 linha. Role para a direita para ver os dias. Apenas as células destacadas em amarelo são editáveis."</f>
        <v/>
      </c>
      <c r="KC2" s="13" t="n">
        <v>1</v>
      </c>
      <c r="KD2" s="14">
        <f>IF(1&lt;=$Z$3,DATE(Configurações!$B$3,1,1),"")</f>
        <v/>
      </c>
      <c r="KE2" s="13">
        <f>SUM($I$67:$I$79)</f>
        <v/>
      </c>
      <c r="KF2" s="13">
        <f>SUM($D$67:$D$79)</f>
        <v/>
      </c>
      <c r="KH2" t="inlineStr">
        <is>
          <t>COE</t>
        </is>
      </c>
      <c r="KI2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</row>
    <row r="3">
      <c r="Y3" s="15" t="inlineStr">
        <is>
          <t>Dias no mês</t>
        </is>
      </c>
      <c r="Z3" s="16">
        <f>DAY(EOMONTH(DATE(Configurações!$B$3,1,1),0))</f>
        <v/>
      </c>
      <c r="KC3" s="13" t="n">
        <v>2</v>
      </c>
      <c r="KD3" s="14">
        <f>IF(2&lt;=$Z$3,DATE(Configurações!$B$3,1,2),"")</f>
        <v/>
      </c>
      <c r="KE3" s="13">
        <f>SUM($R$67:$R$79)</f>
        <v/>
      </c>
      <c r="KF3" s="13">
        <f>SUM($M$67:$M$79)</f>
        <v/>
      </c>
      <c r="KH3" t="inlineStr">
        <is>
          <t>PREVIDÊNCIA</t>
        </is>
      </c>
      <c r="KI3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</row>
    <row r="4" ht="22" customHeight="1">
      <c r="A4" s="17" t="inlineStr">
        <is>
          <t>📊  INDICADORES DO MÊS</t>
        </is>
      </c>
      <c r="KC4" s="13" t="n">
        <v>3</v>
      </c>
      <c r="KD4" s="14">
        <f>IF(3&lt;=$Z$3,DATE(Configurações!$B$3,1,3),"")</f>
        <v/>
      </c>
      <c r="KE4" s="13">
        <f>SUM($AA$67:$AA$79)</f>
        <v/>
      </c>
      <c r="KF4" s="13">
        <f>SUM($V$67:$V$79)</f>
        <v/>
      </c>
      <c r="KH4" t="inlineStr">
        <is>
          <t>CRÉDITO PRIVADO</t>
        </is>
      </c>
      <c r="KI4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</row>
    <row r="5" ht="26" customHeight="1">
      <c r="A5" s="18" t="inlineStr">
        <is>
          <t>PRODUÇÃO TOTAL DO MÊS</t>
        </is>
      </c>
      <c r="C5" s="18" t="inlineStr">
        <is>
          <t>CAPTAÇÃO LÍQUIDA DO MÊS</t>
        </is>
      </c>
      <c r="E5" s="18" t="inlineStr">
        <is>
          <t>SALDO PULSO TOTAL (ATUAL)</t>
        </is>
      </c>
      <c r="G5" s="18" t="inlineStr">
        <is>
          <t>MÉDIA DIÁRIA DA EQUIPE</t>
        </is>
      </c>
      <c r="I5" s="18" t="inlineStr">
        <is>
          <t>MELHOR DIA DE PRODUÇÃO</t>
        </is>
      </c>
      <c r="K5" s="18" t="inlineStr">
        <is>
          <t>MELHOR ASSESSOR DO MÊS</t>
        </is>
      </c>
      <c r="KC5" s="13" t="n">
        <v>4</v>
      </c>
      <c r="KD5" s="14">
        <f>IF(4&lt;=$Z$3,DATE(Configurações!$B$3,1,4),"")</f>
        <v/>
      </c>
      <c r="KE5" s="13">
        <f>SUM($AJ$67:$AJ$79)</f>
        <v/>
      </c>
      <c r="KF5" s="13">
        <f>SUM($AE$67:$AE$79)</f>
        <v/>
      </c>
      <c r="KH5" t="inlineStr">
        <is>
          <t>TÍTULOS PÚBLICOS</t>
        </is>
      </c>
      <c r="KI5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</row>
    <row r="6" ht="30" customHeight="1">
      <c r="A6" s="19">
        <f>SUM($JU$67:$JU$79)</f>
        <v/>
      </c>
      <c r="C6" s="19">
        <f>SUM($JV$67:$JV$79)</f>
        <v/>
      </c>
      <c r="E6" s="19">
        <f>SUM($JW$67:$JW$79)</f>
        <v/>
      </c>
      <c r="G6" s="19">
        <f>IFERROR(SUM($JU$67:$JU$79)/$Z$3,0)</f>
        <v/>
      </c>
      <c r="I6" s="20">
        <f>IFERROR("Dia "&amp;TEXT(INDEX($KD$2:$KD$32,MATCH(MAX($KE$2:$KE$32),$KE$2:$KE$32,0)),"dd/mm")&amp;"  -  "&amp;TEXT(MAX($KE$2:$KE$32),"R$ #,##0"),"—")</f>
        <v/>
      </c>
      <c r="K6" s="20">
        <f>IFERROR($B$14&amp;"  -  "&amp;TEXT($C$14,"R$ #,##0"),"—")</f>
        <v/>
      </c>
      <c r="KC6" s="13" t="n">
        <v>5</v>
      </c>
      <c r="KD6" s="14">
        <f>IF(5&lt;=$Z$3,DATE(Configurações!$B$3,1,5),"")</f>
        <v/>
      </c>
      <c r="KE6" s="13">
        <f>SUM($AS$67:$AS$79)</f>
        <v/>
      </c>
      <c r="KF6" s="13">
        <f>SUM($AN$67:$AN$79)</f>
        <v/>
      </c>
    </row>
    <row r="7">
      <c r="KC7" s="13" t="n">
        <v>6</v>
      </c>
      <c r="KD7" s="14">
        <f>IF(6&lt;=$Z$3,DATE(Configurações!$B$3,1,6),"")</f>
        <v/>
      </c>
      <c r="KE7" s="13">
        <f>SUM($BB$67:$BB$79)</f>
        <v/>
      </c>
      <c r="KF7" s="13">
        <f>SUM($AW$67:$AW$79)</f>
        <v/>
      </c>
    </row>
    <row r="8" ht="22" customHeight="1">
      <c r="A8" s="17" t="inlineStr">
        <is>
          <t>💰  TOTAIS POR PRODUTO</t>
        </is>
      </c>
      <c r="KC8" s="13" t="n">
        <v>7</v>
      </c>
      <c r="KD8" s="14">
        <f>IF(7&lt;=$Z$3,DATE(Configurações!$B$3,1,7),"")</f>
        <v/>
      </c>
      <c r="KE8" s="13">
        <f>SUM($BK$67:$BK$79)</f>
        <v/>
      </c>
      <c r="KF8" s="13">
        <f>SUM($BF$67:$BF$79)</f>
        <v/>
      </c>
    </row>
    <row r="9" ht="20" customHeight="1">
      <c r="A9" s="18" t="inlineStr">
        <is>
          <t>COE</t>
        </is>
      </c>
      <c r="D9" s="18" t="inlineStr">
        <is>
          <t>PREVIDÊNCIA</t>
        </is>
      </c>
      <c r="G9" s="18" t="inlineStr">
        <is>
          <t>CRÉDITO PRIVADO</t>
        </is>
      </c>
      <c r="J9" s="18" t="inlineStr">
        <is>
          <t>TÍTULOS PÚBLICOS</t>
        </is>
      </c>
      <c r="KC9" s="13" t="n">
        <v>8</v>
      </c>
      <c r="KD9" s="14">
        <f>IF(8&lt;=$Z$3,DATE(Configurações!$B$3,1,8),"")</f>
        <v/>
      </c>
      <c r="KE9" s="13">
        <f>SUM($BT$67:$BT$79)</f>
        <v/>
      </c>
      <c r="KF9" s="13">
        <f>SUM($BO$67:$BO$79)</f>
        <v/>
      </c>
    </row>
    <row r="10" ht="26" customHeight="1">
      <c r="A10" s="19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  <c r="D10" s="19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  <c r="G10" s="19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  <c r="J10" s="19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  <c r="KC10" s="13" t="n">
        <v>9</v>
      </c>
      <c r="KD10" s="14">
        <f>IF(9&lt;=$Z$3,DATE(Configurações!$B$3,1,9),"")</f>
        <v/>
      </c>
      <c r="KE10" s="13">
        <f>SUM($CC$67:$CC$79)</f>
        <v/>
      </c>
      <c r="KF10" s="13">
        <f>SUM($BX$67:$BX$79)</f>
        <v/>
      </c>
    </row>
    <row r="11">
      <c r="KC11" s="13" t="n">
        <v>10</v>
      </c>
      <c r="KD11" s="14">
        <f>IF(10&lt;=$Z$3,DATE(Configurações!$B$3,1,10),"")</f>
        <v/>
      </c>
      <c r="KE11" s="13">
        <f>SUM($CL$67:$CL$79)</f>
        <v/>
      </c>
      <c r="KF11" s="13">
        <f>SUM($CG$67:$CG$79)</f>
        <v/>
      </c>
    </row>
    <row r="12" ht="22" customHeight="1">
      <c r="A12" s="17" t="inlineStr">
        <is>
          <t>🏆  RANKING DE ASSESSORES (TOP 5 EM DESTAQUE)</t>
        </is>
      </c>
      <c r="KC12" s="13" t="n">
        <v>11</v>
      </c>
      <c r="KD12" s="14">
        <f>IF(11&lt;=$Z$3,DATE(Configurações!$B$3,1,11),"")</f>
        <v/>
      </c>
      <c r="KE12" s="13">
        <f>SUM($CU$67:$CU$79)</f>
        <v/>
      </c>
      <c r="KF12" s="13">
        <f>SUM($CP$67:$CP$79)</f>
        <v/>
      </c>
    </row>
    <row r="13" ht="22" customHeight="1">
      <c r="A13" s="5" t="inlineStr">
        <is>
          <t>Pos.</t>
        </is>
      </c>
      <c r="B13" s="5" t="inlineStr">
        <is>
          <t>Assessor</t>
        </is>
      </c>
      <c r="C13" s="5" t="inlineStr">
        <is>
          <t>Produção Total</t>
        </is>
      </c>
      <c r="D13" s="5" t="inlineStr">
        <is>
          <t>Captação Líquida</t>
        </is>
      </c>
      <c r="E13" s="5" t="inlineStr">
        <is>
          <t>Saldo Pulso Atual</t>
        </is>
      </c>
      <c r="F13" s="5" t="inlineStr">
        <is>
          <t>Média Diária</t>
        </is>
      </c>
      <c r="G13" s="5" t="inlineStr">
        <is>
          <t>Meta Mensal</t>
        </is>
      </c>
      <c r="H13" s="5" t="inlineStr">
        <is>
          <t>Status</t>
        </is>
      </c>
      <c r="KC13" s="13" t="n">
        <v>12</v>
      </c>
      <c r="KD13" s="14">
        <f>IF(12&lt;=$Z$3,DATE(Configurações!$B$3,1,12),"")</f>
        <v/>
      </c>
      <c r="KE13" s="13">
        <f>SUM($DD$67:$DD$79)</f>
        <v/>
      </c>
      <c r="KF13" s="13">
        <f>SUM($CY$67:$CY$79)</f>
        <v/>
      </c>
    </row>
    <row r="14" ht="18" customHeight="1">
      <c r="A14" s="21" t="n">
        <v>1</v>
      </c>
      <c r="B14" s="22">
        <f>INDEX($A$67:$A$79,MATCH(LARGE($KA$67:$KA$79,1),$KA$67:$KA$79,0))</f>
        <v/>
      </c>
      <c r="C14" s="23">
        <f>INDEX($JU$67:$JU$79,MATCH(LARGE($KA$67:$KA$79,1),$KA$67:$KA$79,0))</f>
        <v/>
      </c>
      <c r="D14" s="24">
        <f>INDEX($JV$67:$JV$79,MATCH(LARGE($KA$67:$KA$79,1),$KA$67:$KA$79,0))</f>
        <v/>
      </c>
      <c r="E14" s="23">
        <f>INDEX($JW$67:$JW$79,MATCH(LARGE($KA$67:$KA$79,1),$KA$67:$KA$79,0))</f>
        <v/>
      </c>
      <c r="F14" s="23">
        <f>INDEX($JX$67:$JX$79,MATCH(LARGE($KA$67:$KA$79,1),$KA$67:$KA$79,0))</f>
        <v/>
      </c>
      <c r="G14" s="23">
        <f>INDEX($JY$67:$JY$79,MATCH(LARGE($KA$67:$KA$79,1),$KA$67:$KA$79,0))</f>
        <v/>
      </c>
      <c r="H14" s="25">
        <f>IF(G14=0,"— Sem meta",IF(C14&gt;=G14,"✓ Meta atingida","Em andamento"))</f>
        <v/>
      </c>
      <c r="KC14" s="13" t="n">
        <v>13</v>
      </c>
      <c r="KD14" s="14">
        <f>IF(13&lt;=$Z$3,DATE(Configurações!$B$3,1,13),"")</f>
        <v/>
      </c>
      <c r="KE14" s="13">
        <f>SUM($DM$67:$DM$79)</f>
        <v/>
      </c>
      <c r="KF14" s="13">
        <f>SUM($DH$67:$DH$79)</f>
        <v/>
      </c>
    </row>
    <row r="15" ht="18" customHeight="1">
      <c r="A15" s="26" t="n">
        <v>2</v>
      </c>
      <c r="B15" s="27">
        <f>INDEX($A$67:$A$79,MATCH(LARGE($KA$67:$KA$79,2),$KA$67:$KA$79,0))</f>
        <v/>
      </c>
      <c r="C15" s="28">
        <f>INDEX($JU$67:$JU$79,MATCH(LARGE($KA$67:$KA$79,2),$KA$67:$KA$79,0))</f>
        <v/>
      </c>
      <c r="D15" s="29">
        <f>INDEX($JV$67:$JV$79,MATCH(LARGE($KA$67:$KA$79,2),$KA$67:$KA$79,0))</f>
        <v/>
      </c>
      <c r="E15" s="28">
        <f>INDEX($JW$67:$JW$79,MATCH(LARGE($KA$67:$KA$79,2),$KA$67:$KA$79,0))</f>
        <v/>
      </c>
      <c r="F15" s="28">
        <f>INDEX($JX$67:$JX$79,MATCH(LARGE($KA$67:$KA$79,2),$KA$67:$KA$79,0))</f>
        <v/>
      </c>
      <c r="G15" s="28">
        <f>INDEX($JY$67:$JY$79,MATCH(LARGE($KA$67:$KA$79,2),$KA$67:$KA$79,0))</f>
        <v/>
      </c>
      <c r="H15" s="30">
        <f>IF(G15=0,"— Sem meta",IF(C15&gt;=G15,"✓ Meta atingida","Em andamento"))</f>
        <v/>
      </c>
      <c r="KC15" s="13" t="n">
        <v>14</v>
      </c>
      <c r="KD15" s="14">
        <f>IF(14&lt;=$Z$3,DATE(Configurações!$B$3,1,14),"")</f>
        <v/>
      </c>
      <c r="KE15" s="13">
        <f>SUM($DV$67:$DV$79)</f>
        <v/>
      </c>
      <c r="KF15" s="13">
        <f>SUM($DQ$67:$DQ$79)</f>
        <v/>
      </c>
    </row>
    <row r="16" ht="18" customHeight="1">
      <c r="A16" s="31" t="n">
        <v>3</v>
      </c>
      <c r="B16" s="32">
        <f>INDEX($A$67:$A$79,MATCH(LARGE($KA$67:$KA$79,3),$KA$67:$KA$79,0))</f>
        <v/>
      </c>
      <c r="C16" s="33">
        <f>INDEX($JU$67:$JU$79,MATCH(LARGE($KA$67:$KA$79,3),$KA$67:$KA$79,0))</f>
        <v/>
      </c>
      <c r="D16" s="34">
        <f>INDEX($JV$67:$JV$79,MATCH(LARGE($KA$67:$KA$79,3),$KA$67:$KA$79,0))</f>
        <v/>
      </c>
      <c r="E16" s="33">
        <f>INDEX($JW$67:$JW$79,MATCH(LARGE($KA$67:$KA$79,3),$KA$67:$KA$79,0))</f>
        <v/>
      </c>
      <c r="F16" s="33">
        <f>INDEX($JX$67:$JX$79,MATCH(LARGE($KA$67:$KA$79,3),$KA$67:$KA$79,0))</f>
        <v/>
      </c>
      <c r="G16" s="33">
        <f>INDEX($JY$67:$JY$79,MATCH(LARGE($KA$67:$KA$79,3),$KA$67:$KA$79,0))</f>
        <v/>
      </c>
      <c r="H16" s="35">
        <f>IF(G16=0,"— Sem meta",IF(C16&gt;=G16,"✓ Meta atingida","Em andamento"))</f>
        <v/>
      </c>
      <c r="KC16" s="13" t="n">
        <v>15</v>
      </c>
      <c r="KD16" s="14">
        <f>IF(15&lt;=$Z$3,DATE(Configurações!$B$3,1,15),"")</f>
        <v/>
      </c>
      <c r="KE16" s="13">
        <f>SUM($EE$67:$EE$79)</f>
        <v/>
      </c>
      <c r="KF16" s="13">
        <f>SUM($DZ$67:$DZ$79)</f>
        <v/>
      </c>
    </row>
    <row r="17" ht="18" customHeight="1">
      <c r="A17" s="36" t="n">
        <v>4</v>
      </c>
      <c r="B17" s="37">
        <f>INDEX($A$67:$A$79,MATCH(LARGE($KA$67:$KA$79,4),$KA$67:$KA$79,0))</f>
        <v/>
      </c>
      <c r="C17" s="38">
        <f>INDEX($JU$67:$JU$79,MATCH(LARGE($KA$67:$KA$79,4),$KA$67:$KA$79,0))</f>
        <v/>
      </c>
      <c r="D17" s="39">
        <f>INDEX($JV$67:$JV$79,MATCH(LARGE($KA$67:$KA$79,4),$KA$67:$KA$79,0))</f>
        <v/>
      </c>
      <c r="E17" s="38">
        <f>INDEX($JW$67:$JW$79,MATCH(LARGE($KA$67:$KA$79,4),$KA$67:$KA$79,0))</f>
        <v/>
      </c>
      <c r="F17" s="38">
        <f>INDEX($JX$67:$JX$79,MATCH(LARGE($KA$67:$KA$79,4),$KA$67:$KA$79,0))</f>
        <v/>
      </c>
      <c r="G17" s="38">
        <f>INDEX($JY$67:$JY$79,MATCH(LARGE($KA$67:$KA$79,4),$KA$67:$KA$79,0))</f>
        <v/>
      </c>
      <c r="H17" s="40">
        <f>IF(G17=0,"— Sem meta",IF(C17&gt;=G17,"✓ Meta atingida","Em andamento"))</f>
        <v/>
      </c>
      <c r="KC17" s="13" t="n">
        <v>16</v>
      </c>
      <c r="KD17" s="14">
        <f>IF(16&lt;=$Z$3,DATE(Configurações!$B$3,1,16),"")</f>
        <v/>
      </c>
      <c r="KE17" s="13">
        <f>SUM($EN$67:$EN$79)</f>
        <v/>
      </c>
      <c r="KF17" s="13">
        <f>SUM($EI$67:$EI$79)</f>
        <v/>
      </c>
    </row>
    <row r="18" ht="18" customHeight="1">
      <c r="A18" s="36" t="n">
        <v>5</v>
      </c>
      <c r="B18" s="37">
        <f>INDEX($A$67:$A$79,MATCH(LARGE($KA$67:$KA$79,5),$KA$67:$KA$79,0))</f>
        <v/>
      </c>
      <c r="C18" s="38">
        <f>INDEX($JU$67:$JU$79,MATCH(LARGE($KA$67:$KA$79,5),$KA$67:$KA$79,0))</f>
        <v/>
      </c>
      <c r="D18" s="39">
        <f>INDEX($JV$67:$JV$79,MATCH(LARGE($KA$67:$KA$79,5),$KA$67:$KA$79,0))</f>
        <v/>
      </c>
      <c r="E18" s="38">
        <f>INDEX($JW$67:$JW$79,MATCH(LARGE($KA$67:$KA$79,5),$KA$67:$KA$79,0))</f>
        <v/>
      </c>
      <c r="F18" s="38">
        <f>INDEX($JX$67:$JX$79,MATCH(LARGE($KA$67:$KA$79,5),$KA$67:$KA$79,0))</f>
        <v/>
      </c>
      <c r="G18" s="38">
        <f>INDEX($JY$67:$JY$79,MATCH(LARGE($KA$67:$KA$79,5),$KA$67:$KA$79,0))</f>
        <v/>
      </c>
      <c r="H18" s="40">
        <f>IF(G18=0,"— Sem meta",IF(C18&gt;=G18,"✓ Meta atingida","Em andamento"))</f>
        <v/>
      </c>
      <c r="KC18" s="13" t="n">
        <v>17</v>
      </c>
      <c r="KD18" s="14">
        <f>IF(17&lt;=$Z$3,DATE(Configurações!$B$3,1,17),"")</f>
        <v/>
      </c>
      <c r="KE18" s="13">
        <f>SUM($EW$67:$EW$79)</f>
        <v/>
      </c>
      <c r="KF18" s="13">
        <f>SUM($ER$67:$ER$79)</f>
        <v/>
      </c>
    </row>
    <row r="19" ht="18" customHeight="1">
      <c r="A19" s="41" t="n">
        <v>6</v>
      </c>
      <c r="B19" s="42">
        <f>INDEX($A$67:$A$79,MATCH(LARGE($KA$67:$KA$79,6),$KA$67:$KA$79,0))</f>
        <v/>
      </c>
      <c r="C19" s="43">
        <f>INDEX($JU$67:$JU$79,MATCH(LARGE($KA$67:$KA$79,6),$KA$67:$KA$79,0))</f>
        <v/>
      </c>
      <c r="D19" s="44">
        <f>INDEX($JV$67:$JV$79,MATCH(LARGE($KA$67:$KA$79,6),$KA$67:$KA$79,0))</f>
        <v/>
      </c>
      <c r="E19" s="43">
        <f>INDEX($JW$67:$JW$79,MATCH(LARGE($KA$67:$KA$79,6),$KA$67:$KA$79,0))</f>
        <v/>
      </c>
      <c r="F19" s="43">
        <f>INDEX($JX$67:$JX$79,MATCH(LARGE($KA$67:$KA$79,6),$KA$67:$KA$79,0))</f>
        <v/>
      </c>
      <c r="G19" s="43">
        <f>INDEX($JY$67:$JY$79,MATCH(LARGE($KA$67:$KA$79,6),$KA$67:$KA$79,0))</f>
        <v/>
      </c>
      <c r="H19" s="45">
        <f>IF(G19=0,"— Sem meta",IF(C19&gt;=G19,"✓ Meta atingida","Em andamento"))</f>
        <v/>
      </c>
      <c r="KC19" s="13" t="n">
        <v>18</v>
      </c>
      <c r="KD19" s="14">
        <f>IF(18&lt;=$Z$3,DATE(Configurações!$B$3,1,18),"")</f>
        <v/>
      </c>
      <c r="KE19" s="13">
        <f>SUM($FF$67:$FF$79)</f>
        <v/>
      </c>
      <c r="KF19" s="13">
        <f>SUM($FA$67:$FA$79)</f>
        <v/>
      </c>
    </row>
    <row r="20" ht="18" customHeight="1">
      <c r="A20" s="46" t="n">
        <v>7</v>
      </c>
      <c r="B20" s="47">
        <f>INDEX($A$67:$A$79,MATCH(LARGE($KA$67:$KA$79,7),$KA$67:$KA$79,0))</f>
        <v/>
      </c>
      <c r="C20" s="48">
        <f>INDEX($JU$67:$JU$79,MATCH(LARGE($KA$67:$KA$79,7),$KA$67:$KA$79,0))</f>
        <v/>
      </c>
      <c r="D20" s="49">
        <f>INDEX($JV$67:$JV$79,MATCH(LARGE($KA$67:$KA$79,7),$KA$67:$KA$79,0))</f>
        <v/>
      </c>
      <c r="E20" s="48">
        <f>INDEX($JW$67:$JW$79,MATCH(LARGE($KA$67:$KA$79,7),$KA$67:$KA$79,0))</f>
        <v/>
      </c>
      <c r="F20" s="48">
        <f>INDEX($JX$67:$JX$79,MATCH(LARGE($KA$67:$KA$79,7),$KA$67:$KA$79,0))</f>
        <v/>
      </c>
      <c r="G20" s="48">
        <f>INDEX($JY$67:$JY$79,MATCH(LARGE($KA$67:$KA$79,7),$KA$67:$KA$79,0))</f>
        <v/>
      </c>
      <c r="H20" s="50">
        <f>IF(G20=0,"— Sem meta",IF(C20&gt;=G20,"✓ Meta atingida","Em andamento"))</f>
        <v/>
      </c>
      <c r="KC20" s="13" t="n">
        <v>19</v>
      </c>
      <c r="KD20" s="14">
        <f>IF(19&lt;=$Z$3,DATE(Configurações!$B$3,1,19),"")</f>
        <v/>
      </c>
      <c r="KE20" s="13">
        <f>SUM($FO$67:$FO$79)</f>
        <v/>
      </c>
      <c r="KF20" s="13">
        <f>SUM($FJ$67:$FJ$79)</f>
        <v/>
      </c>
    </row>
    <row r="21" ht="18" customHeight="1">
      <c r="A21" s="41" t="n">
        <v>8</v>
      </c>
      <c r="B21" s="42">
        <f>INDEX($A$67:$A$79,MATCH(LARGE($KA$67:$KA$79,8),$KA$67:$KA$79,0))</f>
        <v/>
      </c>
      <c r="C21" s="43">
        <f>INDEX($JU$67:$JU$79,MATCH(LARGE($KA$67:$KA$79,8),$KA$67:$KA$79,0))</f>
        <v/>
      </c>
      <c r="D21" s="44">
        <f>INDEX($JV$67:$JV$79,MATCH(LARGE($KA$67:$KA$79,8),$KA$67:$KA$79,0))</f>
        <v/>
      </c>
      <c r="E21" s="43">
        <f>INDEX($JW$67:$JW$79,MATCH(LARGE($KA$67:$KA$79,8),$KA$67:$KA$79,0))</f>
        <v/>
      </c>
      <c r="F21" s="43">
        <f>INDEX($JX$67:$JX$79,MATCH(LARGE($KA$67:$KA$79,8),$KA$67:$KA$79,0))</f>
        <v/>
      </c>
      <c r="G21" s="43">
        <f>INDEX($JY$67:$JY$79,MATCH(LARGE($KA$67:$KA$79,8),$KA$67:$KA$79,0))</f>
        <v/>
      </c>
      <c r="H21" s="45">
        <f>IF(G21=0,"— Sem meta",IF(C21&gt;=G21,"✓ Meta atingida","Em andamento"))</f>
        <v/>
      </c>
      <c r="KC21" s="13" t="n">
        <v>20</v>
      </c>
      <c r="KD21" s="14">
        <f>IF(20&lt;=$Z$3,DATE(Configurações!$B$3,1,20),"")</f>
        <v/>
      </c>
      <c r="KE21" s="13">
        <f>SUM($FX$67:$FX$79)</f>
        <v/>
      </c>
      <c r="KF21" s="13">
        <f>SUM($FS$67:$FS$79)</f>
        <v/>
      </c>
    </row>
    <row r="22" ht="18" customHeight="1">
      <c r="A22" s="46" t="n">
        <v>9</v>
      </c>
      <c r="B22" s="47">
        <f>INDEX($A$67:$A$79,MATCH(LARGE($KA$67:$KA$79,9),$KA$67:$KA$79,0))</f>
        <v/>
      </c>
      <c r="C22" s="48">
        <f>INDEX($JU$67:$JU$79,MATCH(LARGE($KA$67:$KA$79,9),$KA$67:$KA$79,0))</f>
        <v/>
      </c>
      <c r="D22" s="49">
        <f>INDEX($JV$67:$JV$79,MATCH(LARGE($KA$67:$KA$79,9),$KA$67:$KA$79,0))</f>
        <v/>
      </c>
      <c r="E22" s="48">
        <f>INDEX($JW$67:$JW$79,MATCH(LARGE($KA$67:$KA$79,9),$KA$67:$KA$79,0))</f>
        <v/>
      </c>
      <c r="F22" s="48">
        <f>INDEX($JX$67:$JX$79,MATCH(LARGE($KA$67:$KA$79,9),$KA$67:$KA$79,0))</f>
        <v/>
      </c>
      <c r="G22" s="48">
        <f>INDEX($JY$67:$JY$79,MATCH(LARGE($KA$67:$KA$79,9),$KA$67:$KA$79,0))</f>
        <v/>
      </c>
      <c r="H22" s="50">
        <f>IF(G22=0,"— Sem meta",IF(C22&gt;=G22,"✓ Meta atingida","Em andamento"))</f>
        <v/>
      </c>
      <c r="KC22" s="13" t="n">
        <v>21</v>
      </c>
      <c r="KD22" s="14">
        <f>IF(21&lt;=$Z$3,DATE(Configurações!$B$3,1,21),"")</f>
        <v/>
      </c>
      <c r="KE22" s="13">
        <f>SUM($GG$67:$GG$79)</f>
        <v/>
      </c>
      <c r="KF22" s="13">
        <f>SUM($GB$67:$GB$79)</f>
        <v/>
      </c>
    </row>
    <row r="23" ht="18" customHeight="1">
      <c r="A23" s="41" t="n">
        <v>10</v>
      </c>
      <c r="B23" s="42">
        <f>INDEX($A$67:$A$79,MATCH(LARGE($KA$67:$KA$79,10),$KA$67:$KA$79,0))</f>
        <v/>
      </c>
      <c r="C23" s="43">
        <f>INDEX($JU$67:$JU$79,MATCH(LARGE($KA$67:$KA$79,10),$KA$67:$KA$79,0))</f>
        <v/>
      </c>
      <c r="D23" s="44">
        <f>INDEX($JV$67:$JV$79,MATCH(LARGE($KA$67:$KA$79,10),$KA$67:$KA$79,0))</f>
        <v/>
      </c>
      <c r="E23" s="43">
        <f>INDEX($JW$67:$JW$79,MATCH(LARGE($KA$67:$KA$79,10),$KA$67:$KA$79,0))</f>
        <v/>
      </c>
      <c r="F23" s="43">
        <f>INDEX($JX$67:$JX$79,MATCH(LARGE($KA$67:$KA$79,10),$KA$67:$KA$79,0))</f>
        <v/>
      </c>
      <c r="G23" s="43">
        <f>INDEX($JY$67:$JY$79,MATCH(LARGE($KA$67:$KA$79,10),$KA$67:$KA$79,0))</f>
        <v/>
      </c>
      <c r="H23" s="45">
        <f>IF(G23=0,"— Sem meta",IF(C23&gt;=G23,"✓ Meta atingida","Em andamento"))</f>
        <v/>
      </c>
      <c r="KC23" s="13" t="n">
        <v>22</v>
      </c>
      <c r="KD23" s="14">
        <f>IF(22&lt;=$Z$3,DATE(Configurações!$B$3,1,22),"")</f>
        <v/>
      </c>
      <c r="KE23" s="13">
        <f>SUM($GP$67:$GP$79)</f>
        <v/>
      </c>
      <c r="KF23" s="13">
        <f>SUM($GK$67:$GK$79)</f>
        <v/>
      </c>
    </row>
    <row r="24" ht="18" customHeight="1">
      <c r="A24" s="46" t="n">
        <v>11</v>
      </c>
      <c r="B24" s="47">
        <f>INDEX($A$67:$A$79,MATCH(LARGE($KA$67:$KA$79,11),$KA$67:$KA$79,0))</f>
        <v/>
      </c>
      <c r="C24" s="48">
        <f>INDEX($JU$67:$JU$79,MATCH(LARGE($KA$67:$KA$79,11),$KA$67:$KA$79,0))</f>
        <v/>
      </c>
      <c r="D24" s="49">
        <f>INDEX($JV$67:$JV$79,MATCH(LARGE($KA$67:$KA$79,11),$KA$67:$KA$79,0))</f>
        <v/>
      </c>
      <c r="E24" s="48">
        <f>INDEX($JW$67:$JW$79,MATCH(LARGE($KA$67:$KA$79,11),$KA$67:$KA$79,0))</f>
        <v/>
      </c>
      <c r="F24" s="48">
        <f>INDEX($JX$67:$JX$79,MATCH(LARGE($KA$67:$KA$79,11),$KA$67:$KA$79,0))</f>
        <v/>
      </c>
      <c r="G24" s="48">
        <f>INDEX($JY$67:$JY$79,MATCH(LARGE($KA$67:$KA$79,11),$KA$67:$KA$79,0))</f>
        <v/>
      </c>
      <c r="H24" s="50">
        <f>IF(G24=0,"— Sem meta",IF(C24&gt;=G24,"✓ Meta atingida","Em andamento"))</f>
        <v/>
      </c>
      <c r="KC24" s="13" t="n">
        <v>23</v>
      </c>
      <c r="KD24" s="14">
        <f>IF(23&lt;=$Z$3,DATE(Configurações!$B$3,1,23),"")</f>
        <v/>
      </c>
      <c r="KE24" s="13">
        <f>SUM($GY$67:$GY$79)</f>
        <v/>
      </c>
      <c r="KF24" s="13">
        <f>SUM($GT$67:$GT$79)</f>
        <v/>
      </c>
    </row>
    <row r="25" ht="18" customHeight="1">
      <c r="A25" s="41" t="n">
        <v>12</v>
      </c>
      <c r="B25" s="42">
        <f>INDEX($A$67:$A$79,MATCH(LARGE($KA$67:$KA$79,12),$KA$67:$KA$79,0))</f>
        <v/>
      </c>
      <c r="C25" s="43">
        <f>INDEX($JU$67:$JU$79,MATCH(LARGE($KA$67:$KA$79,12),$KA$67:$KA$79,0))</f>
        <v/>
      </c>
      <c r="D25" s="44">
        <f>INDEX($JV$67:$JV$79,MATCH(LARGE($KA$67:$KA$79,12),$KA$67:$KA$79,0))</f>
        <v/>
      </c>
      <c r="E25" s="43">
        <f>INDEX($JW$67:$JW$79,MATCH(LARGE($KA$67:$KA$79,12),$KA$67:$KA$79,0))</f>
        <v/>
      </c>
      <c r="F25" s="43">
        <f>INDEX($JX$67:$JX$79,MATCH(LARGE($KA$67:$KA$79,12),$KA$67:$KA$79,0))</f>
        <v/>
      </c>
      <c r="G25" s="43">
        <f>INDEX($JY$67:$JY$79,MATCH(LARGE($KA$67:$KA$79,12),$KA$67:$KA$79,0))</f>
        <v/>
      </c>
      <c r="H25" s="45">
        <f>IF(G25=0,"— Sem meta",IF(C25&gt;=G25,"✓ Meta atingida","Em andamento"))</f>
        <v/>
      </c>
      <c r="KC25" s="13" t="n">
        <v>24</v>
      </c>
      <c r="KD25" s="14">
        <f>IF(24&lt;=$Z$3,DATE(Configurações!$B$3,1,24),"")</f>
        <v/>
      </c>
      <c r="KE25" s="13">
        <f>SUM($HH$67:$HH$79)</f>
        <v/>
      </c>
      <c r="KF25" s="13">
        <f>SUM($HC$67:$HC$79)</f>
        <v/>
      </c>
    </row>
    <row r="26" ht="18" customHeight="1">
      <c r="A26" s="46" t="n">
        <v>13</v>
      </c>
      <c r="B26" s="47">
        <f>INDEX($A$67:$A$79,MATCH(LARGE($KA$67:$KA$79,13),$KA$67:$KA$79,0))</f>
        <v/>
      </c>
      <c r="C26" s="48">
        <f>INDEX($JU$67:$JU$79,MATCH(LARGE($KA$67:$KA$79,13),$KA$67:$KA$79,0))</f>
        <v/>
      </c>
      <c r="D26" s="49">
        <f>INDEX($JV$67:$JV$79,MATCH(LARGE($KA$67:$KA$79,13),$KA$67:$KA$79,0))</f>
        <v/>
      </c>
      <c r="E26" s="48">
        <f>INDEX($JW$67:$JW$79,MATCH(LARGE($KA$67:$KA$79,13),$KA$67:$KA$79,0))</f>
        <v/>
      </c>
      <c r="F26" s="48">
        <f>INDEX($JX$67:$JX$79,MATCH(LARGE($KA$67:$KA$79,13),$KA$67:$KA$79,0))</f>
        <v/>
      </c>
      <c r="G26" s="48">
        <f>INDEX($JY$67:$JY$79,MATCH(LARGE($KA$67:$KA$79,13),$KA$67:$KA$79,0))</f>
        <v/>
      </c>
      <c r="H26" s="50">
        <f>IF(G26=0,"— Sem meta",IF(C26&gt;=G26,"✓ Meta atingida","Em andamento"))</f>
        <v/>
      </c>
      <c r="KC26" s="13" t="n">
        <v>25</v>
      </c>
      <c r="KD26" s="14">
        <f>IF(25&lt;=$Z$3,DATE(Configurações!$B$3,1,25),"")</f>
        <v/>
      </c>
      <c r="KE26" s="13">
        <f>SUM($HQ$67:$HQ$79)</f>
        <v/>
      </c>
      <c r="KF26" s="13">
        <f>SUM($HL$67:$HL$79)</f>
        <v/>
      </c>
    </row>
    <row r="27">
      <c r="KC27" s="13" t="n">
        <v>26</v>
      </c>
      <c r="KD27" s="14">
        <f>IF(26&lt;=$Z$3,DATE(Configurações!$B$3,1,26),"")</f>
        <v/>
      </c>
      <c r="KE27" s="13">
        <f>SUM($HZ$67:$HZ$79)</f>
        <v/>
      </c>
      <c r="KF27" s="13">
        <f>SUM($HU$67:$HU$79)</f>
        <v/>
      </c>
    </row>
    <row r="28">
      <c r="KC28" s="13" t="n">
        <v>27</v>
      </c>
      <c r="KD28" s="14">
        <f>IF(27&lt;=$Z$3,DATE(Configurações!$B$3,1,27),"")</f>
        <v/>
      </c>
      <c r="KE28" s="13">
        <f>SUM($II$67:$II$79)</f>
        <v/>
      </c>
      <c r="KF28" s="13">
        <f>SUM($ID$67:$ID$79)</f>
        <v/>
      </c>
    </row>
    <row r="29">
      <c r="KC29" s="13" t="n">
        <v>28</v>
      </c>
      <c r="KD29" s="14">
        <f>IF(28&lt;=$Z$3,DATE(Configurações!$B$3,1,28),"")</f>
        <v/>
      </c>
      <c r="KE29" s="13">
        <f>SUM($IR$67:$IR$79)</f>
        <v/>
      </c>
      <c r="KF29" s="13">
        <f>SUM($IM$67:$IM$79)</f>
        <v/>
      </c>
    </row>
    <row r="30">
      <c r="KC30" s="13" t="n">
        <v>29</v>
      </c>
      <c r="KD30" s="14">
        <f>IF(29&lt;=$Z$3,DATE(Configurações!$B$3,1,29),"")</f>
        <v/>
      </c>
      <c r="KE30" s="13">
        <f>SUM($JA$67:$JA$79)</f>
        <v/>
      </c>
      <c r="KF30" s="13">
        <f>SUM($IV$67:$IV$79)</f>
        <v/>
      </c>
    </row>
    <row r="31">
      <c r="KC31" s="13" t="n">
        <v>30</v>
      </c>
      <c r="KD31" s="14">
        <f>IF(30&lt;=$Z$3,DATE(Configurações!$B$3,1,30),"")</f>
        <v/>
      </c>
      <c r="KE31" s="13">
        <f>SUM($JJ$67:$JJ$79)</f>
        <v/>
      </c>
      <c r="KF31" s="13">
        <f>SUM($JE$67:$JE$79)</f>
        <v/>
      </c>
    </row>
    <row r="32">
      <c r="KC32" s="13" t="n">
        <v>31</v>
      </c>
      <c r="KD32" s="14">
        <f>IF(31&lt;=$Z$3,DATE(Configurações!$B$3,1,31),"")</f>
        <v/>
      </c>
      <c r="KE32" s="13">
        <f>SUM($JS$67:$JS$79)</f>
        <v/>
      </c>
      <c r="KF32" s="13">
        <f>SUM($JN$67:$JN$79)</f>
        <v/>
      </c>
    </row>
    <row r="64" ht="22" customHeight="1">
      <c r="A64" s="51" t="inlineStr">
        <is>
          <t>📋  LANÇAMENTOS DIÁRIOS POR ASSESSOR (role para a direita)</t>
        </is>
      </c>
    </row>
    <row r="65" ht="20" customHeight="1">
      <c r="A65" s="52" t="inlineStr">
        <is>
          <t>Assessor</t>
        </is>
      </c>
      <c r="B65" s="18">
        <f>"Dia 1 — "&amp;IF(1&lt;=$Z$3,TEXT(DATE(Configurações!$B$3,1,1),"dd/mm")&amp;" ("&amp;CHOOSE(WEEKDAY(DATE(Configurações!$B$3,1,1)),"Dom","Seg","Ter","Qua","Qui","Sex","Sáb")&amp;")","—")</f>
        <v/>
      </c>
      <c r="K65" s="18">
        <f>"Dia 2 — "&amp;IF(2&lt;=$Z$3,TEXT(DATE(Configurações!$B$3,1,2),"dd/mm")&amp;" ("&amp;CHOOSE(WEEKDAY(DATE(Configurações!$B$3,1,2)),"Dom","Seg","Ter","Qua","Qui","Sex","Sáb")&amp;")","—")</f>
        <v/>
      </c>
      <c r="T65" s="18">
        <f>"Dia 3 — "&amp;IF(3&lt;=$Z$3,TEXT(DATE(Configurações!$B$3,1,3),"dd/mm")&amp;" ("&amp;CHOOSE(WEEKDAY(DATE(Configurações!$B$3,1,3)),"Dom","Seg","Ter","Qua","Qui","Sex","Sáb")&amp;")","—")</f>
        <v/>
      </c>
      <c r="AC65" s="18">
        <f>"Dia 4 — "&amp;IF(4&lt;=$Z$3,TEXT(DATE(Configurações!$B$3,1,4),"dd/mm")&amp;" ("&amp;CHOOSE(WEEKDAY(DATE(Configurações!$B$3,1,4)),"Dom","Seg","Ter","Qua","Qui","Sex","Sáb")&amp;")","—")</f>
        <v/>
      </c>
      <c r="AL65" s="18">
        <f>"Dia 5 — "&amp;IF(5&lt;=$Z$3,TEXT(DATE(Configurações!$B$3,1,5),"dd/mm")&amp;" ("&amp;CHOOSE(WEEKDAY(DATE(Configurações!$B$3,1,5)),"Dom","Seg","Ter","Qua","Qui","Sex","Sáb")&amp;")","—")</f>
        <v/>
      </c>
      <c r="AU65" s="18">
        <f>"Dia 6 — "&amp;IF(6&lt;=$Z$3,TEXT(DATE(Configurações!$B$3,1,6),"dd/mm")&amp;" ("&amp;CHOOSE(WEEKDAY(DATE(Configurações!$B$3,1,6)),"Dom","Seg","Ter","Qua","Qui","Sex","Sáb")&amp;")","—")</f>
        <v/>
      </c>
      <c r="BD65" s="18">
        <f>"Dia 7 — "&amp;IF(7&lt;=$Z$3,TEXT(DATE(Configurações!$B$3,1,7),"dd/mm")&amp;" ("&amp;CHOOSE(WEEKDAY(DATE(Configurações!$B$3,1,7)),"Dom","Seg","Ter","Qua","Qui","Sex","Sáb")&amp;")","—")</f>
        <v/>
      </c>
      <c r="BM65" s="18">
        <f>"Dia 8 — "&amp;IF(8&lt;=$Z$3,TEXT(DATE(Configurações!$B$3,1,8),"dd/mm")&amp;" ("&amp;CHOOSE(WEEKDAY(DATE(Configurações!$B$3,1,8)),"Dom","Seg","Ter","Qua","Qui","Sex","Sáb")&amp;")","—")</f>
        <v/>
      </c>
      <c r="BV65" s="18">
        <f>"Dia 9 — "&amp;IF(9&lt;=$Z$3,TEXT(DATE(Configurações!$B$3,1,9),"dd/mm")&amp;" ("&amp;CHOOSE(WEEKDAY(DATE(Configurações!$B$3,1,9)),"Dom","Seg","Ter","Qua","Qui","Sex","Sáb")&amp;")","—")</f>
        <v/>
      </c>
      <c r="CE65" s="18">
        <f>"Dia 10 — "&amp;IF(10&lt;=$Z$3,TEXT(DATE(Configurações!$B$3,1,10),"dd/mm")&amp;" ("&amp;CHOOSE(WEEKDAY(DATE(Configurações!$B$3,1,10)),"Dom","Seg","Ter","Qua","Qui","Sex","Sáb")&amp;")","—")</f>
        <v/>
      </c>
      <c r="CN65" s="18">
        <f>"Dia 11 — "&amp;IF(11&lt;=$Z$3,TEXT(DATE(Configurações!$B$3,1,11),"dd/mm")&amp;" ("&amp;CHOOSE(WEEKDAY(DATE(Configurações!$B$3,1,11)),"Dom","Seg","Ter","Qua","Qui","Sex","Sáb")&amp;")","—")</f>
        <v/>
      </c>
      <c r="CW65" s="18">
        <f>"Dia 12 — "&amp;IF(12&lt;=$Z$3,TEXT(DATE(Configurações!$B$3,1,12),"dd/mm")&amp;" ("&amp;CHOOSE(WEEKDAY(DATE(Configurações!$B$3,1,12)),"Dom","Seg","Ter","Qua","Qui","Sex","Sáb")&amp;")","—")</f>
        <v/>
      </c>
      <c r="DF65" s="18">
        <f>"Dia 13 — "&amp;IF(13&lt;=$Z$3,TEXT(DATE(Configurações!$B$3,1,13),"dd/mm")&amp;" ("&amp;CHOOSE(WEEKDAY(DATE(Configurações!$B$3,1,13)),"Dom","Seg","Ter","Qua","Qui","Sex","Sáb")&amp;")","—")</f>
        <v/>
      </c>
      <c r="DO65" s="18">
        <f>"Dia 14 — "&amp;IF(14&lt;=$Z$3,TEXT(DATE(Configurações!$B$3,1,14),"dd/mm")&amp;" ("&amp;CHOOSE(WEEKDAY(DATE(Configurações!$B$3,1,14)),"Dom","Seg","Ter","Qua","Qui","Sex","Sáb")&amp;")","—")</f>
        <v/>
      </c>
      <c r="DX65" s="18">
        <f>"Dia 15 — "&amp;IF(15&lt;=$Z$3,TEXT(DATE(Configurações!$B$3,1,15),"dd/mm")&amp;" ("&amp;CHOOSE(WEEKDAY(DATE(Configurações!$B$3,1,15)),"Dom","Seg","Ter","Qua","Qui","Sex","Sáb")&amp;")","—")</f>
        <v/>
      </c>
      <c r="EG65" s="18">
        <f>"Dia 16 — "&amp;IF(16&lt;=$Z$3,TEXT(DATE(Configurações!$B$3,1,16),"dd/mm")&amp;" ("&amp;CHOOSE(WEEKDAY(DATE(Configurações!$B$3,1,16)),"Dom","Seg","Ter","Qua","Qui","Sex","Sáb")&amp;")","—")</f>
        <v/>
      </c>
      <c r="EP65" s="18">
        <f>"Dia 17 — "&amp;IF(17&lt;=$Z$3,TEXT(DATE(Configurações!$B$3,1,17),"dd/mm")&amp;" ("&amp;CHOOSE(WEEKDAY(DATE(Configurações!$B$3,1,17)),"Dom","Seg","Ter","Qua","Qui","Sex","Sáb")&amp;")","—")</f>
        <v/>
      </c>
      <c r="EY65" s="18">
        <f>"Dia 18 — "&amp;IF(18&lt;=$Z$3,TEXT(DATE(Configurações!$B$3,1,18),"dd/mm")&amp;" ("&amp;CHOOSE(WEEKDAY(DATE(Configurações!$B$3,1,18)),"Dom","Seg","Ter","Qua","Qui","Sex","Sáb")&amp;")","—")</f>
        <v/>
      </c>
      <c r="FH65" s="18">
        <f>"Dia 19 — "&amp;IF(19&lt;=$Z$3,TEXT(DATE(Configurações!$B$3,1,19),"dd/mm")&amp;" ("&amp;CHOOSE(WEEKDAY(DATE(Configurações!$B$3,1,19)),"Dom","Seg","Ter","Qua","Qui","Sex","Sáb")&amp;")","—")</f>
        <v/>
      </c>
      <c r="FQ65" s="18">
        <f>"Dia 20 — "&amp;IF(20&lt;=$Z$3,TEXT(DATE(Configurações!$B$3,1,20),"dd/mm")&amp;" ("&amp;CHOOSE(WEEKDAY(DATE(Configurações!$B$3,1,20)),"Dom","Seg","Ter","Qua","Qui","Sex","Sáb")&amp;")","—")</f>
        <v/>
      </c>
      <c r="FZ65" s="18">
        <f>"Dia 21 — "&amp;IF(21&lt;=$Z$3,TEXT(DATE(Configurações!$B$3,1,21),"dd/mm")&amp;" ("&amp;CHOOSE(WEEKDAY(DATE(Configurações!$B$3,1,21)),"Dom","Seg","Ter","Qua","Qui","Sex","Sáb")&amp;")","—")</f>
        <v/>
      </c>
      <c r="GI65" s="18">
        <f>"Dia 22 — "&amp;IF(22&lt;=$Z$3,TEXT(DATE(Configurações!$B$3,1,22),"dd/mm")&amp;" ("&amp;CHOOSE(WEEKDAY(DATE(Configurações!$B$3,1,22)),"Dom","Seg","Ter","Qua","Qui","Sex","Sáb")&amp;")","—")</f>
        <v/>
      </c>
      <c r="GR65" s="18">
        <f>"Dia 23 — "&amp;IF(23&lt;=$Z$3,TEXT(DATE(Configurações!$B$3,1,23),"dd/mm")&amp;" ("&amp;CHOOSE(WEEKDAY(DATE(Configurações!$B$3,1,23)),"Dom","Seg","Ter","Qua","Qui","Sex","Sáb")&amp;")","—")</f>
        <v/>
      </c>
      <c r="HA65" s="18">
        <f>"Dia 24 — "&amp;IF(24&lt;=$Z$3,TEXT(DATE(Configurações!$B$3,1,24),"dd/mm")&amp;" ("&amp;CHOOSE(WEEKDAY(DATE(Configurações!$B$3,1,24)),"Dom","Seg","Ter","Qua","Qui","Sex","Sáb")&amp;")","—")</f>
        <v/>
      </c>
      <c r="HJ65" s="18">
        <f>"Dia 25 — "&amp;IF(25&lt;=$Z$3,TEXT(DATE(Configurações!$B$3,1,25),"dd/mm")&amp;" ("&amp;CHOOSE(WEEKDAY(DATE(Configurações!$B$3,1,25)),"Dom","Seg","Ter","Qua","Qui","Sex","Sáb")&amp;")","—")</f>
        <v/>
      </c>
      <c r="HS65" s="18">
        <f>"Dia 26 — "&amp;IF(26&lt;=$Z$3,TEXT(DATE(Configurações!$B$3,1,26),"dd/mm")&amp;" ("&amp;CHOOSE(WEEKDAY(DATE(Configurações!$B$3,1,26)),"Dom","Seg","Ter","Qua","Qui","Sex","Sáb")&amp;")","—")</f>
        <v/>
      </c>
      <c r="IB65" s="18">
        <f>"Dia 27 — "&amp;IF(27&lt;=$Z$3,TEXT(DATE(Configurações!$B$3,1,27),"dd/mm")&amp;" ("&amp;CHOOSE(WEEKDAY(DATE(Configurações!$B$3,1,27)),"Dom","Seg","Ter","Qua","Qui","Sex","Sáb")&amp;")","—")</f>
        <v/>
      </c>
      <c r="IK65" s="18">
        <f>"Dia 28 — "&amp;IF(28&lt;=$Z$3,TEXT(DATE(Configurações!$B$3,1,28),"dd/mm")&amp;" ("&amp;CHOOSE(WEEKDAY(DATE(Configurações!$B$3,1,28)),"Dom","Seg","Ter","Qua","Qui","Sex","Sáb")&amp;")","—")</f>
        <v/>
      </c>
      <c r="IT65" s="18">
        <f>"Dia 29 — "&amp;IF(29&lt;=$Z$3,TEXT(DATE(Configurações!$B$3,1,29),"dd/mm")&amp;" ("&amp;CHOOSE(WEEKDAY(DATE(Configurações!$B$3,1,29)),"Dom","Seg","Ter","Qua","Qui","Sex","Sáb")&amp;")","—")</f>
        <v/>
      </c>
      <c r="JC65" s="18">
        <f>"Dia 30 — "&amp;IF(30&lt;=$Z$3,TEXT(DATE(Configurações!$B$3,1,30),"dd/mm")&amp;" ("&amp;CHOOSE(WEEKDAY(DATE(Configurações!$B$3,1,30)),"Dom","Seg","Ter","Qua","Qui","Sex","Sáb")&amp;")","—")</f>
        <v/>
      </c>
      <c r="JL65" s="18">
        <f>"Dia 31 — "&amp;IF(31&lt;=$Z$3,TEXT(DATE(Configurações!$B$3,1,31),"dd/mm")&amp;" ("&amp;CHOOSE(WEEKDAY(DATE(Configurações!$B$3,1,31)),"Dom","Seg","Ter","Qua","Qui","Sex","Sáb")&amp;")","—")</f>
        <v/>
      </c>
      <c r="JU65" s="53" t="inlineStr">
        <is>
          <t>Produção Total (Mês)</t>
        </is>
      </c>
      <c r="JV65" s="53" t="inlineStr">
        <is>
          <t>Captação Líquida (Mês)</t>
        </is>
      </c>
      <c r="JW65" s="53" t="inlineStr">
        <is>
          <t>Saldo Pulso Atual</t>
        </is>
      </c>
      <c r="JX65" s="53" t="inlineStr">
        <is>
          <t>Média Diária</t>
        </is>
      </c>
      <c r="JY65" s="53" t="inlineStr">
        <is>
          <t>Meta Mensal</t>
        </is>
      </c>
      <c r="JZ65" s="53" t="inlineStr">
        <is>
          <t>Status Meta</t>
        </is>
      </c>
      <c r="KA65" s="53" t="inlineStr"/>
    </row>
    <row r="66" ht="26" customHeight="1">
      <c r="B66" s="54" t="inlineStr">
        <is>
          <t>Saldo Pulso</t>
        </is>
      </c>
      <c r="C66" s="54" t="inlineStr">
        <is>
          <t>Saldo Anterior</t>
        </is>
      </c>
      <c r="D66" s="54" t="inlineStr">
        <is>
          <t>Captação Líq.</t>
        </is>
      </c>
      <c r="E66" s="54" t="inlineStr">
        <is>
          <t>COE</t>
        </is>
      </c>
      <c r="F66" s="54" t="inlineStr">
        <is>
          <t>Previdência</t>
        </is>
      </c>
      <c r="G66" s="54" t="inlineStr">
        <is>
          <t>Créd. Privado</t>
        </is>
      </c>
      <c r="H66" s="54" t="inlineStr">
        <is>
          <t>Tít. Públicos</t>
        </is>
      </c>
      <c r="I66" s="54" t="inlineStr">
        <is>
          <t>Produção Tot.</t>
        </is>
      </c>
      <c r="J66" s="54" t="inlineStr">
        <is>
          <t>Obs.</t>
        </is>
      </c>
      <c r="K66" s="54" t="inlineStr">
        <is>
          <t>Saldo Pulso</t>
        </is>
      </c>
      <c r="L66" s="54" t="inlineStr">
        <is>
          <t>Saldo Anterior</t>
        </is>
      </c>
      <c r="M66" s="54" t="inlineStr">
        <is>
          <t>Captação Líq.</t>
        </is>
      </c>
      <c r="N66" s="54" t="inlineStr">
        <is>
          <t>COE</t>
        </is>
      </c>
      <c r="O66" s="54" t="inlineStr">
        <is>
          <t>Previdência</t>
        </is>
      </c>
      <c r="P66" s="54" t="inlineStr">
        <is>
          <t>Créd. Privado</t>
        </is>
      </c>
      <c r="Q66" s="54" t="inlineStr">
        <is>
          <t>Tít. Públicos</t>
        </is>
      </c>
      <c r="R66" s="54" t="inlineStr">
        <is>
          <t>Produção Tot.</t>
        </is>
      </c>
      <c r="S66" s="54" t="inlineStr">
        <is>
          <t>Obs.</t>
        </is>
      </c>
      <c r="T66" s="54" t="inlineStr">
        <is>
          <t>Saldo Pulso</t>
        </is>
      </c>
      <c r="U66" s="54" t="inlineStr">
        <is>
          <t>Saldo Anterior</t>
        </is>
      </c>
      <c r="V66" s="54" t="inlineStr">
        <is>
          <t>Captação Líq.</t>
        </is>
      </c>
      <c r="W66" s="54" t="inlineStr">
        <is>
          <t>COE</t>
        </is>
      </c>
      <c r="X66" s="54" t="inlineStr">
        <is>
          <t>Previdência</t>
        </is>
      </c>
      <c r="Y66" s="54" t="inlineStr">
        <is>
          <t>Créd. Privado</t>
        </is>
      </c>
      <c r="Z66" s="54" t="inlineStr">
        <is>
          <t>Tít. Públicos</t>
        </is>
      </c>
      <c r="AA66" s="54" t="inlineStr">
        <is>
          <t>Produção Tot.</t>
        </is>
      </c>
      <c r="AB66" s="54" t="inlineStr">
        <is>
          <t>Obs.</t>
        </is>
      </c>
      <c r="AC66" s="54" t="inlineStr">
        <is>
          <t>Saldo Pulso</t>
        </is>
      </c>
      <c r="AD66" s="54" t="inlineStr">
        <is>
          <t>Saldo Anterior</t>
        </is>
      </c>
      <c r="AE66" s="54" t="inlineStr">
        <is>
          <t>Captação Líq.</t>
        </is>
      </c>
      <c r="AF66" s="54" t="inlineStr">
        <is>
          <t>COE</t>
        </is>
      </c>
      <c r="AG66" s="54" t="inlineStr">
        <is>
          <t>Previdência</t>
        </is>
      </c>
      <c r="AH66" s="54" t="inlineStr">
        <is>
          <t>Créd. Privado</t>
        </is>
      </c>
      <c r="AI66" s="54" t="inlineStr">
        <is>
          <t>Tít. Públicos</t>
        </is>
      </c>
      <c r="AJ66" s="54" t="inlineStr">
        <is>
          <t>Produção Tot.</t>
        </is>
      </c>
      <c r="AK66" s="54" t="inlineStr">
        <is>
          <t>Obs.</t>
        </is>
      </c>
      <c r="AL66" s="54" t="inlineStr">
        <is>
          <t>Saldo Pulso</t>
        </is>
      </c>
      <c r="AM66" s="54" t="inlineStr">
        <is>
          <t>Saldo Anterior</t>
        </is>
      </c>
      <c r="AN66" s="54" t="inlineStr">
        <is>
          <t>Captação Líq.</t>
        </is>
      </c>
      <c r="AO66" s="54" t="inlineStr">
        <is>
          <t>COE</t>
        </is>
      </c>
      <c r="AP66" s="54" t="inlineStr">
        <is>
          <t>Previdência</t>
        </is>
      </c>
      <c r="AQ66" s="54" t="inlineStr">
        <is>
          <t>Créd. Privado</t>
        </is>
      </c>
      <c r="AR66" s="54" t="inlineStr">
        <is>
          <t>Tít. Públicos</t>
        </is>
      </c>
      <c r="AS66" s="54" t="inlineStr">
        <is>
          <t>Produção Tot.</t>
        </is>
      </c>
      <c r="AT66" s="54" t="inlineStr">
        <is>
          <t>Obs.</t>
        </is>
      </c>
      <c r="AU66" s="54" t="inlineStr">
        <is>
          <t>Saldo Pulso</t>
        </is>
      </c>
      <c r="AV66" s="54" t="inlineStr">
        <is>
          <t>Saldo Anterior</t>
        </is>
      </c>
      <c r="AW66" s="54" t="inlineStr">
        <is>
          <t>Captação Líq.</t>
        </is>
      </c>
      <c r="AX66" s="54" t="inlineStr">
        <is>
          <t>COE</t>
        </is>
      </c>
      <c r="AY66" s="54" t="inlineStr">
        <is>
          <t>Previdência</t>
        </is>
      </c>
      <c r="AZ66" s="54" t="inlineStr">
        <is>
          <t>Créd. Privado</t>
        </is>
      </c>
      <c r="BA66" s="54" t="inlineStr">
        <is>
          <t>Tít. Públicos</t>
        </is>
      </c>
      <c r="BB66" s="54" t="inlineStr">
        <is>
          <t>Produção Tot.</t>
        </is>
      </c>
      <c r="BC66" s="54" t="inlineStr">
        <is>
          <t>Obs.</t>
        </is>
      </c>
      <c r="BD66" s="54" t="inlineStr">
        <is>
          <t>Saldo Pulso</t>
        </is>
      </c>
      <c r="BE66" s="54" t="inlineStr">
        <is>
          <t>Saldo Anterior</t>
        </is>
      </c>
      <c r="BF66" s="54" t="inlineStr">
        <is>
          <t>Captação Líq.</t>
        </is>
      </c>
      <c r="BG66" s="54" t="inlineStr">
        <is>
          <t>COE</t>
        </is>
      </c>
      <c r="BH66" s="54" t="inlineStr">
        <is>
          <t>Previdência</t>
        </is>
      </c>
      <c r="BI66" s="54" t="inlineStr">
        <is>
          <t>Créd. Privado</t>
        </is>
      </c>
      <c r="BJ66" s="54" t="inlineStr">
        <is>
          <t>Tít. Públicos</t>
        </is>
      </c>
      <c r="BK66" s="54" t="inlineStr">
        <is>
          <t>Produção Tot.</t>
        </is>
      </c>
      <c r="BL66" s="54" t="inlineStr">
        <is>
          <t>Obs.</t>
        </is>
      </c>
      <c r="BM66" s="54" t="inlineStr">
        <is>
          <t>Saldo Pulso</t>
        </is>
      </c>
      <c r="BN66" s="54" t="inlineStr">
        <is>
          <t>Saldo Anterior</t>
        </is>
      </c>
      <c r="BO66" s="54" t="inlineStr">
        <is>
          <t>Captação Líq.</t>
        </is>
      </c>
      <c r="BP66" s="54" t="inlineStr">
        <is>
          <t>COE</t>
        </is>
      </c>
      <c r="BQ66" s="54" t="inlineStr">
        <is>
          <t>Previdência</t>
        </is>
      </c>
      <c r="BR66" s="54" t="inlineStr">
        <is>
          <t>Créd. Privado</t>
        </is>
      </c>
      <c r="BS66" s="54" t="inlineStr">
        <is>
          <t>Tít. Públicos</t>
        </is>
      </c>
      <c r="BT66" s="54" t="inlineStr">
        <is>
          <t>Produção Tot.</t>
        </is>
      </c>
      <c r="BU66" s="54" t="inlineStr">
        <is>
          <t>Obs.</t>
        </is>
      </c>
      <c r="BV66" s="54" t="inlineStr">
        <is>
          <t>Saldo Pulso</t>
        </is>
      </c>
      <c r="BW66" s="54" t="inlineStr">
        <is>
          <t>Saldo Anterior</t>
        </is>
      </c>
      <c r="BX66" s="54" t="inlineStr">
        <is>
          <t>Captação Líq.</t>
        </is>
      </c>
      <c r="BY66" s="54" t="inlineStr">
        <is>
          <t>COE</t>
        </is>
      </c>
      <c r="BZ66" s="54" t="inlineStr">
        <is>
          <t>Previdência</t>
        </is>
      </c>
      <c r="CA66" s="54" t="inlineStr">
        <is>
          <t>Créd. Privado</t>
        </is>
      </c>
      <c r="CB66" s="54" t="inlineStr">
        <is>
          <t>Tít. Públicos</t>
        </is>
      </c>
      <c r="CC66" s="54" t="inlineStr">
        <is>
          <t>Produção Tot.</t>
        </is>
      </c>
      <c r="CD66" s="54" t="inlineStr">
        <is>
          <t>Obs.</t>
        </is>
      </c>
      <c r="CE66" s="54" t="inlineStr">
        <is>
          <t>Saldo Pulso</t>
        </is>
      </c>
      <c r="CF66" s="54" t="inlineStr">
        <is>
          <t>Saldo Anterior</t>
        </is>
      </c>
      <c r="CG66" s="54" t="inlineStr">
        <is>
          <t>Captação Líq.</t>
        </is>
      </c>
      <c r="CH66" s="54" t="inlineStr">
        <is>
          <t>COE</t>
        </is>
      </c>
      <c r="CI66" s="54" t="inlineStr">
        <is>
          <t>Previdência</t>
        </is>
      </c>
      <c r="CJ66" s="54" t="inlineStr">
        <is>
          <t>Créd. Privado</t>
        </is>
      </c>
      <c r="CK66" s="54" t="inlineStr">
        <is>
          <t>Tít. Públicos</t>
        </is>
      </c>
      <c r="CL66" s="54" t="inlineStr">
        <is>
          <t>Produção Tot.</t>
        </is>
      </c>
      <c r="CM66" s="54" t="inlineStr">
        <is>
          <t>Obs.</t>
        </is>
      </c>
      <c r="CN66" s="54" t="inlineStr">
        <is>
          <t>Saldo Pulso</t>
        </is>
      </c>
      <c r="CO66" s="54" t="inlineStr">
        <is>
          <t>Saldo Anterior</t>
        </is>
      </c>
      <c r="CP66" s="54" t="inlineStr">
        <is>
          <t>Captação Líq.</t>
        </is>
      </c>
      <c r="CQ66" s="54" t="inlineStr">
        <is>
          <t>COE</t>
        </is>
      </c>
      <c r="CR66" s="54" t="inlineStr">
        <is>
          <t>Previdência</t>
        </is>
      </c>
      <c r="CS66" s="54" t="inlineStr">
        <is>
          <t>Créd. Privado</t>
        </is>
      </c>
      <c r="CT66" s="54" t="inlineStr">
        <is>
          <t>Tít. Públicos</t>
        </is>
      </c>
      <c r="CU66" s="54" t="inlineStr">
        <is>
          <t>Produção Tot.</t>
        </is>
      </c>
      <c r="CV66" s="54" t="inlineStr">
        <is>
          <t>Obs.</t>
        </is>
      </c>
      <c r="CW66" s="54" t="inlineStr">
        <is>
          <t>Saldo Pulso</t>
        </is>
      </c>
      <c r="CX66" s="54" t="inlineStr">
        <is>
          <t>Saldo Anterior</t>
        </is>
      </c>
      <c r="CY66" s="54" t="inlineStr">
        <is>
          <t>Captação Líq.</t>
        </is>
      </c>
      <c r="CZ66" s="54" t="inlineStr">
        <is>
          <t>COE</t>
        </is>
      </c>
      <c r="DA66" s="54" t="inlineStr">
        <is>
          <t>Previdência</t>
        </is>
      </c>
      <c r="DB66" s="54" t="inlineStr">
        <is>
          <t>Créd. Privado</t>
        </is>
      </c>
      <c r="DC66" s="54" t="inlineStr">
        <is>
          <t>Tít. Públicos</t>
        </is>
      </c>
      <c r="DD66" s="54" t="inlineStr">
        <is>
          <t>Produção Tot.</t>
        </is>
      </c>
      <c r="DE66" s="54" t="inlineStr">
        <is>
          <t>Obs.</t>
        </is>
      </c>
      <c r="DF66" s="54" t="inlineStr">
        <is>
          <t>Saldo Pulso</t>
        </is>
      </c>
      <c r="DG66" s="54" t="inlineStr">
        <is>
          <t>Saldo Anterior</t>
        </is>
      </c>
      <c r="DH66" s="54" t="inlineStr">
        <is>
          <t>Captação Líq.</t>
        </is>
      </c>
      <c r="DI66" s="54" t="inlineStr">
        <is>
          <t>COE</t>
        </is>
      </c>
      <c r="DJ66" s="54" t="inlineStr">
        <is>
          <t>Previdência</t>
        </is>
      </c>
      <c r="DK66" s="54" t="inlineStr">
        <is>
          <t>Créd. Privado</t>
        </is>
      </c>
      <c r="DL66" s="54" t="inlineStr">
        <is>
          <t>Tít. Públicos</t>
        </is>
      </c>
      <c r="DM66" s="54" t="inlineStr">
        <is>
          <t>Produção Tot.</t>
        </is>
      </c>
      <c r="DN66" s="54" t="inlineStr">
        <is>
          <t>Obs.</t>
        </is>
      </c>
      <c r="DO66" s="54" t="inlineStr">
        <is>
          <t>Saldo Pulso</t>
        </is>
      </c>
      <c r="DP66" s="54" t="inlineStr">
        <is>
          <t>Saldo Anterior</t>
        </is>
      </c>
      <c r="DQ66" s="54" t="inlineStr">
        <is>
          <t>Captação Líq.</t>
        </is>
      </c>
      <c r="DR66" s="54" t="inlineStr">
        <is>
          <t>COE</t>
        </is>
      </c>
      <c r="DS66" s="54" t="inlineStr">
        <is>
          <t>Previdência</t>
        </is>
      </c>
      <c r="DT66" s="54" t="inlineStr">
        <is>
          <t>Créd. Privado</t>
        </is>
      </c>
      <c r="DU66" s="54" t="inlineStr">
        <is>
          <t>Tít. Públicos</t>
        </is>
      </c>
      <c r="DV66" s="54" t="inlineStr">
        <is>
          <t>Produção Tot.</t>
        </is>
      </c>
      <c r="DW66" s="54" t="inlineStr">
        <is>
          <t>Obs.</t>
        </is>
      </c>
      <c r="DX66" s="54" t="inlineStr">
        <is>
          <t>Saldo Pulso</t>
        </is>
      </c>
      <c r="DY66" s="54" t="inlineStr">
        <is>
          <t>Saldo Anterior</t>
        </is>
      </c>
      <c r="DZ66" s="54" t="inlineStr">
        <is>
          <t>Captação Líq.</t>
        </is>
      </c>
      <c r="EA66" s="54" t="inlineStr">
        <is>
          <t>COE</t>
        </is>
      </c>
      <c r="EB66" s="54" t="inlineStr">
        <is>
          <t>Previdência</t>
        </is>
      </c>
      <c r="EC66" s="54" t="inlineStr">
        <is>
          <t>Créd. Privado</t>
        </is>
      </c>
      <c r="ED66" s="54" t="inlineStr">
        <is>
          <t>Tít. Públicos</t>
        </is>
      </c>
      <c r="EE66" s="54" t="inlineStr">
        <is>
          <t>Produção Tot.</t>
        </is>
      </c>
      <c r="EF66" s="54" t="inlineStr">
        <is>
          <t>Obs.</t>
        </is>
      </c>
      <c r="EG66" s="54" t="inlineStr">
        <is>
          <t>Saldo Pulso</t>
        </is>
      </c>
      <c r="EH66" s="54" t="inlineStr">
        <is>
          <t>Saldo Anterior</t>
        </is>
      </c>
      <c r="EI66" s="54" t="inlineStr">
        <is>
          <t>Captação Líq.</t>
        </is>
      </c>
      <c r="EJ66" s="54" t="inlineStr">
        <is>
          <t>COE</t>
        </is>
      </c>
      <c r="EK66" s="54" t="inlineStr">
        <is>
          <t>Previdência</t>
        </is>
      </c>
      <c r="EL66" s="54" t="inlineStr">
        <is>
          <t>Créd. Privado</t>
        </is>
      </c>
      <c r="EM66" s="54" t="inlineStr">
        <is>
          <t>Tít. Públicos</t>
        </is>
      </c>
      <c r="EN66" s="54" t="inlineStr">
        <is>
          <t>Produção Tot.</t>
        </is>
      </c>
      <c r="EO66" s="54" t="inlineStr">
        <is>
          <t>Obs.</t>
        </is>
      </c>
      <c r="EP66" s="54" t="inlineStr">
        <is>
          <t>Saldo Pulso</t>
        </is>
      </c>
      <c r="EQ66" s="54" t="inlineStr">
        <is>
          <t>Saldo Anterior</t>
        </is>
      </c>
      <c r="ER66" s="54" t="inlineStr">
        <is>
          <t>Captação Líq.</t>
        </is>
      </c>
      <c r="ES66" s="54" t="inlineStr">
        <is>
          <t>COE</t>
        </is>
      </c>
      <c r="ET66" s="54" t="inlineStr">
        <is>
          <t>Previdência</t>
        </is>
      </c>
      <c r="EU66" s="54" t="inlineStr">
        <is>
          <t>Créd. Privado</t>
        </is>
      </c>
      <c r="EV66" s="54" t="inlineStr">
        <is>
          <t>Tít. Públicos</t>
        </is>
      </c>
      <c r="EW66" s="54" t="inlineStr">
        <is>
          <t>Produção Tot.</t>
        </is>
      </c>
      <c r="EX66" s="54" t="inlineStr">
        <is>
          <t>Obs.</t>
        </is>
      </c>
      <c r="EY66" s="54" t="inlineStr">
        <is>
          <t>Saldo Pulso</t>
        </is>
      </c>
      <c r="EZ66" s="54" t="inlineStr">
        <is>
          <t>Saldo Anterior</t>
        </is>
      </c>
      <c r="FA66" s="54" t="inlineStr">
        <is>
          <t>Captação Líq.</t>
        </is>
      </c>
      <c r="FB66" s="54" t="inlineStr">
        <is>
          <t>COE</t>
        </is>
      </c>
      <c r="FC66" s="54" t="inlineStr">
        <is>
          <t>Previdência</t>
        </is>
      </c>
      <c r="FD66" s="54" t="inlineStr">
        <is>
          <t>Créd. Privado</t>
        </is>
      </c>
      <c r="FE66" s="54" t="inlineStr">
        <is>
          <t>Tít. Públicos</t>
        </is>
      </c>
      <c r="FF66" s="54" t="inlineStr">
        <is>
          <t>Produção Tot.</t>
        </is>
      </c>
      <c r="FG66" s="54" t="inlineStr">
        <is>
          <t>Obs.</t>
        </is>
      </c>
      <c r="FH66" s="54" t="inlineStr">
        <is>
          <t>Saldo Pulso</t>
        </is>
      </c>
      <c r="FI66" s="54" t="inlineStr">
        <is>
          <t>Saldo Anterior</t>
        </is>
      </c>
      <c r="FJ66" s="54" t="inlineStr">
        <is>
          <t>Captação Líq.</t>
        </is>
      </c>
      <c r="FK66" s="54" t="inlineStr">
        <is>
          <t>COE</t>
        </is>
      </c>
      <c r="FL66" s="54" t="inlineStr">
        <is>
          <t>Previdência</t>
        </is>
      </c>
      <c r="FM66" s="54" t="inlineStr">
        <is>
          <t>Créd. Privado</t>
        </is>
      </c>
      <c r="FN66" s="54" t="inlineStr">
        <is>
          <t>Tít. Públicos</t>
        </is>
      </c>
      <c r="FO66" s="54" t="inlineStr">
        <is>
          <t>Produção Tot.</t>
        </is>
      </c>
      <c r="FP66" s="54" t="inlineStr">
        <is>
          <t>Obs.</t>
        </is>
      </c>
      <c r="FQ66" s="54" t="inlineStr">
        <is>
          <t>Saldo Pulso</t>
        </is>
      </c>
      <c r="FR66" s="54" t="inlineStr">
        <is>
          <t>Saldo Anterior</t>
        </is>
      </c>
      <c r="FS66" s="54" t="inlineStr">
        <is>
          <t>Captação Líq.</t>
        </is>
      </c>
      <c r="FT66" s="54" t="inlineStr">
        <is>
          <t>COE</t>
        </is>
      </c>
      <c r="FU66" s="54" t="inlineStr">
        <is>
          <t>Previdência</t>
        </is>
      </c>
      <c r="FV66" s="54" t="inlineStr">
        <is>
          <t>Créd. Privado</t>
        </is>
      </c>
      <c r="FW66" s="54" t="inlineStr">
        <is>
          <t>Tít. Públicos</t>
        </is>
      </c>
      <c r="FX66" s="54" t="inlineStr">
        <is>
          <t>Produção Tot.</t>
        </is>
      </c>
      <c r="FY66" s="54" t="inlineStr">
        <is>
          <t>Obs.</t>
        </is>
      </c>
      <c r="FZ66" s="54" t="inlineStr">
        <is>
          <t>Saldo Pulso</t>
        </is>
      </c>
      <c r="GA66" s="54" t="inlineStr">
        <is>
          <t>Saldo Anterior</t>
        </is>
      </c>
      <c r="GB66" s="54" t="inlineStr">
        <is>
          <t>Captação Líq.</t>
        </is>
      </c>
      <c r="GC66" s="54" t="inlineStr">
        <is>
          <t>COE</t>
        </is>
      </c>
      <c r="GD66" s="54" t="inlineStr">
        <is>
          <t>Previdência</t>
        </is>
      </c>
      <c r="GE66" s="54" t="inlineStr">
        <is>
          <t>Créd. Privado</t>
        </is>
      </c>
      <c r="GF66" s="54" t="inlineStr">
        <is>
          <t>Tít. Públicos</t>
        </is>
      </c>
      <c r="GG66" s="54" t="inlineStr">
        <is>
          <t>Produção Tot.</t>
        </is>
      </c>
      <c r="GH66" s="54" t="inlineStr">
        <is>
          <t>Obs.</t>
        </is>
      </c>
      <c r="GI66" s="54" t="inlineStr">
        <is>
          <t>Saldo Pulso</t>
        </is>
      </c>
      <c r="GJ66" s="54" t="inlineStr">
        <is>
          <t>Saldo Anterior</t>
        </is>
      </c>
      <c r="GK66" s="54" t="inlineStr">
        <is>
          <t>Captação Líq.</t>
        </is>
      </c>
      <c r="GL66" s="54" t="inlineStr">
        <is>
          <t>COE</t>
        </is>
      </c>
      <c r="GM66" s="54" t="inlineStr">
        <is>
          <t>Previdência</t>
        </is>
      </c>
      <c r="GN66" s="54" t="inlineStr">
        <is>
          <t>Créd. Privado</t>
        </is>
      </c>
      <c r="GO66" s="54" t="inlineStr">
        <is>
          <t>Tít. Públicos</t>
        </is>
      </c>
      <c r="GP66" s="54" t="inlineStr">
        <is>
          <t>Produção Tot.</t>
        </is>
      </c>
      <c r="GQ66" s="54" t="inlineStr">
        <is>
          <t>Obs.</t>
        </is>
      </c>
      <c r="GR66" s="54" t="inlineStr">
        <is>
          <t>Saldo Pulso</t>
        </is>
      </c>
      <c r="GS66" s="54" t="inlineStr">
        <is>
          <t>Saldo Anterior</t>
        </is>
      </c>
      <c r="GT66" s="54" t="inlineStr">
        <is>
          <t>Captação Líq.</t>
        </is>
      </c>
      <c r="GU66" s="54" t="inlineStr">
        <is>
          <t>COE</t>
        </is>
      </c>
      <c r="GV66" s="54" t="inlineStr">
        <is>
          <t>Previdência</t>
        </is>
      </c>
      <c r="GW66" s="54" t="inlineStr">
        <is>
          <t>Créd. Privado</t>
        </is>
      </c>
      <c r="GX66" s="54" t="inlineStr">
        <is>
          <t>Tít. Públicos</t>
        </is>
      </c>
      <c r="GY66" s="54" t="inlineStr">
        <is>
          <t>Produção Tot.</t>
        </is>
      </c>
      <c r="GZ66" s="54" t="inlineStr">
        <is>
          <t>Obs.</t>
        </is>
      </c>
      <c r="HA66" s="54" t="inlineStr">
        <is>
          <t>Saldo Pulso</t>
        </is>
      </c>
      <c r="HB66" s="54" t="inlineStr">
        <is>
          <t>Saldo Anterior</t>
        </is>
      </c>
      <c r="HC66" s="54" t="inlineStr">
        <is>
          <t>Captação Líq.</t>
        </is>
      </c>
      <c r="HD66" s="54" t="inlineStr">
        <is>
          <t>COE</t>
        </is>
      </c>
      <c r="HE66" s="54" t="inlineStr">
        <is>
          <t>Previdência</t>
        </is>
      </c>
      <c r="HF66" s="54" t="inlineStr">
        <is>
          <t>Créd. Privado</t>
        </is>
      </c>
      <c r="HG66" s="54" t="inlineStr">
        <is>
          <t>Tít. Públicos</t>
        </is>
      </c>
      <c r="HH66" s="54" t="inlineStr">
        <is>
          <t>Produção Tot.</t>
        </is>
      </c>
      <c r="HI66" s="54" t="inlineStr">
        <is>
          <t>Obs.</t>
        </is>
      </c>
      <c r="HJ66" s="54" t="inlineStr">
        <is>
          <t>Saldo Pulso</t>
        </is>
      </c>
      <c r="HK66" s="54" t="inlineStr">
        <is>
          <t>Saldo Anterior</t>
        </is>
      </c>
      <c r="HL66" s="54" t="inlineStr">
        <is>
          <t>Captação Líq.</t>
        </is>
      </c>
      <c r="HM66" s="54" t="inlineStr">
        <is>
          <t>COE</t>
        </is>
      </c>
      <c r="HN66" s="54" t="inlineStr">
        <is>
          <t>Previdência</t>
        </is>
      </c>
      <c r="HO66" s="54" t="inlineStr">
        <is>
          <t>Créd. Privado</t>
        </is>
      </c>
      <c r="HP66" s="54" t="inlineStr">
        <is>
          <t>Tít. Públicos</t>
        </is>
      </c>
      <c r="HQ66" s="54" t="inlineStr">
        <is>
          <t>Produção Tot.</t>
        </is>
      </c>
      <c r="HR66" s="54" t="inlineStr">
        <is>
          <t>Obs.</t>
        </is>
      </c>
      <c r="HS66" s="54" t="inlineStr">
        <is>
          <t>Saldo Pulso</t>
        </is>
      </c>
      <c r="HT66" s="54" t="inlineStr">
        <is>
          <t>Saldo Anterior</t>
        </is>
      </c>
      <c r="HU66" s="54" t="inlineStr">
        <is>
          <t>Captação Líq.</t>
        </is>
      </c>
      <c r="HV66" s="54" t="inlineStr">
        <is>
          <t>COE</t>
        </is>
      </c>
      <c r="HW66" s="54" t="inlineStr">
        <is>
          <t>Previdência</t>
        </is>
      </c>
      <c r="HX66" s="54" t="inlineStr">
        <is>
          <t>Créd. Privado</t>
        </is>
      </c>
      <c r="HY66" s="54" t="inlineStr">
        <is>
          <t>Tít. Públicos</t>
        </is>
      </c>
      <c r="HZ66" s="54" t="inlineStr">
        <is>
          <t>Produção Tot.</t>
        </is>
      </c>
      <c r="IA66" s="54" t="inlineStr">
        <is>
          <t>Obs.</t>
        </is>
      </c>
      <c r="IB66" s="54" t="inlineStr">
        <is>
          <t>Saldo Pulso</t>
        </is>
      </c>
      <c r="IC66" s="54" t="inlineStr">
        <is>
          <t>Saldo Anterior</t>
        </is>
      </c>
      <c r="ID66" s="54" t="inlineStr">
        <is>
          <t>Captação Líq.</t>
        </is>
      </c>
      <c r="IE66" s="54" t="inlineStr">
        <is>
          <t>COE</t>
        </is>
      </c>
      <c r="IF66" s="54" t="inlineStr">
        <is>
          <t>Previdência</t>
        </is>
      </c>
      <c r="IG66" s="54" t="inlineStr">
        <is>
          <t>Créd. Privado</t>
        </is>
      </c>
      <c r="IH66" s="54" t="inlineStr">
        <is>
          <t>Tít. Públicos</t>
        </is>
      </c>
      <c r="II66" s="54" t="inlineStr">
        <is>
          <t>Produção Tot.</t>
        </is>
      </c>
      <c r="IJ66" s="54" t="inlineStr">
        <is>
          <t>Obs.</t>
        </is>
      </c>
      <c r="IK66" s="54" t="inlineStr">
        <is>
          <t>Saldo Pulso</t>
        </is>
      </c>
      <c r="IL66" s="54" t="inlineStr">
        <is>
          <t>Saldo Anterior</t>
        </is>
      </c>
      <c r="IM66" s="54" t="inlineStr">
        <is>
          <t>Captação Líq.</t>
        </is>
      </c>
      <c r="IN66" s="54" t="inlineStr">
        <is>
          <t>COE</t>
        </is>
      </c>
      <c r="IO66" s="54" t="inlineStr">
        <is>
          <t>Previdência</t>
        </is>
      </c>
      <c r="IP66" s="54" t="inlineStr">
        <is>
          <t>Créd. Privado</t>
        </is>
      </c>
      <c r="IQ66" s="54" t="inlineStr">
        <is>
          <t>Tít. Públicos</t>
        </is>
      </c>
      <c r="IR66" s="54" t="inlineStr">
        <is>
          <t>Produção Tot.</t>
        </is>
      </c>
      <c r="IS66" s="54" t="inlineStr">
        <is>
          <t>Obs.</t>
        </is>
      </c>
      <c r="IT66" s="54" t="inlineStr">
        <is>
          <t>Saldo Pulso</t>
        </is>
      </c>
      <c r="IU66" s="54" t="inlineStr">
        <is>
          <t>Saldo Anterior</t>
        </is>
      </c>
      <c r="IV66" s="54" t="inlineStr">
        <is>
          <t>Captação Líq.</t>
        </is>
      </c>
      <c r="IW66" s="54" t="inlineStr">
        <is>
          <t>COE</t>
        </is>
      </c>
      <c r="IX66" s="54" t="inlineStr">
        <is>
          <t>Previdência</t>
        </is>
      </c>
      <c r="IY66" s="54" t="inlineStr">
        <is>
          <t>Créd. Privado</t>
        </is>
      </c>
      <c r="IZ66" s="54" t="inlineStr">
        <is>
          <t>Tít. Públicos</t>
        </is>
      </c>
      <c r="JA66" s="54" t="inlineStr">
        <is>
          <t>Produção Tot.</t>
        </is>
      </c>
      <c r="JB66" s="54" t="inlineStr">
        <is>
          <t>Obs.</t>
        </is>
      </c>
      <c r="JC66" s="54" t="inlineStr">
        <is>
          <t>Saldo Pulso</t>
        </is>
      </c>
      <c r="JD66" s="54" t="inlineStr">
        <is>
          <t>Saldo Anterior</t>
        </is>
      </c>
      <c r="JE66" s="54" t="inlineStr">
        <is>
          <t>Captação Líq.</t>
        </is>
      </c>
      <c r="JF66" s="54" t="inlineStr">
        <is>
          <t>COE</t>
        </is>
      </c>
      <c r="JG66" s="54" t="inlineStr">
        <is>
          <t>Previdência</t>
        </is>
      </c>
      <c r="JH66" s="54" t="inlineStr">
        <is>
          <t>Créd. Privado</t>
        </is>
      </c>
      <c r="JI66" s="54" t="inlineStr">
        <is>
          <t>Tít. Públicos</t>
        </is>
      </c>
      <c r="JJ66" s="54" t="inlineStr">
        <is>
          <t>Produção Tot.</t>
        </is>
      </c>
      <c r="JK66" s="54" t="inlineStr">
        <is>
          <t>Obs.</t>
        </is>
      </c>
      <c r="JL66" s="54" t="inlineStr">
        <is>
          <t>Saldo Pulso</t>
        </is>
      </c>
      <c r="JM66" s="54" t="inlineStr">
        <is>
          <t>Saldo Anterior</t>
        </is>
      </c>
      <c r="JN66" s="54" t="inlineStr">
        <is>
          <t>Captação Líq.</t>
        </is>
      </c>
      <c r="JO66" s="54" t="inlineStr">
        <is>
          <t>COE</t>
        </is>
      </c>
      <c r="JP66" s="54" t="inlineStr">
        <is>
          <t>Previdência</t>
        </is>
      </c>
      <c r="JQ66" s="54" t="inlineStr">
        <is>
          <t>Créd. Privado</t>
        </is>
      </c>
      <c r="JR66" s="54" t="inlineStr">
        <is>
          <t>Tít. Públicos</t>
        </is>
      </c>
      <c r="JS66" s="54" t="inlineStr">
        <is>
          <t>Produção Tot.</t>
        </is>
      </c>
      <c r="JT66" s="54" t="inlineStr">
        <is>
          <t>Obs.</t>
        </is>
      </c>
      <c r="JU66" s="55" t="n"/>
      <c r="JV66" s="55" t="n"/>
      <c r="JW66" s="55" t="n"/>
      <c r="JX66" s="55" t="n"/>
      <c r="JY66" s="55" t="n"/>
      <c r="JZ66" s="55" t="n"/>
      <c r="KA66" s="55" t="n"/>
    </row>
    <row r="67" ht="20" customHeight="1">
      <c r="A67" s="56">
        <f>IF(Configurações!$B$7="","Assessor 1",Configurações!$B$7)</f>
        <v/>
      </c>
      <c r="B67" s="57" t="n"/>
      <c r="C67" s="58">
        <f>Configurações!$D$7</f>
        <v/>
      </c>
      <c r="D67" s="59" t="n"/>
      <c r="E67" s="57" t="n"/>
      <c r="F67" s="57" t="n"/>
      <c r="G67" s="57" t="n"/>
      <c r="H67" s="57" t="n"/>
      <c r="I67" s="60">
        <f>SUM(E67:H67)</f>
        <v/>
      </c>
      <c r="J67" s="61" t="n"/>
      <c r="K67" s="57" t="n"/>
      <c r="L67" s="58">
        <f>B67</f>
        <v/>
      </c>
      <c r="M67" s="59" t="n"/>
      <c r="N67" s="57" t="n"/>
      <c r="O67" s="57" t="n"/>
      <c r="P67" s="57" t="n"/>
      <c r="Q67" s="57" t="n"/>
      <c r="R67" s="60">
        <f>SUM(N67:Q67)</f>
        <v/>
      </c>
      <c r="S67" s="61" t="n"/>
      <c r="T67" s="57" t="n"/>
      <c r="U67" s="58">
        <f>K67</f>
        <v/>
      </c>
      <c r="V67" s="59" t="n"/>
      <c r="W67" s="57" t="n"/>
      <c r="X67" s="57" t="n"/>
      <c r="Y67" s="57" t="n"/>
      <c r="Z67" s="57" t="n"/>
      <c r="AA67" s="60">
        <f>SUM(W67:Z67)</f>
        <v/>
      </c>
      <c r="AB67" s="61" t="n"/>
      <c r="AC67" s="57" t="n"/>
      <c r="AD67" s="58">
        <f>T67</f>
        <v/>
      </c>
      <c r="AE67" s="59" t="n"/>
      <c r="AF67" s="57" t="n"/>
      <c r="AG67" s="57" t="n"/>
      <c r="AH67" s="57" t="n"/>
      <c r="AI67" s="57" t="n"/>
      <c r="AJ67" s="60">
        <f>SUM(AF67:AI67)</f>
        <v/>
      </c>
      <c r="AK67" s="61" t="n"/>
      <c r="AL67" s="57" t="n"/>
      <c r="AM67" s="58">
        <f>AC67</f>
        <v/>
      </c>
      <c r="AN67" s="59" t="n"/>
      <c r="AO67" s="57" t="n"/>
      <c r="AP67" s="57" t="n"/>
      <c r="AQ67" s="57" t="n"/>
      <c r="AR67" s="57" t="n"/>
      <c r="AS67" s="60">
        <f>SUM(AO67:AR67)</f>
        <v/>
      </c>
      <c r="AT67" s="61" t="n"/>
      <c r="AU67" s="57" t="n"/>
      <c r="AV67" s="58">
        <f>AL67</f>
        <v/>
      </c>
      <c r="AW67" s="59" t="n"/>
      <c r="AX67" s="57" t="n"/>
      <c r="AY67" s="57" t="n"/>
      <c r="AZ67" s="57" t="n"/>
      <c r="BA67" s="57" t="n"/>
      <c r="BB67" s="60">
        <f>SUM(AX67:BA67)</f>
        <v/>
      </c>
      <c r="BC67" s="61" t="n"/>
      <c r="BD67" s="57" t="n"/>
      <c r="BE67" s="58">
        <f>AU67</f>
        <v/>
      </c>
      <c r="BF67" s="59" t="n"/>
      <c r="BG67" s="57" t="n"/>
      <c r="BH67" s="57" t="n"/>
      <c r="BI67" s="57" t="n"/>
      <c r="BJ67" s="57" t="n"/>
      <c r="BK67" s="60">
        <f>SUM(BG67:BJ67)</f>
        <v/>
      </c>
      <c r="BL67" s="61" t="n"/>
      <c r="BM67" s="57" t="n"/>
      <c r="BN67" s="58">
        <f>BD67</f>
        <v/>
      </c>
      <c r="BO67" s="59" t="n"/>
      <c r="BP67" s="57" t="n"/>
      <c r="BQ67" s="57" t="n"/>
      <c r="BR67" s="57" t="n"/>
      <c r="BS67" s="57" t="n"/>
      <c r="BT67" s="60">
        <f>SUM(BP67:BS67)</f>
        <v/>
      </c>
      <c r="BU67" s="61" t="n"/>
      <c r="BV67" s="57" t="n"/>
      <c r="BW67" s="58">
        <f>BM67</f>
        <v/>
      </c>
      <c r="BX67" s="59" t="n"/>
      <c r="BY67" s="57" t="n"/>
      <c r="BZ67" s="57" t="n"/>
      <c r="CA67" s="57" t="n"/>
      <c r="CB67" s="57" t="n"/>
      <c r="CC67" s="60">
        <f>SUM(BY67:CB67)</f>
        <v/>
      </c>
      <c r="CD67" s="61" t="n"/>
      <c r="CE67" s="57" t="n"/>
      <c r="CF67" s="58">
        <f>BV67</f>
        <v/>
      </c>
      <c r="CG67" s="59" t="n"/>
      <c r="CH67" s="57" t="n"/>
      <c r="CI67" s="57" t="n"/>
      <c r="CJ67" s="57" t="n"/>
      <c r="CK67" s="57" t="n"/>
      <c r="CL67" s="60">
        <f>SUM(CH67:CK67)</f>
        <v/>
      </c>
      <c r="CM67" s="61" t="n"/>
      <c r="CN67" s="57" t="n"/>
      <c r="CO67" s="58">
        <f>CE67</f>
        <v/>
      </c>
      <c r="CP67" s="59" t="n"/>
      <c r="CQ67" s="57" t="n"/>
      <c r="CR67" s="57" t="n"/>
      <c r="CS67" s="57" t="n"/>
      <c r="CT67" s="57" t="n"/>
      <c r="CU67" s="60">
        <f>SUM(CQ67:CT67)</f>
        <v/>
      </c>
      <c r="CV67" s="61" t="n"/>
      <c r="CW67" s="57" t="n"/>
      <c r="CX67" s="58">
        <f>CN67</f>
        <v/>
      </c>
      <c r="CY67" s="59" t="n"/>
      <c r="CZ67" s="57" t="n"/>
      <c r="DA67" s="57" t="n"/>
      <c r="DB67" s="57" t="n"/>
      <c r="DC67" s="57" t="n"/>
      <c r="DD67" s="60">
        <f>SUM(CZ67:DC67)</f>
        <v/>
      </c>
      <c r="DE67" s="61" t="n"/>
      <c r="DF67" s="57" t="n"/>
      <c r="DG67" s="58">
        <f>CW67</f>
        <v/>
      </c>
      <c r="DH67" s="59" t="n"/>
      <c r="DI67" s="57" t="n"/>
      <c r="DJ67" s="57" t="n"/>
      <c r="DK67" s="57" t="n"/>
      <c r="DL67" s="57" t="n"/>
      <c r="DM67" s="60">
        <f>SUM(DI67:DL67)</f>
        <v/>
      </c>
      <c r="DN67" s="61" t="n"/>
      <c r="DO67" s="57" t="n"/>
      <c r="DP67" s="58">
        <f>DF67</f>
        <v/>
      </c>
      <c r="DQ67" s="59" t="n"/>
      <c r="DR67" s="57" t="n"/>
      <c r="DS67" s="57" t="n"/>
      <c r="DT67" s="57" t="n"/>
      <c r="DU67" s="57" t="n"/>
      <c r="DV67" s="60">
        <f>SUM(DR67:DU67)</f>
        <v/>
      </c>
      <c r="DW67" s="61" t="n"/>
      <c r="DX67" s="57" t="n"/>
      <c r="DY67" s="58">
        <f>DO67</f>
        <v/>
      </c>
      <c r="DZ67" s="59" t="n"/>
      <c r="EA67" s="57" t="n"/>
      <c r="EB67" s="57" t="n"/>
      <c r="EC67" s="57" t="n"/>
      <c r="ED67" s="57" t="n"/>
      <c r="EE67" s="60">
        <f>SUM(EA67:ED67)</f>
        <v/>
      </c>
      <c r="EF67" s="61" t="n"/>
      <c r="EG67" s="57" t="n"/>
      <c r="EH67" s="58">
        <f>DX67</f>
        <v/>
      </c>
      <c r="EI67" s="59" t="n"/>
      <c r="EJ67" s="57" t="n"/>
      <c r="EK67" s="57" t="n"/>
      <c r="EL67" s="57" t="n"/>
      <c r="EM67" s="57" t="n"/>
      <c r="EN67" s="60">
        <f>SUM(EJ67:EM67)</f>
        <v/>
      </c>
      <c r="EO67" s="61" t="n"/>
      <c r="EP67" s="57" t="n"/>
      <c r="EQ67" s="58">
        <f>EG67</f>
        <v/>
      </c>
      <c r="ER67" s="59" t="n"/>
      <c r="ES67" s="57" t="n"/>
      <c r="ET67" s="57" t="n"/>
      <c r="EU67" s="57" t="n"/>
      <c r="EV67" s="57" t="n"/>
      <c r="EW67" s="60">
        <f>SUM(ES67:EV67)</f>
        <v/>
      </c>
      <c r="EX67" s="61" t="n"/>
      <c r="EY67" s="57" t="n"/>
      <c r="EZ67" s="58">
        <f>EP67</f>
        <v/>
      </c>
      <c r="FA67" s="59" t="n"/>
      <c r="FB67" s="57" t="n"/>
      <c r="FC67" s="57" t="n"/>
      <c r="FD67" s="57" t="n"/>
      <c r="FE67" s="57" t="n"/>
      <c r="FF67" s="60">
        <f>SUM(FB67:FE67)</f>
        <v/>
      </c>
      <c r="FG67" s="61" t="n"/>
      <c r="FH67" s="57" t="n"/>
      <c r="FI67" s="58">
        <f>EY67</f>
        <v/>
      </c>
      <c r="FJ67" s="59" t="n"/>
      <c r="FK67" s="57" t="n"/>
      <c r="FL67" s="57" t="n"/>
      <c r="FM67" s="57" t="n"/>
      <c r="FN67" s="57" t="n"/>
      <c r="FO67" s="60">
        <f>SUM(FK67:FN67)</f>
        <v/>
      </c>
      <c r="FP67" s="61" t="n"/>
      <c r="FQ67" s="57" t="n"/>
      <c r="FR67" s="58">
        <f>FH67</f>
        <v/>
      </c>
      <c r="FS67" s="59" t="n"/>
      <c r="FT67" s="57" t="n"/>
      <c r="FU67" s="57" t="n"/>
      <c r="FV67" s="57" t="n"/>
      <c r="FW67" s="57" t="n"/>
      <c r="FX67" s="60">
        <f>SUM(FT67:FW67)</f>
        <v/>
      </c>
      <c r="FY67" s="61" t="n"/>
      <c r="FZ67" s="57" t="n"/>
      <c r="GA67" s="58">
        <f>FQ67</f>
        <v/>
      </c>
      <c r="GB67" s="59" t="n"/>
      <c r="GC67" s="57" t="n"/>
      <c r="GD67" s="57" t="n"/>
      <c r="GE67" s="57" t="n"/>
      <c r="GF67" s="57" t="n"/>
      <c r="GG67" s="60">
        <f>SUM(GC67:GF67)</f>
        <v/>
      </c>
      <c r="GH67" s="61" t="n"/>
      <c r="GI67" s="57" t="n"/>
      <c r="GJ67" s="58">
        <f>FZ67</f>
        <v/>
      </c>
      <c r="GK67" s="59" t="n"/>
      <c r="GL67" s="57" t="n"/>
      <c r="GM67" s="57" t="n"/>
      <c r="GN67" s="57" t="n"/>
      <c r="GO67" s="57" t="n"/>
      <c r="GP67" s="60">
        <f>SUM(GL67:GO67)</f>
        <v/>
      </c>
      <c r="GQ67" s="61" t="n"/>
      <c r="GR67" s="57" t="n"/>
      <c r="GS67" s="58">
        <f>GI67</f>
        <v/>
      </c>
      <c r="GT67" s="59" t="n"/>
      <c r="GU67" s="57" t="n"/>
      <c r="GV67" s="57" t="n"/>
      <c r="GW67" s="57" t="n"/>
      <c r="GX67" s="57" t="n"/>
      <c r="GY67" s="60">
        <f>SUM(GU67:GX67)</f>
        <v/>
      </c>
      <c r="GZ67" s="61" t="n"/>
      <c r="HA67" s="57" t="n"/>
      <c r="HB67" s="58">
        <f>GR67</f>
        <v/>
      </c>
      <c r="HC67" s="59" t="n"/>
      <c r="HD67" s="57" t="n"/>
      <c r="HE67" s="57" t="n"/>
      <c r="HF67" s="57" t="n"/>
      <c r="HG67" s="57" t="n"/>
      <c r="HH67" s="60">
        <f>SUM(HD67:HG67)</f>
        <v/>
      </c>
      <c r="HI67" s="61" t="n"/>
      <c r="HJ67" s="57" t="n"/>
      <c r="HK67" s="58">
        <f>HA67</f>
        <v/>
      </c>
      <c r="HL67" s="59" t="n"/>
      <c r="HM67" s="57" t="n"/>
      <c r="HN67" s="57" t="n"/>
      <c r="HO67" s="57" t="n"/>
      <c r="HP67" s="57" t="n"/>
      <c r="HQ67" s="60">
        <f>SUM(HM67:HP67)</f>
        <v/>
      </c>
      <c r="HR67" s="61" t="n"/>
      <c r="HS67" s="57" t="n"/>
      <c r="HT67" s="58">
        <f>HJ67</f>
        <v/>
      </c>
      <c r="HU67" s="59" t="n"/>
      <c r="HV67" s="57" t="n"/>
      <c r="HW67" s="57" t="n"/>
      <c r="HX67" s="57" t="n"/>
      <c r="HY67" s="57" t="n"/>
      <c r="HZ67" s="60">
        <f>SUM(HV67:HY67)</f>
        <v/>
      </c>
      <c r="IA67" s="61" t="n"/>
      <c r="IB67" s="57" t="n"/>
      <c r="IC67" s="58">
        <f>HS67</f>
        <v/>
      </c>
      <c r="ID67" s="59" t="n"/>
      <c r="IE67" s="57" t="n"/>
      <c r="IF67" s="57" t="n"/>
      <c r="IG67" s="57" t="n"/>
      <c r="IH67" s="57" t="n"/>
      <c r="II67" s="60">
        <f>SUM(IE67:IH67)</f>
        <v/>
      </c>
      <c r="IJ67" s="61" t="n"/>
      <c r="IK67" s="57" t="n"/>
      <c r="IL67" s="58">
        <f>IB67</f>
        <v/>
      </c>
      <c r="IM67" s="59" t="n"/>
      <c r="IN67" s="57" t="n"/>
      <c r="IO67" s="57" t="n"/>
      <c r="IP67" s="57" t="n"/>
      <c r="IQ67" s="57" t="n"/>
      <c r="IR67" s="60">
        <f>SUM(IN67:IQ67)</f>
        <v/>
      </c>
      <c r="IS67" s="61" t="n"/>
      <c r="IT67" s="57" t="n"/>
      <c r="IU67" s="58">
        <f>IK67</f>
        <v/>
      </c>
      <c r="IV67" s="59" t="n"/>
      <c r="IW67" s="57" t="n"/>
      <c r="IX67" s="57" t="n"/>
      <c r="IY67" s="57" t="n"/>
      <c r="IZ67" s="57" t="n"/>
      <c r="JA67" s="60">
        <f>SUM(IW67:IZ67)</f>
        <v/>
      </c>
      <c r="JB67" s="61" t="n"/>
      <c r="JC67" s="57" t="n"/>
      <c r="JD67" s="58">
        <f>IT67</f>
        <v/>
      </c>
      <c r="JE67" s="59" t="n"/>
      <c r="JF67" s="57" t="n"/>
      <c r="JG67" s="57" t="n"/>
      <c r="JH67" s="57" t="n"/>
      <c r="JI67" s="57" t="n"/>
      <c r="JJ67" s="60">
        <f>SUM(JF67:JI67)</f>
        <v/>
      </c>
      <c r="JK67" s="61" t="n"/>
      <c r="JL67" s="57" t="n"/>
      <c r="JM67" s="58">
        <f>JC67</f>
        <v/>
      </c>
      <c r="JN67" s="59" t="n"/>
      <c r="JO67" s="57" t="n"/>
      <c r="JP67" s="57" t="n"/>
      <c r="JQ67" s="57" t="n"/>
      <c r="JR67" s="57" t="n"/>
      <c r="JS67" s="60">
        <f>SUM(JO67:JR67)</f>
        <v/>
      </c>
      <c r="JT67" s="61" t="n"/>
      <c r="JU67" s="62">
        <f>I67+R67+AA67+AJ67+AS67+BB67+BK67+BT67+CC67+CL67+CU67+DD67+DM67+DV67+EE67+EN67+EW67+FF67+FO67+FX67+GG67+GP67+GY67+HH67+HQ67+HZ67+II67+IR67+JA67+JJ67+JS67</f>
        <v/>
      </c>
      <c r="JV67" s="63">
        <f>D67+M67+V67+AE67+AN67+AW67+BF67+BO67+BX67+CG67+CP67+CY67+DH67+DQ67+DZ67+EI67+ER67+FA67+FJ67+FS67+GB67+GK67+GT67+HC67+HL67+HU67+ID67+IM67+IV67+JE67+JN67</f>
        <v/>
      </c>
      <c r="JW67" s="62">
        <f>CHOOSE($Z$3,B67, K67, T67, AC67, AL67, AU67, BD67, BM67, BV67, CE67, CN67, CW67, DF67, DO67, DX67, EG67, EP67, EY67, FH67, FQ67, FZ67, GI67, GR67, HA67, HJ67, HS67, IB67, IK67, IT67, JC67, JL67)</f>
        <v/>
      </c>
      <c r="JX67" s="62">
        <f>IFERROR(JU67/$Z$3,0)</f>
        <v/>
      </c>
      <c r="JY67" s="62">
        <f>Configurações!$C$7</f>
        <v/>
      </c>
      <c r="JZ67" s="64">
        <f>IF(JY67=0,"— Sem meta",IF(JU67&gt;=JY67,"✓ Atingida","Em andamento"))</f>
        <v/>
      </c>
      <c r="KA67" s="65">
        <f>JU67+(13*0.0000001)</f>
        <v/>
      </c>
    </row>
    <row r="68" ht="20" customHeight="1">
      <c r="A68" s="56">
        <f>IF(Configurações!$B$8="","Assessor 2",Configurações!$B$8)</f>
        <v/>
      </c>
      <c r="B68" s="57" t="n"/>
      <c r="C68" s="66">
        <f>Configurações!$D$8</f>
        <v/>
      </c>
      <c r="D68" s="59" t="n"/>
      <c r="E68" s="57" t="n"/>
      <c r="F68" s="57" t="n"/>
      <c r="G68" s="57" t="n"/>
      <c r="H68" s="57" t="n"/>
      <c r="I68" s="67">
        <f>SUM(E68:H68)</f>
        <v/>
      </c>
      <c r="J68" s="61" t="n"/>
      <c r="K68" s="57" t="n"/>
      <c r="L68" s="66">
        <f>B68</f>
        <v/>
      </c>
      <c r="M68" s="59" t="n"/>
      <c r="N68" s="57" t="n"/>
      <c r="O68" s="57" t="n"/>
      <c r="P68" s="57" t="n"/>
      <c r="Q68" s="57" t="n"/>
      <c r="R68" s="67">
        <f>SUM(N68:Q68)</f>
        <v/>
      </c>
      <c r="S68" s="61" t="n"/>
      <c r="T68" s="57" t="n"/>
      <c r="U68" s="66">
        <f>K68</f>
        <v/>
      </c>
      <c r="V68" s="59" t="n"/>
      <c r="W68" s="57" t="n"/>
      <c r="X68" s="57" t="n"/>
      <c r="Y68" s="57" t="n"/>
      <c r="Z68" s="57" t="n"/>
      <c r="AA68" s="67">
        <f>SUM(W68:Z68)</f>
        <v/>
      </c>
      <c r="AB68" s="61" t="n"/>
      <c r="AC68" s="57" t="n"/>
      <c r="AD68" s="66">
        <f>T68</f>
        <v/>
      </c>
      <c r="AE68" s="59" t="n"/>
      <c r="AF68" s="57" t="n"/>
      <c r="AG68" s="57" t="n"/>
      <c r="AH68" s="57" t="n"/>
      <c r="AI68" s="57" t="n"/>
      <c r="AJ68" s="67">
        <f>SUM(AF68:AI68)</f>
        <v/>
      </c>
      <c r="AK68" s="61" t="n"/>
      <c r="AL68" s="57" t="n"/>
      <c r="AM68" s="66">
        <f>AC68</f>
        <v/>
      </c>
      <c r="AN68" s="59" t="n"/>
      <c r="AO68" s="57" t="n"/>
      <c r="AP68" s="57" t="n"/>
      <c r="AQ68" s="57" t="n"/>
      <c r="AR68" s="57" t="n"/>
      <c r="AS68" s="67">
        <f>SUM(AO68:AR68)</f>
        <v/>
      </c>
      <c r="AT68" s="61" t="n"/>
      <c r="AU68" s="57" t="n"/>
      <c r="AV68" s="66">
        <f>AL68</f>
        <v/>
      </c>
      <c r="AW68" s="59" t="n"/>
      <c r="AX68" s="57" t="n"/>
      <c r="AY68" s="57" t="n"/>
      <c r="AZ68" s="57" t="n"/>
      <c r="BA68" s="57" t="n"/>
      <c r="BB68" s="67">
        <f>SUM(AX68:BA68)</f>
        <v/>
      </c>
      <c r="BC68" s="61" t="n"/>
      <c r="BD68" s="57" t="n"/>
      <c r="BE68" s="66">
        <f>AU68</f>
        <v/>
      </c>
      <c r="BF68" s="59" t="n"/>
      <c r="BG68" s="57" t="n"/>
      <c r="BH68" s="57" t="n"/>
      <c r="BI68" s="57" t="n"/>
      <c r="BJ68" s="57" t="n"/>
      <c r="BK68" s="67">
        <f>SUM(BG68:BJ68)</f>
        <v/>
      </c>
      <c r="BL68" s="61" t="n"/>
      <c r="BM68" s="57" t="n"/>
      <c r="BN68" s="66">
        <f>BD68</f>
        <v/>
      </c>
      <c r="BO68" s="59" t="n"/>
      <c r="BP68" s="57" t="n"/>
      <c r="BQ68" s="57" t="n"/>
      <c r="BR68" s="57" t="n"/>
      <c r="BS68" s="57" t="n"/>
      <c r="BT68" s="67">
        <f>SUM(BP68:BS68)</f>
        <v/>
      </c>
      <c r="BU68" s="61" t="n"/>
      <c r="BV68" s="57" t="n"/>
      <c r="BW68" s="66">
        <f>BM68</f>
        <v/>
      </c>
      <c r="BX68" s="59" t="n"/>
      <c r="BY68" s="57" t="n"/>
      <c r="BZ68" s="57" t="n"/>
      <c r="CA68" s="57" t="n"/>
      <c r="CB68" s="57" t="n"/>
      <c r="CC68" s="67">
        <f>SUM(BY68:CB68)</f>
        <v/>
      </c>
      <c r="CD68" s="61" t="n"/>
      <c r="CE68" s="57" t="n"/>
      <c r="CF68" s="66">
        <f>BV68</f>
        <v/>
      </c>
      <c r="CG68" s="59" t="n"/>
      <c r="CH68" s="57" t="n"/>
      <c r="CI68" s="57" t="n"/>
      <c r="CJ68" s="57" t="n"/>
      <c r="CK68" s="57" t="n"/>
      <c r="CL68" s="67">
        <f>SUM(CH68:CK68)</f>
        <v/>
      </c>
      <c r="CM68" s="61" t="n"/>
      <c r="CN68" s="57" t="n"/>
      <c r="CO68" s="66">
        <f>CE68</f>
        <v/>
      </c>
      <c r="CP68" s="59" t="n"/>
      <c r="CQ68" s="57" t="n"/>
      <c r="CR68" s="57" t="n"/>
      <c r="CS68" s="57" t="n"/>
      <c r="CT68" s="57" t="n"/>
      <c r="CU68" s="67">
        <f>SUM(CQ68:CT68)</f>
        <v/>
      </c>
      <c r="CV68" s="61" t="n"/>
      <c r="CW68" s="57" t="n"/>
      <c r="CX68" s="66">
        <f>CN68</f>
        <v/>
      </c>
      <c r="CY68" s="59" t="n"/>
      <c r="CZ68" s="57" t="n"/>
      <c r="DA68" s="57" t="n"/>
      <c r="DB68" s="57" t="n"/>
      <c r="DC68" s="57" t="n"/>
      <c r="DD68" s="67">
        <f>SUM(CZ68:DC68)</f>
        <v/>
      </c>
      <c r="DE68" s="61" t="n"/>
      <c r="DF68" s="57" t="n"/>
      <c r="DG68" s="66">
        <f>CW68</f>
        <v/>
      </c>
      <c r="DH68" s="59" t="n"/>
      <c r="DI68" s="57" t="n"/>
      <c r="DJ68" s="57" t="n"/>
      <c r="DK68" s="57" t="n"/>
      <c r="DL68" s="57" t="n"/>
      <c r="DM68" s="67">
        <f>SUM(DI68:DL68)</f>
        <v/>
      </c>
      <c r="DN68" s="61" t="n"/>
      <c r="DO68" s="57" t="n"/>
      <c r="DP68" s="66">
        <f>DF68</f>
        <v/>
      </c>
      <c r="DQ68" s="59" t="n"/>
      <c r="DR68" s="57" t="n"/>
      <c r="DS68" s="57" t="n"/>
      <c r="DT68" s="57" t="n"/>
      <c r="DU68" s="57" t="n"/>
      <c r="DV68" s="67">
        <f>SUM(DR68:DU68)</f>
        <v/>
      </c>
      <c r="DW68" s="61" t="n"/>
      <c r="DX68" s="57" t="n"/>
      <c r="DY68" s="66">
        <f>DO68</f>
        <v/>
      </c>
      <c r="DZ68" s="59" t="n"/>
      <c r="EA68" s="57" t="n"/>
      <c r="EB68" s="57" t="n"/>
      <c r="EC68" s="57" t="n"/>
      <c r="ED68" s="57" t="n"/>
      <c r="EE68" s="67">
        <f>SUM(EA68:ED68)</f>
        <v/>
      </c>
      <c r="EF68" s="61" t="n"/>
      <c r="EG68" s="57" t="n"/>
      <c r="EH68" s="66">
        <f>DX68</f>
        <v/>
      </c>
      <c r="EI68" s="59" t="n"/>
      <c r="EJ68" s="57" t="n"/>
      <c r="EK68" s="57" t="n"/>
      <c r="EL68" s="57" t="n"/>
      <c r="EM68" s="57" t="n"/>
      <c r="EN68" s="67">
        <f>SUM(EJ68:EM68)</f>
        <v/>
      </c>
      <c r="EO68" s="61" t="n"/>
      <c r="EP68" s="57" t="n"/>
      <c r="EQ68" s="66">
        <f>EG68</f>
        <v/>
      </c>
      <c r="ER68" s="59" t="n"/>
      <c r="ES68" s="57" t="n"/>
      <c r="ET68" s="57" t="n"/>
      <c r="EU68" s="57" t="n"/>
      <c r="EV68" s="57" t="n"/>
      <c r="EW68" s="67">
        <f>SUM(ES68:EV68)</f>
        <v/>
      </c>
      <c r="EX68" s="61" t="n"/>
      <c r="EY68" s="57" t="n"/>
      <c r="EZ68" s="66">
        <f>EP68</f>
        <v/>
      </c>
      <c r="FA68" s="59" t="n"/>
      <c r="FB68" s="57" t="n"/>
      <c r="FC68" s="57" t="n"/>
      <c r="FD68" s="57" t="n"/>
      <c r="FE68" s="57" t="n"/>
      <c r="FF68" s="67">
        <f>SUM(FB68:FE68)</f>
        <v/>
      </c>
      <c r="FG68" s="61" t="n"/>
      <c r="FH68" s="57" t="n"/>
      <c r="FI68" s="66">
        <f>EY68</f>
        <v/>
      </c>
      <c r="FJ68" s="59" t="n"/>
      <c r="FK68" s="57" t="n"/>
      <c r="FL68" s="57" t="n"/>
      <c r="FM68" s="57" t="n"/>
      <c r="FN68" s="57" t="n"/>
      <c r="FO68" s="67">
        <f>SUM(FK68:FN68)</f>
        <v/>
      </c>
      <c r="FP68" s="61" t="n"/>
      <c r="FQ68" s="57" t="n"/>
      <c r="FR68" s="66">
        <f>FH68</f>
        <v/>
      </c>
      <c r="FS68" s="59" t="n"/>
      <c r="FT68" s="57" t="n"/>
      <c r="FU68" s="57" t="n"/>
      <c r="FV68" s="57" t="n"/>
      <c r="FW68" s="57" t="n"/>
      <c r="FX68" s="67">
        <f>SUM(FT68:FW68)</f>
        <v/>
      </c>
      <c r="FY68" s="61" t="n"/>
      <c r="FZ68" s="57" t="n"/>
      <c r="GA68" s="66">
        <f>FQ68</f>
        <v/>
      </c>
      <c r="GB68" s="59" t="n"/>
      <c r="GC68" s="57" t="n"/>
      <c r="GD68" s="57" t="n"/>
      <c r="GE68" s="57" t="n"/>
      <c r="GF68" s="57" t="n"/>
      <c r="GG68" s="67">
        <f>SUM(GC68:GF68)</f>
        <v/>
      </c>
      <c r="GH68" s="61" t="n"/>
      <c r="GI68" s="57" t="n"/>
      <c r="GJ68" s="66">
        <f>FZ68</f>
        <v/>
      </c>
      <c r="GK68" s="59" t="n"/>
      <c r="GL68" s="57" t="n"/>
      <c r="GM68" s="57" t="n"/>
      <c r="GN68" s="57" t="n"/>
      <c r="GO68" s="57" t="n"/>
      <c r="GP68" s="67">
        <f>SUM(GL68:GO68)</f>
        <v/>
      </c>
      <c r="GQ68" s="61" t="n"/>
      <c r="GR68" s="57" t="n"/>
      <c r="GS68" s="66">
        <f>GI68</f>
        <v/>
      </c>
      <c r="GT68" s="59" t="n"/>
      <c r="GU68" s="57" t="n"/>
      <c r="GV68" s="57" t="n"/>
      <c r="GW68" s="57" t="n"/>
      <c r="GX68" s="57" t="n"/>
      <c r="GY68" s="67">
        <f>SUM(GU68:GX68)</f>
        <v/>
      </c>
      <c r="GZ68" s="61" t="n"/>
      <c r="HA68" s="57" t="n"/>
      <c r="HB68" s="66">
        <f>GR68</f>
        <v/>
      </c>
      <c r="HC68" s="59" t="n"/>
      <c r="HD68" s="57" t="n"/>
      <c r="HE68" s="57" t="n"/>
      <c r="HF68" s="57" t="n"/>
      <c r="HG68" s="57" t="n"/>
      <c r="HH68" s="67">
        <f>SUM(HD68:HG68)</f>
        <v/>
      </c>
      <c r="HI68" s="61" t="n"/>
      <c r="HJ68" s="57" t="n"/>
      <c r="HK68" s="66">
        <f>HA68</f>
        <v/>
      </c>
      <c r="HL68" s="59" t="n"/>
      <c r="HM68" s="57" t="n"/>
      <c r="HN68" s="57" t="n"/>
      <c r="HO68" s="57" t="n"/>
      <c r="HP68" s="57" t="n"/>
      <c r="HQ68" s="67">
        <f>SUM(HM68:HP68)</f>
        <v/>
      </c>
      <c r="HR68" s="61" t="n"/>
      <c r="HS68" s="57" t="n"/>
      <c r="HT68" s="66">
        <f>HJ68</f>
        <v/>
      </c>
      <c r="HU68" s="59" t="n"/>
      <c r="HV68" s="57" t="n"/>
      <c r="HW68" s="57" t="n"/>
      <c r="HX68" s="57" t="n"/>
      <c r="HY68" s="57" t="n"/>
      <c r="HZ68" s="67">
        <f>SUM(HV68:HY68)</f>
        <v/>
      </c>
      <c r="IA68" s="61" t="n"/>
      <c r="IB68" s="57" t="n"/>
      <c r="IC68" s="66">
        <f>HS68</f>
        <v/>
      </c>
      <c r="ID68" s="59" t="n"/>
      <c r="IE68" s="57" t="n"/>
      <c r="IF68" s="57" t="n"/>
      <c r="IG68" s="57" t="n"/>
      <c r="IH68" s="57" t="n"/>
      <c r="II68" s="67">
        <f>SUM(IE68:IH68)</f>
        <v/>
      </c>
      <c r="IJ68" s="61" t="n"/>
      <c r="IK68" s="57" t="n"/>
      <c r="IL68" s="66">
        <f>IB68</f>
        <v/>
      </c>
      <c r="IM68" s="59" t="n"/>
      <c r="IN68" s="57" t="n"/>
      <c r="IO68" s="57" t="n"/>
      <c r="IP68" s="57" t="n"/>
      <c r="IQ68" s="57" t="n"/>
      <c r="IR68" s="67">
        <f>SUM(IN68:IQ68)</f>
        <v/>
      </c>
      <c r="IS68" s="61" t="n"/>
      <c r="IT68" s="57" t="n"/>
      <c r="IU68" s="66">
        <f>IK68</f>
        <v/>
      </c>
      <c r="IV68" s="59" t="n"/>
      <c r="IW68" s="57" t="n"/>
      <c r="IX68" s="57" t="n"/>
      <c r="IY68" s="57" t="n"/>
      <c r="IZ68" s="57" t="n"/>
      <c r="JA68" s="67">
        <f>SUM(IW68:IZ68)</f>
        <v/>
      </c>
      <c r="JB68" s="61" t="n"/>
      <c r="JC68" s="57" t="n"/>
      <c r="JD68" s="66">
        <f>IT68</f>
        <v/>
      </c>
      <c r="JE68" s="59" t="n"/>
      <c r="JF68" s="57" t="n"/>
      <c r="JG68" s="57" t="n"/>
      <c r="JH68" s="57" t="n"/>
      <c r="JI68" s="57" t="n"/>
      <c r="JJ68" s="67">
        <f>SUM(JF68:JI68)</f>
        <v/>
      </c>
      <c r="JK68" s="61" t="n"/>
      <c r="JL68" s="57" t="n"/>
      <c r="JM68" s="66">
        <f>JC68</f>
        <v/>
      </c>
      <c r="JN68" s="59" t="n"/>
      <c r="JO68" s="57" t="n"/>
      <c r="JP68" s="57" t="n"/>
      <c r="JQ68" s="57" t="n"/>
      <c r="JR68" s="57" t="n"/>
      <c r="JS68" s="67">
        <f>SUM(JO68:JR68)</f>
        <v/>
      </c>
      <c r="JT68" s="61" t="n"/>
      <c r="JU68" s="62">
        <f>I68+R68+AA68+AJ68+AS68+BB68+BK68+BT68+CC68+CL68+CU68+DD68+DM68+DV68+EE68+EN68+EW68+FF68+FO68+FX68+GG68+GP68+GY68+HH68+HQ68+HZ68+II68+IR68+JA68+JJ68+JS68</f>
        <v/>
      </c>
      <c r="JV68" s="63">
        <f>D68+M68+V68+AE68+AN68+AW68+BF68+BO68+BX68+CG68+CP68+CY68+DH68+DQ68+DZ68+EI68+ER68+FA68+FJ68+FS68+GB68+GK68+GT68+HC68+HL68+HU68+ID68+IM68+IV68+JE68+JN68</f>
        <v/>
      </c>
      <c r="JW68" s="62">
        <f>CHOOSE($Z$3,B68, K68, T68, AC68, AL68, AU68, BD68, BM68, BV68, CE68, CN68, CW68, DF68, DO68, DX68, EG68, EP68, EY68, FH68, FQ68, FZ68, GI68, GR68, HA68, HJ68, HS68, IB68, IK68, IT68, JC68, JL68)</f>
        <v/>
      </c>
      <c r="JX68" s="62">
        <f>IFERROR(JU68/$Z$3,0)</f>
        <v/>
      </c>
      <c r="JY68" s="62">
        <f>Configurações!$C$8</f>
        <v/>
      </c>
      <c r="JZ68" s="64">
        <f>IF(JY68=0,"— Sem meta",IF(JU68&gt;=JY68,"✓ Atingida","Em andamento"))</f>
        <v/>
      </c>
      <c r="KA68" s="65">
        <f>JU68+(12*0.0000001)</f>
        <v/>
      </c>
    </row>
    <row r="69" ht="20" customHeight="1">
      <c r="A69" s="56">
        <f>IF(Configurações!$B$9="","Assessor 3",Configurações!$B$9)</f>
        <v/>
      </c>
      <c r="B69" s="57" t="n"/>
      <c r="C69" s="58">
        <f>Configurações!$D$9</f>
        <v/>
      </c>
      <c r="D69" s="59" t="n"/>
      <c r="E69" s="57" t="n"/>
      <c r="F69" s="57" t="n"/>
      <c r="G69" s="57" t="n"/>
      <c r="H69" s="57" t="n"/>
      <c r="I69" s="60">
        <f>SUM(E69:H69)</f>
        <v/>
      </c>
      <c r="J69" s="61" t="n"/>
      <c r="K69" s="57" t="n"/>
      <c r="L69" s="58">
        <f>B69</f>
        <v/>
      </c>
      <c r="M69" s="59" t="n"/>
      <c r="N69" s="57" t="n"/>
      <c r="O69" s="57" t="n"/>
      <c r="P69" s="57" t="n"/>
      <c r="Q69" s="57" t="n"/>
      <c r="R69" s="60">
        <f>SUM(N69:Q69)</f>
        <v/>
      </c>
      <c r="S69" s="61" t="n"/>
      <c r="T69" s="57" t="n"/>
      <c r="U69" s="58">
        <f>K69</f>
        <v/>
      </c>
      <c r="V69" s="59" t="n"/>
      <c r="W69" s="57" t="n"/>
      <c r="X69" s="57" t="n"/>
      <c r="Y69" s="57" t="n"/>
      <c r="Z69" s="57" t="n"/>
      <c r="AA69" s="60">
        <f>SUM(W69:Z69)</f>
        <v/>
      </c>
      <c r="AB69" s="61" t="n"/>
      <c r="AC69" s="57" t="n"/>
      <c r="AD69" s="58">
        <f>T69</f>
        <v/>
      </c>
      <c r="AE69" s="59" t="n"/>
      <c r="AF69" s="57" t="n"/>
      <c r="AG69" s="57" t="n"/>
      <c r="AH69" s="57" t="n"/>
      <c r="AI69" s="57" t="n"/>
      <c r="AJ69" s="60">
        <f>SUM(AF69:AI69)</f>
        <v/>
      </c>
      <c r="AK69" s="61" t="n"/>
      <c r="AL69" s="57" t="n"/>
      <c r="AM69" s="58">
        <f>AC69</f>
        <v/>
      </c>
      <c r="AN69" s="59" t="n"/>
      <c r="AO69" s="57" t="n"/>
      <c r="AP69" s="57" t="n"/>
      <c r="AQ69" s="57" t="n"/>
      <c r="AR69" s="57" t="n"/>
      <c r="AS69" s="60">
        <f>SUM(AO69:AR69)</f>
        <v/>
      </c>
      <c r="AT69" s="61" t="n"/>
      <c r="AU69" s="57" t="n"/>
      <c r="AV69" s="58">
        <f>AL69</f>
        <v/>
      </c>
      <c r="AW69" s="59" t="n"/>
      <c r="AX69" s="57" t="n"/>
      <c r="AY69" s="57" t="n"/>
      <c r="AZ69" s="57" t="n"/>
      <c r="BA69" s="57" t="n"/>
      <c r="BB69" s="60">
        <f>SUM(AX69:BA69)</f>
        <v/>
      </c>
      <c r="BC69" s="61" t="n"/>
      <c r="BD69" s="57" t="n"/>
      <c r="BE69" s="58">
        <f>AU69</f>
        <v/>
      </c>
      <c r="BF69" s="59" t="n"/>
      <c r="BG69" s="57" t="n"/>
      <c r="BH69" s="57" t="n"/>
      <c r="BI69" s="57" t="n"/>
      <c r="BJ69" s="57" t="n"/>
      <c r="BK69" s="60">
        <f>SUM(BG69:BJ69)</f>
        <v/>
      </c>
      <c r="BL69" s="61" t="n"/>
      <c r="BM69" s="57" t="n"/>
      <c r="BN69" s="58">
        <f>BD69</f>
        <v/>
      </c>
      <c r="BO69" s="59" t="n"/>
      <c r="BP69" s="57" t="n"/>
      <c r="BQ69" s="57" t="n"/>
      <c r="BR69" s="57" t="n"/>
      <c r="BS69" s="57" t="n"/>
      <c r="BT69" s="60">
        <f>SUM(BP69:BS69)</f>
        <v/>
      </c>
      <c r="BU69" s="61" t="n"/>
      <c r="BV69" s="57" t="n"/>
      <c r="BW69" s="58">
        <f>BM69</f>
        <v/>
      </c>
      <c r="BX69" s="59" t="n"/>
      <c r="BY69" s="57" t="n"/>
      <c r="BZ69" s="57" t="n"/>
      <c r="CA69" s="57" t="n"/>
      <c r="CB69" s="57" t="n"/>
      <c r="CC69" s="60">
        <f>SUM(BY69:CB69)</f>
        <v/>
      </c>
      <c r="CD69" s="61" t="n"/>
      <c r="CE69" s="57" t="n"/>
      <c r="CF69" s="58">
        <f>BV69</f>
        <v/>
      </c>
      <c r="CG69" s="59" t="n"/>
      <c r="CH69" s="57" t="n"/>
      <c r="CI69" s="57" t="n"/>
      <c r="CJ69" s="57" t="n"/>
      <c r="CK69" s="57" t="n"/>
      <c r="CL69" s="60">
        <f>SUM(CH69:CK69)</f>
        <v/>
      </c>
      <c r="CM69" s="61" t="n"/>
      <c r="CN69" s="57" t="n"/>
      <c r="CO69" s="58">
        <f>CE69</f>
        <v/>
      </c>
      <c r="CP69" s="59" t="n"/>
      <c r="CQ69" s="57" t="n"/>
      <c r="CR69" s="57" t="n"/>
      <c r="CS69" s="57" t="n"/>
      <c r="CT69" s="57" t="n"/>
      <c r="CU69" s="60">
        <f>SUM(CQ69:CT69)</f>
        <v/>
      </c>
      <c r="CV69" s="61" t="n"/>
      <c r="CW69" s="57" t="n"/>
      <c r="CX69" s="58">
        <f>CN69</f>
        <v/>
      </c>
      <c r="CY69" s="59" t="n"/>
      <c r="CZ69" s="57" t="n"/>
      <c r="DA69" s="57" t="n"/>
      <c r="DB69" s="57" t="n"/>
      <c r="DC69" s="57" t="n"/>
      <c r="DD69" s="60">
        <f>SUM(CZ69:DC69)</f>
        <v/>
      </c>
      <c r="DE69" s="61" t="n"/>
      <c r="DF69" s="57" t="n"/>
      <c r="DG69" s="58">
        <f>CW69</f>
        <v/>
      </c>
      <c r="DH69" s="59" t="n"/>
      <c r="DI69" s="57" t="n"/>
      <c r="DJ69" s="57" t="n"/>
      <c r="DK69" s="57" t="n"/>
      <c r="DL69" s="57" t="n"/>
      <c r="DM69" s="60">
        <f>SUM(DI69:DL69)</f>
        <v/>
      </c>
      <c r="DN69" s="61" t="n"/>
      <c r="DO69" s="57" t="n"/>
      <c r="DP69" s="58">
        <f>DF69</f>
        <v/>
      </c>
      <c r="DQ69" s="59" t="n"/>
      <c r="DR69" s="57" t="n"/>
      <c r="DS69" s="57" t="n"/>
      <c r="DT69" s="57" t="n"/>
      <c r="DU69" s="57" t="n"/>
      <c r="DV69" s="60">
        <f>SUM(DR69:DU69)</f>
        <v/>
      </c>
      <c r="DW69" s="61" t="n"/>
      <c r="DX69" s="57" t="n"/>
      <c r="DY69" s="58">
        <f>DO69</f>
        <v/>
      </c>
      <c r="DZ69" s="59" t="n"/>
      <c r="EA69" s="57" t="n"/>
      <c r="EB69" s="57" t="n"/>
      <c r="EC69" s="57" t="n"/>
      <c r="ED69" s="57" t="n"/>
      <c r="EE69" s="60">
        <f>SUM(EA69:ED69)</f>
        <v/>
      </c>
      <c r="EF69" s="61" t="n"/>
      <c r="EG69" s="57" t="n"/>
      <c r="EH69" s="58">
        <f>DX69</f>
        <v/>
      </c>
      <c r="EI69" s="59" t="n"/>
      <c r="EJ69" s="57" t="n"/>
      <c r="EK69" s="57" t="n"/>
      <c r="EL69" s="57" t="n"/>
      <c r="EM69" s="57" t="n"/>
      <c r="EN69" s="60">
        <f>SUM(EJ69:EM69)</f>
        <v/>
      </c>
      <c r="EO69" s="61" t="n"/>
      <c r="EP69" s="57" t="n"/>
      <c r="EQ69" s="58">
        <f>EG69</f>
        <v/>
      </c>
      <c r="ER69" s="59" t="n"/>
      <c r="ES69" s="57" t="n"/>
      <c r="ET69" s="57" t="n"/>
      <c r="EU69" s="57" t="n"/>
      <c r="EV69" s="57" t="n"/>
      <c r="EW69" s="60">
        <f>SUM(ES69:EV69)</f>
        <v/>
      </c>
      <c r="EX69" s="61" t="n"/>
      <c r="EY69" s="57" t="n"/>
      <c r="EZ69" s="58">
        <f>EP69</f>
        <v/>
      </c>
      <c r="FA69" s="59" t="n"/>
      <c r="FB69" s="57" t="n"/>
      <c r="FC69" s="57" t="n"/>
      <c r="FD69" s="57" t="n"/>
      <c r="FE69" s="57" t="n"/>
      <c r="FF69" s="60">
        <f>SUM(FB69:FE69)</f>
        <v/>
      </c>
      <c r="FG69" s="61" t="n"/>
      <c r="FH69" s="57" t="n"/>
      <c r="FI69" s="58">
        <f>EY69</f>
        <v/>
      </c>
      <c r="FJ69" s="59" t="n"/>
      <c r="FK69" s="57" t="n"/>
      <c r="FL69" s="57" t="n"/>
      <c r="FM69" s="57" t="n"/>
      <c r="FN69" s="57" t="n"/>
      <c r="FO69" s="60">
        <f>SUM(FK69:FN69)</f>
        <v/>
      </c>
      <c r="FP69" s="61" t="n"/>
      <c r="FQ69" s="57" t="n"/>
      <c r="FR69" s="58">
        <f>FH69</f>
        <v/>
      </c>
      <c r="FS69" s="59" t="n"/>
      <c r="FT69" s="57" t="n"/>
      <c r="FU69" s="57" t="n"/>
      <c r="FV69" s="57" t="n"/>
      <c r="FW69" s="57" t="n"/>
      <c r="FX69" s="60">
        <f>SUM(FT69:FW69)</f>
        <v/>
      </c>
      <c r="FY69" s="61" t="n"/>
      <c r="FZ69" s="57" t="n"/>
      <c r="GA69" s="58">
        <f>FQ69</f>
        <v/>
      </c>
      <c r="GB69" s="59" t="n"/>
      <c r="GC69" s="57" t="n"/>
      <c r="GD69" s="57" t="n"/>
      <c r="GE69" s="57" t="n"/>
      <c r="GF69" s="57" t="n"/>
      <c r="GG69" s="60">
        <f>SUM(GC69:GF69)</f>
        <v/>
      </c>
      <c r="GH69" s="61" t="n"/>
      <c r="GI69" s="57" t="n"/>
      <c r="GJ69" s="58">
        <f>FZ69</f>
        <v/>
      </c>
      <c r="GK69" s="59" t="n"/>
      <c r="GL69" s="57" t="n"/>
      <c r="GM69" s="57" t="n"/>
      <c r="GN69" s="57" t="n"/>
      <c r="GO69" s="57" t="n"/>
      <c r="GP69" s="60">
        <f>SUM(GL69:GO69)</f>
        <v/>
      </c>
      <c r="GQ69" s="61" t="n"/>
      <c r="GR69" s="57" t="n"/>
      <c r="GS69" s="58">
        <f>GI69</f>
        <v/>
      </c>
      <c r="GT69" s="59" t="n"/>
      <c r="GU69" s="57" t="n"/>
      <c r="GV69" s="57" t="n"/>
      <c r="GW69" s="57" t="n"/>
      <c r="GX69" s="57" t="n"/>
      <c r="GY69" s="60">
        <f>SUM(GU69:GX69)</f>
        <v/>
      </c>
      <c r="GZ69" s="61" t="n"/>
      <c r="HA69" s="57" t="n"/>
      <c r="HB69" s="58">
        <f>GR69</f>
        <v/>
      </c>
      <c r="HC69" s="59" t="n"/>
      <c r="HD69" s="57" t="n"/>
      <c r="HE69" s="57" t="n"/>
      <c r="HF69" s="57" t="n"/>
      <c r="HG69" s="57" t="n"/>
      <c r="HH69" s="60">
        <f>SUM(HD69:HG69)</f>
        <v/>
      </c>
      <c r="HI69" s="61" t="n"/>
      <c r="HJ69" s="57" t="n"/>
      <c r="HK69" s="58">
        <f>HA69</f>
        <v/>
      </c>
      <c r="HL69" s="59" t="n"/>
      <c r="HM69" s="57" t="n"/>
      <c r="HN69" s="57" t="n"/>
      <c r="HO69" s="57" t="n"/>
      <c r="HP69" s="57" t="n"/>
      <c r="HQ69" s="60">
        <f>SUM(HM69:HP69)</f>
        <v/>
      </c>
      <c r="HR69" s="61" t="n"/>
      <c r="HS69" s="57" t="n"/>
      <c r="HT69" s="58">
        <f>HJ69</f>
        <v/>
      </c>
      <c r="HU69" s="59" t="n"/>
      <c r="HV69" s="57" t="n"/>
      <c r="HW69" s="57" t="n"/>
      <c r="HX69" s="57" t="n"/>
      <c r="HY69" s="57" t="n"/>
      <c r="HZ69" s="60">
        <f>SUM(HV69:HY69)</f>
        <v/>
      </c>
      <c r="IA69" s="61" t="n"/>
      <c r="IB69" s="57" t="n"/>
      <c r="IC69" s="58">
        <f>HS69</f>
        <v/>
      </c>
      <c r="ID69" s="59" t="n"/>
      <c r="IE69" s="57" t="n"/>
      <c r="IF69" s="57" t="n"/>
      <c r="IG69" s="57" t="n"/>
      <c r="IH69" s="57" t="n"/>
      <c r="II69" s="60">
        <f>SUM(IE69:IH69)</f>
        <v/>
      </c>
      <c r="IJ69" s="61" t="n"/>
      <c r="IK69" s="57" t="n"/>
      <c r="IL69" s="58">
        <f>IB69</f>
        <v/>
      </c>
      <c r="IM69" s="59" t="n"/>
      <c r="IN69" s="57" t="n"/>
      <c r="IO69" s="57" t="n"/>
      <c r="IP69" s="57" t="n"/>
      <c r="IQ69" s="57" t="n"/>
      <c r="IR69" s="60">
        <f>SUM(IN69:IQ69)</f>
        <v/>
      </c>
      <c r="IS69" s="61" t="n"/>
      <c r="IT69" s="57" t="n"/>
      <c r="IU69" s="58">
        <f>IK69</f>
        <v/>
      </c>
      <c r="IV69" s="59" t="n"/>
      <c r="IW69" s="57" t="n"/>
      <c r="IX69" s="57" t="n"/>
      <c r="IY69" s="57" t="n"/>
      <c r="IZ69" s="57" t="n"/>
      <c r="JA69" s="60">
        <f>SUM(IW69:IZ69)</f>
        <v/>
      </c>
      <c r="JB69" s="61" t="n"/>
      <c r="JC69" s="57" t="n"/>
      <c r="JD69" s="58">
        <f>IT69</f>
        <v/>
      </c>
      <c r="JE69" s="59" t="n"/>
      <c r="JF69" s="57" t="n"/>
      <c r="JG69" s="57" t="n"/>
      <c r="JH69" s="57" t="n"/>
      <c r="JI69" s="57" t="n"/>
      <c r="JJ69" s="60">
        <f>SUM(JF69:JI69)</f>
        <v/>
      </c>
      <c r="JK69" s="61" t="n"/>
      <c r="JL69" s="57" t="n"/>
      <c r="JM69" s="58">
        <f>JC69</f>
        <v/>
      </c>
      <c r="JN69" s="59" t="n"/>
      <c r="JO69" s="57" t="n"/>
      <c r="JP69" s="57" t="n"/>
      <c r="JQ69" s="57" t="n"/>
      <c r="JR69" s="57" t="n"/>
      <c r="JS69" s="60">
        <f>SUM(JO69:JR69)</f>
        <v/>
      </c>
      <c r="JT69" s="61" t="n"/>
      <c r="JU69" s="62">
        <f>I69+R69+AA69+AJ69+AS69+BB69+BK69+BT69+CC69+CL69+CU69+DD69+DM69+DV69+EE69+EN69+EW69+FF69+FO69+FX69+GG69+GP69+GY69+HH69+HQ69+HZ69+II69+IR69+JA69+JJ69+JS69</f>
        <v/>
      </c>
      <c r="JV69" s="63">
        <f>D69+M69+V69+AE69+AN69+AW69+BF69+BO69+BX69+CG69+CP69+CY69+DH69+DQ69+DZ69+EI69+ER69+FA69+FJ69+FS69+GB69+GK69+GT69+HC69+HL69+HU69+ID69+IM69+IV69+JE69+JN69</f>
        <v/>
      </c>
      <c r="JW69" s="62">
        <f>CHOOSE($Z$3,B69, K69, T69, AC69, AL69, AU69, BD69, BM69, BV69, CE69, CN69, CW69, DF69, DO69, DX69, EG69, EP69, EY69, FH69, FQ69, FZ69, GI69, GR69, HA69, HJ69, HS69, IB69, IK69, IT69, JC69, JL69)</f>
        <v/>
      </c>
      <c r="JX69" s="62">
        <f>IFERROR(JU69/$Z$3,0)</f>
        <v/>
      </c>
      <c r="JY69" s="62">
        <f>Configurações!$C$9</f>
        <v/>
      </c>
      <c r="JZ69" s="64">
        <f>IF(JY69=0,"— Sem meta",IF(JU69&gt;=JY69,"✓ Atingida","Em andamento"))</f>
        <v/>
      </c>
      <c r="KA69" s="65">
        <f>JU69+(11*0.0000001)</f>
        <v/>
      </c>
    </row>
    <row r="70" ht="20" customHeight="1">
      <c r="A70" s="56">
        <f>IF(Configurações!$B$10="","Assessor 4",Configurações!$B$10)</f>
        <v/>
      </c>
      <c r="B70" s="57" t="n"/>
      <c r="C70" s="66">
        <f>Configurações!$D$10</f>
        <v/>
      </c>
      <c r="D70" s="59" t="n"/>
      <c r="E70" s="57" t="n"/>
      <c r="F70" s="57" t="n"/>
      <c r="G70" s="57" t="n"/>
      <c r="H70" s="57" t="n"/>
      <c r="I70" s="67">
        <f>SUM(E70:H70)</f>
        <v/>
      </c>
      <c r="J70" s="61" t="n"/>
      <c r="K70" s="57" t="n"/>
      <c r="L70" s="66">
        <f>B70</f>
        <v/>
      </c>
      <c r="M70" s="59" t="n"/>
      <c r="N70" s="57" t="n"/>
      <c r="O70" s="57" t="n"/>
      <c r="P70" s="57" t="n"/>
      <c r="Q70" s="57" t="n"/>
      <c r="R70" s="67">
        <f>SUM(N70:Q70)</f>
        <v/>
      </c>
      <c r="S70" s="61" t="n"/>
      <c r="T70" s="57" t="n"/>
      <c r="U70" s="66">
        <f>K70</f>
        <v/>
      </c>
      <c r="V70" s="59" t="n"/>
      <c r="W70" s="57" t="n"/>
      <c r="X70" s="57" t="n"/>
      <c r="Y70" s="57" t="n"/>
      <c r="Z70" s="57" t="n"/>
      <c r="AA70" s="67">
        <f>SUM(W70:Z70)</f>
        <v/>
      </c>
      <c r="AB70" s="61" t="n"/>
      <c r="AC70" s="57" t="n"/>
      <c r="AD70" s="66">
        <f>T70</f>
        <v/>
      </c>
      <c r="AE70" s="59" t="n"/>
      <c r="AF70" s="57" t="n"/>
      <c r="AG70" s="57" t="n"/>
      <c r="AH70" s="57" t="n"/>
      <c r="AI70" s="57" t="n"/>
      <c r="AJ70" s="67">
        <f>SUM(AF70:AI70)</f>
        <v/>
      </c>
      <c r="AK70" s="61" t="n"/>
      <c r="AL70" s="57" t="n"/>
      <c r="AM70" s="66">
        <f>AC70</f>
        <v/>
      </c>
      <c r="AN70" s="59" t="n"/>
      <c r="AO70" s="57" t="n"/>
      <c r="AP70" s="57" t="n"/>
      <c r="AQ70" s="57" t="n"/>
      <c r="AR70" s="57" t="n"/>
      <c r="AS70" s="67">
        <f>SUM(AO70:AR70)</f>
        <v/>
      </c>
      <c r="AT70" s="61" t="n"/>
      <c r="AU70" s="57" t="n"/>
      <c r="AV70" s="66">
        <f>AL70</f>
        <v/>
      </c>
      <c r="AW70" s="59" t="n"/>
      <c r="AX70" s="57" t="n"/>
      <c r="AY70" s="57" t="n"/>
      <c r="AZ70" s="57" t="n"/>
      <c r="BA70" s="57" t="n"/>
      <c r="BB70" s="67">
        <f>SUM(AX70:BA70)</f>
        <v/>
      </c>
      <c r="BC70" s="61" t="n"/>
      <c r="BD70" s="57" t="n"/>
      <c r="BE70" s="66">
        <f>AU70</f>
        <v/>
      </c>
      <c r="BF70" s="59" t="n"/>
      <c r="BG70" s="57" t="n"/>
      <c r="BH70" s="57" t="n"/>
      <c r="BI70" s="57" t="n"/>
      <c r="BJ70" s="57" t="n"/>
      <c r="BK70" s="67">
        <f>SUM(BG70:BJ70)</f>
        <v/>
      </c>
      <c r="BL70" s="61" t="n"/>
      <c r="BM70" s="57" t="n"/>
      <c r="BN70" s="66">
        <f>BD70</f>
        <v/>
      </c>
      <c r="BO70" s="59" t="n"/>
      <c r="BP70" s="57" t="n"/>
      <c r="BQ70" s="57" t="n"/>
      <c r="BR70" s="57" t="n"/>
      <c r="BS70" s="57" t="n"/>
      <c r="BT70" s="67">
        <f>SUM(BP70:BS70)</f>
        <v/>
      </c>
      <c r="BU70" s="61" t="n"/>
      <c r="BV70" s="57" t="n"/>
      <c r="BW70" s="66">
        <f>BM70</f>
        <v/>
      </c>
      <c r="BX70" s="59" t="n"/>
      <c r="BY70" s="57" t="n"/>
      <c r="BZ70" s="57" t="n"/>
      <c r="CA70" s="57" t="n"/>
      <c r="CB70" s="57" t="n"/>
      <c r="CC70" s="67">
        <f>SUM(BY70:CB70)</f>
        <v/>
      </c>
      <c r="CD70" s="61" t="n"/>
      <c r="CE70" s="57" t="n"/>
      <c r="CF70" s="66">
        <f>BV70</f>
        <v/>
      </c>
      <c r="CG70" s="59" t="n"/>
      <c r="CH70" s="57" t="n"/>
      <c r="CI70" s="57" t="n"/>
      <c r="CJ70" s="57" t="n"/>
      <c r="CK70" s="57" t="n"/>
      <c r="CL70" s="67">
        <f>SUM(CH70:CK70)</f>
        <v/>
      </c>
      <c r="CM70" s="61" t="n"/>
      <c r="CN70" s="57" t="n"/>
      <c r="CO70" s="66">
        <f>CE70</f>
        <v/>
      </c>
      <c r="CP70" s="59" t="n"/>
      <c r="CQ70" s="57" t="n"/>
      <c r="CR70" s="57" t="n"/>
      <c r="CS70" s="57" t="n"/>
      <c r="CT70" s="57" t="n"/>
      <c r="CU70" s="67">
        <f>SUM(CQ70:CT70)</f>
        <v/>
      </c>
      <c r="CV70" s="61" t="n"/>
      <c r="CW70" s="57" t="n"/>
      <c r="CX70" s="66">
        <f>CN70</f>
        <v/>
      </c>
      <c r="CY70" s="59" t="n"/>
      <c r="CZ70" s="57" t="n"/>
      <c r="DA70" s="57" t="n"/>
      <c r="DB70" s="57" t="n"/>
      <c r="DC70" s="57" t="n"/>
      <c r="DD70" s="67">
        <f>SUM(CZ70:DC70)</f>
        <v/>
      </c>
      <c r="DE70" s="61" t="n"/>
      <c r="DF70" s="57" t="n"/>
      <c r="DG70" s="66">
        <f>CW70</f>
        <v/>
      </c>
      <c r="DH70" s="59" t="n"/>
      <c r="DI70" s="57" t="n"/>
      <c r="DJ70" s="57" t="n"/>
      <c r="DK70" s="57" t="n"/>
      <c r="DL70" s="57" t="n"/>
      <c r="DM70" s="67">
        <f>SUM(DI70:DL70)</f>
        <v/>
      </c>
      <c r="DN70" s="61" t="n"/>
      <c r="DO70" s="57" t="n"/>
      <c r="DP70" s="66">
        <f>DF70</f>
        <v/>
      </c>
      <c r="DQ70" s="59" t="n"/>
      <c r="DR70" s="57" t="n"/>
      <c r="DS70" s="57" t="n"/>
      <c r="DT70" s="57" t="n"/>
      <c r="DU70" s="57" t="n"/>
      <c r="DV70" s="67">
        <f>SUM(DR70:DU70)</f>
        <v/>
      </c>
      <c r="DW70" s="61" t="n"/>
      <c r="DX70" s="57" t="n"/>
      <c r="DY70" s="66">
        <f>DO70</f>
        <v/>
      </c>
      <c r="DZ70" s="59" t="n"/>
      <c r="EA70" s="57" t="n"/>
      <c r="EB70" s="57" t="n"/>
      <c r="EC70" s="57" t="n"/>
      <c r="ED70" s="57" t="n"/>
      <c r="EE70" s="67">
        <f>SUM(EA70:ED70)</f>
        <v/>
      </c>
      <c r="EF70" s="61" t="n"/>
      <c r="EG70" s="57" t="n"/>
      <c r="EH70" s="66">
        <f>DX70</f>
        <v/>
      </c>
      <c r="EI70" s="59" t="n"/>
      <c r="EJ70" s="57" t="n"/>
      <c r="EK70" s="57" t="n"/>
      <c r="EL70" s="57" t="n"/>
      <c r="EM70" s="57" t="n"/>
      <c r="EN70" s="67">
        <f>SUM(EJ70:EM70)</f>
        <v/>
      </c>
      <c r="EO70" s="61" t="n"/>
      <c r="EP70" s="57" t="n"/>
      <c r="EQ70" s="66">
        <f>EG70</f>
        <v/>
      </c>
      <c r="ER70" s="59" t="n"/>
      <c r="ES70" s="57" t="n"/>
      <c r="ET70" s="57" t="n"/>
      <c r="EU70" s="57" t="n"/>
      <c r="EV70" s="57" t="n"/>
      <c r="EW70" s="67">
        <f>SUM(ES70:EV70)</f>
        <v/>
      </c>
      <c r="EX70" s="61" t="n"/>
      <c r="EY70" s="57" t="n"/>
      <c r="EZ70" s="66">
        <f>EP70</f>
        <v/>
      </c>
      <c r="FA70" s="59" t="n"/>
      <c r="FB70" s="57" t="n"/>
      <c r="FC70" s="57" t="n"/>
      <c r="FD70" s="57" t="n"/>
      <c r="FE70" s="57" t="n"/>
      <c r="FF70" s="67">
        <f>SUM(FB70:FE70)</f>
        <v/>
      </c>
      <c r="FG70" s="61" t="n"/>
      <c r="FH70" s="57" t="n"/>
      <c r="FI70" s="66">
        <f>EY70</f>
        <v/>
      </c>
      <c r="FJ70" s="59" t="n"/>
      <c r="FK70" s="57" t="n"/>
      <c r="FL70" s="57" t="n"/>
      <c r="FM70" s="57" t="n"/>
      <c r="FN70" s="57" t="n"/>
      <c r="FO70" s="67">
        <f>SUM(FK70:FN70)</f>
        <v/>
      </c>
      <c r="FP70" s="61" t="n"/>
      <c r="FQ70" s="57" t="n"/>
      <c r="FR70" s="66">
        <f>FH70</f>
        <v/>
      </c>
      <c r="FS70" s="59" t="n"/>
      <c r="FT70" s="57" t="n"/>
      <c r="FU70" s="57" t="n"/>
      <c r="FV70" s="57" t="n"/>
      <c r="FW70" s="57" t="n"/>
      <c r="FX70" s="67">
        <f>SUM(FT70:FW70)</f>
        <v/>
      </c>
      <c r="FY70" s="61" t="n"/>
      <c r="FZ70" s="57" t="n"/>
      <c r="GA70" s="66">
        <f>FQ70</f>
        <v/>
      </c>
      <c r="GB70" s="59" t="n"/>
      <c r="GC70" s="57" t="n"/>
      <c r="GD70" s="57" t="n"/>
      <c r="GE70" s="57" t="n"/>
      <c r="GF70" s="57" t="n"/>
      <c r="GG70" s="67">
        <f>SUM(GC70:GF70)</f>
        <v/>
      </c>
      <c r="GH70" s="61" t="n"/>
      <c r="GI70" s="57" t="n"/>
      <c r="GJ70" s="66">
        <f>FZ70</f>
        <v/>
      </c>
      <c r="GK70" s="59" t="n"/>
      <c r="GL70" s="57" t="n"/>
      <c r="GM70" s="57" t="n"/>
      <c r="GN70" s="57" t="n"/>
      <c r="GO70" s="57" t="n"/>
      <c r="GP70" s="67">
        <f>SUM(GL70:GO70)</f>
        <v/>
      </c>
      <c r="GQ70" s="61" t="n"/>
      <c r="GR70" s="57" t="n"/>
      <c r="GS70" s="66">
        <f>GI70</f>
        <v/>
      </c>
      <c r="GT70" s="59" t="n"/>
      <c r="GU70" s="57" t="n"/>
      <c r="GV70" s="57" t="n"/>
      <c r="GW70" s="57" t="n"/>
      <c r="GX70" s="57" t="n"/>
      <c r="GY70" s="67">
        <f>SUM(GU70:GX70)</f>
        <v/>
      </c>
      <c r="GZ70" s="61" t="n"/>
      <c r="HA70" s="57" t="n"/>
      <c r="HB70" s="66">
        <f>GR70</f>
        <v/>
      </c>
      <c r="HC70" s="59" t="n"/>
      <c r="HD70" s="57" t="n"/>
      <c r="HE70" s="57" t="n"/>
      <c r="HF70" s="57" t="n"/>
      <c r="HG70" s="57" t="n"/>
      <c r="HH70" s="67">
        <f>SUM(HD70:HG70)</f>
        <v/>
      </c>
      <c r="HI70" s="61" t="n"/>
      <c r="HJ70" s="57" t="n"/>
      <c r="HK70" s="66">
        <f>HA70</f>
        <v/>
      </c>
      <c r="HL70" s="59" t="n"/>
      <c r="HM70" s="57" t="n"/>
      <c r="HN70" s="57" t="n"/>
      <c r="HO70" s="57" t="n"/>
      <c r="HP70" s="57" t="n"/>
      <c r="HQ70" s="67">
        <f>SUM(HM70:HP70)</f>
        <v/>
      </c>
      <c r="HR70" s="61" t="n"/>
      <c r="HS70" s="57" t="n"/>
      <c r="HT70" s="66">
        <f>HJ70</f>
        <v/>
      </c>
      <c r="HU70" s="59" t="n"/>
      <c r="HV70" s="57" t="n"/>
      <c r="HW70" s="57" t="n"/>
      <c r="HX70" s="57" t="n"/>
      <c r="HY70" s="57" t="n"/>
      <c r="HZ70" s="67">
        <f>SUM(HV70:HY70)</f>
        <v/>
      </c>
      <c r="IA70" s="61" t="n"/>
      <c r="IB70" s="57" t="n"/>
      <c r="IC70" s="66">
        <f>HS70</f>
        <v/>
      </c>
      <c r="ID70" s="59" t="n"/>
      <c r="IE70" s="57" t="n"/>
      <c r="IF70" s="57" t="n"/>
      <c r="IG70" s="57" t="n"/>
      <c r="IH70" s="57" t="n"/>
      <c r="II70" s="67">
        <f>SUM(IE70:IH70)</f>
        <v/>
      </c>
      <c r="IJ70" s="61" t="n"/>
      <c r="IK70" s="57" t="n"/>
      <c r="IL70" s="66">
        <f>IB70</f>
        <v/>
      </c>
      <c r="IM70" s="59" t="n"/>
      <c r="IN70" s="57" t="n"/>
      <c r="IO70" s="57" t="n"/>
      <c r="IP70" s="57" t="n"/>
      <c r="IQ70" s="57" t="n"/>
      <c r="IR70" s="67">
        <f>SUM(IN70:IQ70)</f>
        <v/>
      </c>
      <c r="IS70" s="61" t="n"/>
      <c r="IT70" s="57" t="n"/>
      <c r="IU70" s="66">
        <f>IK70</f>
        <v/>
      </c>
      <c r="IV70" s="59" t="n"/>
      <c r="IW70" s="57" t="n"/>
      <c r="IX70" s="57" t="n"/>
      <c r="IY70" s="57" t="n"/>
      <c r="IZ70" s="57" t="n"/>
      <c r="JA70" s="67">
        <f>SUM(IW70:IZ70)</f>
        <v/>
      </c>
      <c r="JB70" s="61" t="n"/>
      <c r="JC70" s="57" t="n"/>
      <c r="JD70" s="66">
        <f>IT70</f>
        <v/>
      </c>
      <c r="JE70" s="59" t="n"/>
      <c r="JF70" s="57" t="n"/>
      <c r="JG70" s="57" t="n"/>
      <c r="JH70" s="57" t="n"/>
      <c r="JI70" s="57" t="n"/>
      <c r="JJ70" s="67">
        <f>SUM(JF70:JI70)</f>
        <v/>
      </c>
      <c r="JK70" s="61" t="n"/>
      <c r="JL70" s="57" t="n"/>
      <c r="JM70" s="66">
        <f>JC70</f>
        <v/>
      </c>
      <c r="JN70" s="59" t="n"/>
      <c r="JO70" s="57" t="n"/>
      <c r="JP70" s="57" t="n"/>
      <c r="JQ70" s="57" t="n"/>
      <c r="JR70" s="57" t="n"/>
      <c r="JS70" s="67">
        <f>SUM(JO70:JR70)</f>
        <v/>
      </c>
      <c r="JT70" s="61" t="n"/>
      <c r="JU70" s="62">
        <f>I70+R70+AA70+AJ70+AS70+BB70+BK70+BT70+CC70+CL70+CU70+DD70+DM70+DV70+EE70+EN70+EW70+FF70+FO70+FX70+GG70+GP70+GY70+HH70+HQ70+HZ70+II70+IR70+JA70+JJ70+JS70</f>
        <v/>
      </c>
      <c r="JV70" s="63">
        <f>D70+M70+V70+AE70+AN70+AW70+BF70+BO70+BX70+CG70+CP70+CY70+DH70+DQ70+DZ70+EI70+ER70+FA70+FJ70+FS70+GB70+GK70+GT70+HC70+HL70+HU70+ID70+IM70+IV70+JE70+JN70</f>
        <v/>
      </c>
      <c r="JW70" s="62">
        <f>CHOOSE($Z$3,B70, K70, T70, AC70, AL70, AU70, BD70, BM70, BV70, CE70, CN70, CW70, DF70, DO70, DX70, EG70, EP70, EY70, FH70, FQ70, FZ70, GI70, GR70, HA70, HJ70, HS70, IB70, IK70, IT70, JC70, JL70)</f>
        <v/>
      </c>
      <c r="JX70" s="62">
        <f>IFERROR(JU70/$Z$3,0)</f>
        <v/>
      </c>
      <c r="JY70" s="62">
        <f>Configurações!$C$10</f>
        <v/>
      </c>
      <c r="JZ70" s="64">
        <f>IF(JY70=0,"— Sem meta",IF(JU70&gt;=JY70,"✓ Atingida","Em andamento"))</f>
        <v/>
      </c>
      <c r="KA70" s="65">
        <f>JU70+(10*0.0000001)</f>
        <v/>
      </c>
    </row>
    <row r="71" ht="20" customHeight="1">
      <c r="A71" s="56">
        <f>IF(Configurações!$B$11="","Assessor 5",Configurações!$B$11)</f>
        <v/>
      </c>
      <c r="B71" s="57" t="n"/>
      <c r="C71" s="58">
        <f>Configurações!$D$11</f>
        <v/>
      </c>
      <c r="D71" s="59" t="n"/>
      <c r="E71" s="57" t="n"/>
      <c r="F71" s="57" t="n"/>
      <c r="G71" s="57" t="n"/>
      <c r="H71" s="57" t="n"/>
      <c r="I71" s="60">
        <f>SUM(E71:H71)</f>
        <v/>
      </c>
      <c r="J71" s="61" t="n"/>
      <c r="K71" s="57" t="n"/>
      <c r="L71" s="58">
        <f>B71</f>
        <v/>
      </c>
      <c r="M71" s="59" t="n"/>
      <c r="N71" s="57" t="n"/>
      <c r="O71" s="57" t="n"/>
      <c r="P71" s="57" t="n"/>
      <c r="Q71" s="57" t="n"/>
      <c r="R71" s="60">
        <f>SUM(N71:Q71)</f>
        <v/>
      </c>
      <c r="S71" s="61" t="n"/>
      <c r="T71" s="57" t="n"/>
      <c r="U71" s="58">
        <f>K71</f>
        <v/>
      </c>
      <c r="V71" s="59" t="n"/>
      <c r="W71" s="57" t="n"/>
      <c r="X71" s="57" t="n"/>
      <c r="Y71" s="57" t="n"/>
      <c r="Z71" s="57" t="n"/>
      <c r="AA71" s="60">
        <f>SUM(W71:Z71)</f>
        <v/>
      </c>
      <c r="AB71" s="61" t="n"/>
      <c r="AC71" s="57" t="n"/>
      <c r="AD71" s="58">
        <f>T71</f>
        <v/>
      </c>
      <c r="AE71" s="59" t="n"/>
      <c r="AF71" s="57" t="n"/>
      <c r="AG71" s="57" t="n"/>
      <c r="AH71" s="57" t="n"/>
      <c r="AI71" s="57" t="n"/>
      <c r="AJ71" s="60">
        <f>SUM(AF71:AI71)</f>
        <v/>
      </c>
      <c r="AK71" s="61" t="n"/>
      <c r="AL71" s="57" t="n"/>
      <c r="AM71" s="58">
        <f>AC71</f>
        <v/>
      </c>
      <c r="AN71" s="59" t="n"/>
      <c r="AO71" s="57" t="n"/>
      <c r="AP71" s="57" t="n"/>
      <c r="AQ71" s="57" t="n"/>
      <c r="AR71" s="57" t="n"/>
      <c r="AS71" s="60">
        <f>SUM(AO71:AR71)</f>
        <v/>
      </c>
      <c r="AT71" s="61" t="n"/>
      <c r="AU71" s="57" t="n"/>
      <c r="AV71" s="58">
        <f>AL71</f>
        <v/>
      </c>
      <c r="AW71" s="59" t="n"/>
      <c r="AX71" s="57" t="n"/>
      <c r="AY71" s="57" t="n"/>
      <c r="AZ71" s="57" t="n"/>
      <c r="BA71" s="57" t="n"/>
      <c r="BB71" s="60">
        <f>SUM(AX71:BA71)</f>
        <v/>
      </c>
      <c r="BC71" s="61" t="n"/>
      <c r="BD71" s="57" t="n"/>
      <c r="BE71" s="58">
        <f>AU71</f>
        <v/>
      </c>
      <c r="BF71" s="59" t="n"/>
      <c r="BG71" s="57" t="n"/>
      <c r="BH71" s="57" t="n"/>
      <c r="BI71" s="57" t="n"/>
      <c r="BJ71" s="57" t="n"/>
      <c r="BK71" s="60">
        <f>SUM(BG71:BJ71)</f>
        <v/>
      </c>
      <c r="BL71" s="61" t="n"/>
      <c r="BM71" s="57" t="n"/>
      <c r="BN71" s="58">
        <f>BD71</f>
        <v/>
      </c>
      <c r="BO71" s="59" t="n"/>
      <c r="BP71" s="57" t="n"/>
      <c r="BQ71" s="57" t="n"/>
      <c r="BR71" s="57" t="n"/>
      <c r="BS71" s="57" t="n"/>
      <c r="BT71" s="60">
        <f>SUM(BP71:BS71)</f>
        <v/>
      </c>
      <c r="BU71" s="61" t="n"/>
      <c r="BV71" s="57" t="n"/>
      <c r="BW71" s="58">
        <f>BM71</f>
        <v/>
      </c>
      <c r="BX71" s="59" t="n"/>
      <c r="BY71" s="57" t="n"/>
      <c r="BZ71" s="57" t="n"/>
      <c r="CA71" s="57" t="n"/>
      <c r="CB71" s="57" t="n"/>
      <c r="CC71" s="60">
        <f>SUM(BY71:CB71)</f>
        <v/>
      </c>
      <c r="CD71" s="61" t="n"/>
      <c r="CE71" s="57" t="n"/>
      <c r="CF71" s="58">
        <f>BV71</f>
        <v/>
      </c>
      <c r="CG71" s="59" t="n"/>
      <c r="CH71" s="57" t="n"/>
      <c r="CI71" s="57" t="n"/>
      <c r="CJ71" s="57" t="n"/>
      <c r="CK71" s="57" t="n"/>
      <c r="CL71" s="60">
        <f>SUM(CH71:CK71)</f>
        <v/>
      </c>
      <c r="CM71" s="61" t="n"/>
      <c r="CN71" s="57" t="n"/>
      <c r="CO71" s="58">
        <f>CE71</f>
        <v/>
      </c>
      <c r="CP71" s="59" t="n"/>
      <c r="CQ71" s="57" t="n"/>
      <c r="CR71" s="57" t="n"/>
      <c r="CS71" s="57" t="n"/>
      <c r="CT71" s="57" t="n"/>
      <c r="CU71" s="60">
        <f>SUM(CQ71:CT71)</f>
        <v/>
      </c>
      <c r="CV71" s="61" t="n"/>
      <c r="CW71" s="57" t="n"/>
      <c r="CX71" s="58">
        <f>CN71</f>
        <v/>
      </c>
      <c r="CY71" s="59" t="n"/>
      <c r="CZ71" s="57" t="n"/>
      <c r="DA71" s="57" t="n"/>
      <c r="DB71" s="57" t="n"/>
      <c r="DC71" s="57" t="n"/>
      <c r="DD71" s="60">
        <f>SUM(CZ71:DC71)</f>
        <v/>
      </c>
      <c r="DE71" s="61" t="n"/>
      <c r="DF71" s="57" t="n"/>
      <c r="DG71" s="58">
        <f>CW71</f>
        <v/>
      </c>
      <c r="DH71" s="59" t="n"/>
      <c r="DI71" s="57" t="n"/>
      <c r="DJ71" s="57" t="n"/>
      <c r="DK71" s="57" t="n"/>
      <c r="DL71" s="57" t="n"/>
      <c r="DM71" s="60">
        <f>SUM(DI71:DL71)</f>
        <v/>
      </c>
      <c r="DN71" s="61" t="n"/>
      <c r="DO71" s="57" t="n"/>
      <c r="DP71" s="58">
        <f>DF71</f>
        <v/>
      </c>
      <c r="DQ71" s="59" t="n"/>
      <c r="DR71" s="57" t="n"/>
      <c r="DS71" s="57" t="n"/>
      <c r="DT71" s="57" t="n"/>
      <c r="DU71" s="57" t="n"/>
      <c r="DV71" s="60">
        <f>SUM(DR71:DU71)</f>
        <v/>
      </c>
      <c r="DW71" s="61" t="n"/>
      <c r="DX71" s="57" t="n"/>
      <c r="DY71" s="58">
        <f>DO71</f>
        <v/>
      </c>
      <c r="DZ71" s="59" t="n"/>
      <c r="EA71" s="57" t="n"/>
      <c r="EB71" s="57" t="n"/>
      <c r="EC71" s="57" t="n"/>
      <c r="ED71" s="57" t="n"/>
      <c r="EE71" s="60">
        <f>SUM(EA71:ED71)</f>
        <v/>
      </c>
      <c r="EF71" s="61" t="n"/>
      <c r="EG71" s="57" t="n"/>
      <c r="EH71" s="58">
        <f>DX71</f>
        <v/>
      </c>
      <c r="EI71" s="59" t="n"/>
      <c r="EJ71" s="57" t="n"/>
      <c r="EK71" s="57" t="n"/>
      <c r="EL71" s="57" t="n"/>
      <c r="EM71" s="57" t="n"/>
      <c r="EN71" s="60">
        <f>SUM(EJ71:EM71)</f>
        <v/>
      </c>
      <c r="EO71" s="61" t="n"/>
      <c r="EP71" s="57" t="n"/>
      <c r="EQ71" s="58">
        <f>EG71</f>
        <v/>
      </c>
      <c r="ER71" s="59" t="n"/>
      <c r="ES71" s="57" t="n"/>
      <c r="ET71" s="57" t="n"/>
      <c r="EU71" s="57" t="n"/>
      <c r="EV71" s="57" t="n"/>
      <c r="EW71" s="60">
        <f>SUM(ES71:EV71)</f>
        <v/>
      </c>
      <c r="EX71" s="61" t="n"/>
      <c r="EY71" s="57" t="n"/>
      <c r="EZ71" s="58">
        <f>EP71</f>
        <v/>
      </c>
      <c r="FA71" s="59" t="n"/>
      <c r="FB71" s="57" t="n"/>
      <c r="FC71" s="57" t="n"/>
      <c r="FD71" s="57" t="n"/>
      <c r="FE71" s="57" t="n"/>
      <c r="FF71" s="60">
        <f>SUM(FB71:FE71)</f>
        <v/>
      </c>
      <c r="FG71" s="61" t="n"/>
      <c r="FH71" s="57" t="n"/>
      <c r="FI71" s="58">
        <f>EY71</f>
        <v/>
      </c>
      <c r="FJ71" s="59" t="n"/>
      <c r="FK71" s="57" t="n"/>
      <c r="FL71" s="57" t="n"/>
      <c r="FM71" s="57" t="n"/>
      <c r="FN71" s="57" t="n"/>
      <c r="FO71" s="60">
        <f>SUM(FK71:FN71)</f>
        <v/>
      </c>
      <c r="FP71" s="61" t="n"/>
      <c r="FQ71" s="57" t="n"/>
      <c r="FR71" s="58">
        <f>FH71</f>
        <v/>
      </c>
      <c r="FS71" s="59" t="n"/>
      <c r="FT71" s="57" t="n"/>
      <c r="FU71" s="57" t="n"/>
      <c r="FV71" s="57" t="n"/>
      <c r="FW71" s="57" t="n"/>
      <c r="FX71" s="60">
        <f>SUM(FT71:FW71)</f>
        <v/>
      </c>
      <c r="FY71" s="61" t="n"/>
      <c r="FZ71" s="57" t="n"/>
      <c r="GA71" s="58">
        <f>FQ71</f>
        <v/>
      </c>
      <c r="GB71" s="59" t="n"/>
      <c r="GC71" s="57" t="n"/>
      <c r="GD71" s="57" t="n"/>
      <c r="GE71" s="57" t="n"/>
      <c r="GF71" s="57" t="n"/>
      <c r="GG71" s="60">
        <f>SUM(GC71:GF71)</f>
        <v/>
      </c>
      <c r="GH71" s="61" t="n"/>
      <c r="GI71" s="57" t="n"/>
      <c r="GJ71" s="58">
        <f>FZ71</f>
        <v/>
      </c>
      <c r="GK71" s="59" t="n"/>
      <c r="GL71" s="57" t="n"/>
      <c r="GM71" s="57" t="n"/>
      <c r="GN71" s="57" t="n"/>
      <c r="GO71" s="57" t="n"/>
      <c r="GP71" s="60">
        <f>SUM(GL71:GO71)</f>
        <v/>
      </c>
      <c r="GQ71" s="61" t="n"/>
      <c r="GR71" s="57" t="n"/>
      <c r="GS71" s="58">
        <f>GI71</f>
        <v/>
      </c>
      <c r="GT71" s="59" t="n"/>
      <c r="GU71" s="57" t="n"/>
      <c r="GV71" s="57" t="n"/>
      <c r="GW71" s="57" t="n"/>
      <c r="GX71" s="57" t="n"/>
      <c r="GY71" s="60">
        <f>SUM(GU71:GX71)</f>
        <v/>
      </c>
      <c r="GZ71" s="61" t="n"/>
      <c r="HA71" s="57" t="n"/>
      <c r="HB71" s="58">
        <f>GR71</f>
        <v/>
      </c>
      <c r="HC71" s="59" t="n"/>
      <c r="HD71" s="57" t="n"/>
      <c r="HE71" s="57" t="n"/>
      <c r="HF71" s="57" t="n"/>
      <c r="HG71" s="57" t="n"/>
      <c r="HH71" s="60">
        <f>SUM(HD71:HG71)</f>
        <v/>
      </c>
      <c r="HI71" s="61" t="n"/>
      <c r="HJ71" s="57" t="n"/>
      <c r="HK71" s="58">
        <f>HA71</f>
        <v/>
      </c>
      <c r="HL71" s="59" t="n"/>
      <c r="HM71" s="57" t="n"/>
      <c r="HN71" s="57" t="n"/>
      <c r="HO71" s="57" t="n"/>
      <c r="HP71" s="57" t="n"/>
      <c r="HQ71" s="60">
        <f>SUM(HM71:HP71)</f>
        <v/>
      </c>
      <c r="HR71" s="61" t="n"/>
      <c r="HS71" s="57" t="n"/>
      <c r="HT71" s="58">
        <f>HJ71</f>
        <v/>
      </c>
      <c r="HU71" s="59" t="n"/>
      <c r="HV71" s="57" t="n"/>
      <c r="HW71" s="57" t="n"/>
      <c r="HX71" s="57" t="n"/>
      <c r="HY71" s="57" t="n"/>
      <c r="HZ71" s="60">
        <f>SUM(HV71:HY71)</f>
        <v/>
      </c>
      <c r="IA71" s="61" t="n"/>
      <c r="IB71" s="57" t="n"/>
      <c r="IC71" s="58">
        <f>HS71</f>
        <v/>
      </c>
      <c r="ID71" s="59" t="n"/>
      <c r="IE71" s="57" t="n"/>
      <c r="IF71" s="57" t="n"/>
      <c r="IG71" s="57" t="n"/>
      <c r="IH71" s="57" t="n"/>
      <c r="II71" s="60">
        <f>SUM(IE71:IH71)</f>
        <v/>
      </c>
      <c r="IJ71" s="61" t="n"/>
      <c r="IK71" s="57" t="n"/>
      <c r="IL71" s="58">
        <f>IB71</f>
        <v/>
      </c>
      <c r="IM71" s="59" t="n"/>
      <c r="IN71" s="57" t="n"/>
      <c r="IO71" s="57" t="n"/>
      <c r="IP71" s="57" t="n"/>
      <c r="IQ71" s="57" t="n"/>
      <c r="IR71" s="60">
        <f>SUM(IN71:IQ71)</f>
        <v/>
      </c>
      <c r="IS71" s="61" t="n"/>
      <c r="IT71" s="57" t="n"/>
      <c r="IU71" s="58">
        <f>IK71</f>
        <v/>
      </c>
      <c r="IV71" s="59" t="n"/>
      <c r="IW71" s="57" t="n"/>
      <c r="IX71" s="57" t="n"/>
      <c r="IY71" s="57" t="n"/>
      <c r="IZ71" s="57" t="n"/>
      <c r="JA71" s="60">
        <f>SUM(IW71:IZ71)</f>
        <v/>
      </c>
      <c r="JB71" s="61" t="n"/>
      <c r="JC71" s="57" t="n"/>
      <c r="JD71" s="58">
        <f>IT71</f>
        <v/>
      </c>
      <c r="JE71" s="59" t="n"/>
      <c r="JF71" s="57" t="n"/>
      <c r="JG71" s="57" t="n"/>
      <c r="JH71" s="57" t="n"/>
      <c r="JI71" s="57" t="n"/>
      <c r="JJ71" s="60">
        <f>SUM(JF71:JI71)</f>
        <v/>
      </c>
      <c r="JK71" s="61" t="n"/>
      <c r="JL71" s="57" t="n"/>
      <c r="JM71" s="58">
        <f>JC71</f>
        <v/>
      </c>
      <c r="JN71" s="59" t="n"/>
      <c r="JO71" s="57" t="n"/>
      <c r="JP71" s="57" t="n"/>
      <c r="JQ71" s="57" t="n"/>
      <c r="JR71" s="57" t="n"/>
      <c r="JS71" s="60">
        <f>SUM(JO71:JR71)</f>
        <v/>
      </c>
      <c r="JT71" s="61" t="n"/>
      <c r="JU71" s="62">
        <f>I71+R71+AA71+AJ71+AS71+BB71+BK71+BT71+CC71+CL71+CU71+DD71+DM71+DV71+EE71+EN71+EW71+FF71+FO71+FX71+GG71+GP71+GY71+HH71+HQ71+HZ71+II71+IR71+JA71+JJ71+JS71</f>
        <v/>
      </c>
      <c r="JV71" s="63">
        <f>D71+M71+V71+AE71+AN71+AW71+BF71+BO71+BX71+CG71+CP71+CY71+DH71+DQ71+DZ71+EI71+ER71+FA71+FJ71+FS71+GB71+GK71+GT71+HC71+HL71+HU71+ID71+IM71+IV71+JE71+JN71</f>
        <v/>
      </c>
      <c r="JW71" s="62">
        <f>CHOOSE($Z$3,B71, K71, T71, AC71, AL71, AU71, BD71, BM71, BV71, CE71, CN71, CW71, DF71, DO71, DX71, EG71, EP71, EY71, FH71, FQ71, FZ71, GI71, GR71, HA71, HJ71, HS71, IB71, IK71, IT71, JC71, JL71)</f>
        <v/>
      </c>
      <c r="JX71" s="62">
        <f>IFERROR(JU71/$Z$3,0)</f>
        <v/>
      </c>
      <c r="JY71" s="62">
        <f>Configurações!$C$11</f>
        <v/>
      </c>
      <c r="JZ71" s="64">
        <f>IF(JY71=0,"— Sem meta",IF(JU71&gt;=JY71,"✓ Atingida","Em andamento"))</f>
        <v/>
      </c>
      <c r="KA71" s="65">
        <f>JU71+(9*0.0000001)</f>
        <v/>
      </c>
    </row>
    <row r="72" ht="20" customHeight="1">
      <c r="A72" s="56">
        <f>IF(Configurações!$B$12="","Assessor 6",Configurações!$B$12)</f>
        <v/>
      </c>
      <c r="B72" s="57" t="n"/>
      <c r="C72" s="66">
        <f>Configurações!$D$12</f>
        <v/>
      </c>
      <c r="D72" s="59" t="n"/>
      <c r="E72" s="57" t="n"/>
      <c r="F72" s="57" t="n"/>
      <c r="G72" s="57" t="n"/>
      <c r="H72" s="57" t="n"/>
      <c r="I72" s="67">
        <f>SUM(E72:H72)</f>
        <v/>
      </c>
      <c r="J72" s="61" t="n"/>
      <c r="K72" s="57" t="n"/>
      <c r="L72" s="66">
        <f>B72</f>
        <v/>
      </c>
      <c r="M72" s="59" t="n"/>
      <c r="N72" s="57" t="n"/>
      <c r="O72" s="57" t="n"/>
      <c r="P72" s="57" t="n"/>
      <c r="Q72" s="57" t="n"/>
      <c r="R72" s="67">
        <f>SUM(N72:Q72)</f>
        <v/>
      </c>
      <c r="S72" s="61" t="n"/>
      <c r="T72" s="57" t="n"/>
      <c r="U72" s="66">
        <f>K72</f>
        <v/>
      </c>
      <c r="V72" s="59" t="n"/>
      <c r="W72" s="57" t="n"/>
      <c r="X72" s="57" t="n"/>
      <c r="Y72" s="57" t="n"/>
      <c r="Z72" s="57" t="n"/>
      <c r="AA72" s="67">
        <f>SUM(W72:Z72)</f>
        <v/>
      </c>
      <c r="AB72" s="61" t="n"/>
      <c r="AC72" s="57" t="n"/>
      <c r="AD72" s="66">
        <f>T72</f>
        <v/>
      </c>
      <c r="AE72" s="59" t="n"/>
      <c r="AF72" s="57" t="n"/>
      <c r="AG72" s="57" t="n"/>
      <c r="AH72" s="57" t="n"/>
      <c r="AI72" s="57" t="n"/>
      <c r="AJ72" s="67">
        <f>SUM(AF72:AI72)</f>
        <v/>
      </c>
      <c r="AK72" s="61" t="n"/>
      <c r="AL72" s="57" t="n"/>
      <c r="AM72" s="66">
        <f>AC72</f>
        <v/>
      </c>
      <c r="AN72" s="59" t="n"/>
      <c r="AO72" s="57" t="n"/>
      <c r="AP72" s="57" t="n"/>
      <c r="AQ72" s="57" t="n"/>
      <c r="AR72" s="57" t="n"/>
      <c r="AS72" s="67">
        <f>SUM(AO72:AR72)</f>
        <v/>
      </c>
      <c r="AT72" s="61" t="n"/>
      <c r="AU72" s="57" t="n"/>
      <c r="AV72" s="66">
        <f>AL72</f>
        <v/>
      </c>
      <c r="AW72" s="59" t="n"/>
      <c r="AX72" s="57" t="n"/>
      <c r="AY72" s="57" t="n"/>
      <c r="AZ72" s="57" t="n"/>
      <c r="BA72" s="57" t="n"/>
      <c r="BB72" s="67">
        <f>SUM(AX72:BA72)</f>
        <v/>
      </c>
      <c r="BC72" s="61" t="n"/>
      <c r="BD72" s="57" t="n"/>
      <c r="BE72" s="66">
        <f>AU72</f>
        <v/>
      </c>
      <c r="BF72" s="59" t="n"/>
      <c r="BG72" s="57" t="n"/>
      <c r="BH72" s="57" t="n"/>
      <c r="BI72" s="57" t="n"/>
      <c r="BJ72" s="57" t="n"/>
      <c r="BK72" s="67">
        <f>SUM(BG72:BJ72)</f>
        <v/>
      </c>
      <c r="BL72" s="61" t="n"/>
      <c r="BM72" s="57" t="n"/>
      <c r="BN72" s="66">
        <f>BD72</f>
        <v/>
      </c>
      <c r="BO72" s="59" t="n"/>
      <c r="BP72" s="57" t="n"/>
      <c r="BQ72" s="57" t="n"/>
      <c r="BR72" s="57" t="n"/>
      <c r="BS72" s="57" t="n"/>
      <c r="BT72" s="67">
        <f>SUM(BP72:BS72)</f>
        <v/>
      </c>
      <c r="BU72" s="61" t="n"/>
      <c r="BV72" s="57" t="n"/>
      <c r="BW72" s="66">
        <f>BM72</f>
        <v/>
      </c>
      <c r="BX72" s="59" t="n"/>
      <c r="BY72" s="57" t="n"/>
      <c r="BZ72" s="57" t="n"/>
      <c r="CA72" s="57" t="n"/>
      <c r="CB72" s="57" t="n"/>
      <c r="CC72" s="67">
        <f>SUM(BY72:CB72)</f>
        <v/>
      </c>
      <c r="CD72" s="61" t="n"/>
      <c r="CE72" s="57" t="n"/>
      <c r="CF72" s="66">
        <f>BV72</f>
        <v/>
      </c>
      <c r="CG72" s="59" t="n"/>
      <c r="CH72" s="57" t="n"/>
      <c r="CI72" s="57" t="n"/>
      <c r="CJ72" s="57" t="n"/>
      <c r="CK72" s="57" t="n"/>
      <c r="CL72" s="67">
        <f>SUM(CH72:CK72)</f>
        <v/>
      </c>
      <c r="CM72" s="61" t="n"/>
      <c r="CN72" s="57" t="n"/>
      <c r="CO72" s="66">
        <f>CE72</f>
        <v/>
      </c>
      <c r="CP72" s="59" t="n"/>
      <c r="CQ72" s="57" t="n"/>
      <c r="CR72" s="57" t="n"/>
      <c r="CS72" s="57" t="n"/>
      <c r="CT72" s="57" t="n"/>
      <c r="CU72" s="67">
        <f>SUM(CQ72:CT72)</f>
        <v/>
      </c>
      <c r="CV72" s="61" t="n"/>
      <c r="CW72" s="57" t="n"/>
      <c r="CX72" s="66">
        <f>CN72</f>
        <v/>
      </c>
      <c r="CY72" s="59" t="n"/>
      <c r="CZ72" s="57" t="n"/>
      <c r="DA72" s="57" t="n"/>
      <c r="DB72" s="57" t="n"/>
      <c r="DC72" s="57" t="n"/>
      <c r="DD72" s="67">
        <f>SUM(CZ72:DC72)</f>
        <v/>
      </c>
      <c r="DE72" s="61" t="n"/>
      <c r="DF72" s="57" t="n"/>
      <c r="DG72" s="66">
        <f>CW72</f>
        <v/>
      </c>
      <c r="DH72" s="59" t="n"/>
      <c r="DI72" s="57" t="n"/>
      <c r="DJ72" s="57" t="n"/>
      <c r="DK72" s="57" t="n"/>
      <c r="DL72" s="57" t="n"/>
      <c r="DM72" s="67">
        <f>SUM(DI72:DL72)</f>
        <v/>
      </c>
      <c r="DN72" s="61" t="n"/>
      <c r="DO72" s="57" t="n"/>
      <c r="DP72" s="66">
        <f>DF72</f>
        <v/>
      </c>
      <c r="DQ72" s="59" t="n"/>
      <c r="DR72" s="57" t="n"/>
      <c r="DS72" s="57" t="n"/>
      <c r="DT72" s="57" t="n"/>
      <c r="DU72" s="57" t="n"/>
      <c r="DV72" s="67">
        <f>SUM(DR72:DU72)</f>
        <v/>
      </c>
      <c r="DW72" s="61" t="n"/>
      <c r="DX72" s="57" t="n"/>
      <c r="DY72" s="66">
        <f>DO72</f>
        <v/>
      </c>
      <c r="DZ72" s="59" t="n"/>
      <c r="EA72" s="57" t="n"/>
      <c r="EB72" s="57" t="n"/>
      <c r="EC72" s="57" t="n"/>
      <c r="ED72" s="57" t="n"/>
      <c r="EE72" s="67">
        <f>SUM(EA72:ED72)</f>
        <v/>
      </c>
      <c r="EF72" s="61" t="n"/>
      <c r="EG72" s="57" t="n"/>
      <c r="EH72" s="66">
        <f>DX72</f>
        <v/>
      </c>
      <c r="EI72" s="59" t="n"/>
      <c r="EJ72" s="57" t="n"/>
      <c r="EK72" s="57" t="n"/>
      <c r="EL72" s="57" t="n"/>
      <c r="EM72" s="57" t="n"/>
      <c r="EN72" s="67">
        <f>SUM(EJ72:EM72)</f>
        <v/>
      </c>
      <c r="EO72" s="61" t="n"/>
      <c r="EP72" s="57" t="n"/>
      <c r="EQ72" s="66">
        <f>EG72</f>
        <v/>
      </c>
      <c r="ER72" s="59" t="n"/>
      <c r="ES72" s="57" t="n"/>
      <c r="ET72" s="57" t="n"/>
      <c r="EU72" s="57" t="n"/>
      <c r="EV72" s="57" t="n"/>
      <c r="EW72" s="67">
        <f>SUM(ES72:EV72)</f>
        <v/>
      </c>
      <c r="EX72" s="61" t="n"/>
      <c r="EY72" s="57" t="n"/>
      <c r="EZ72" s="66">
        <f>EP72</f>
        <v/>
      </c>
      <c r="FA72" s="59" t="n"/>
      <c r="FB72" s="57" t="n"/>
      <c r="FC72" s="57" t="n"/>
      <c r="FD72" s="57" t="n"/>
      <c r="FE72" s="57" t="n"/>
      <c r="FF72" s="67">
        <f>SUM(FB72:FE72)</f>
        <v/>
      </c>
      <c r="FG72" s="61" t="n"/>
      <c r="FH72" s="57" t="n"/>
      <c r="FI72" s="66">
        <f>EY72</f>
        <v/>
      </c>
      <c r="FJ72" s="59" t="n"/>
      <c r="FK72" s="57" t="n"/>
      <c r="FL72" s="57" t="n"/>
      <c r="FM72" s="57" t="n"/>
      <c r="FN72" s="57" t="n"/>
      <c r="FO72" s="67">
        <f>SUM(FK72:FN72)</f>
        <v/>
      </c>
      <c r="FP72" s="61" t="n"/>
      <c r="FQ72" s="57" t="n"/>
      <c r="FR72" s="66">
        <f>FH72</f>
        <v/>
      </c>
      <c r="FS72" s="59" t="n"/>
      <c r="FT72" s="57" t="n"/>
      <c r="FU72" s="57" t="n"/>
      <c r="FV72" s="57" t="n"/>
      <c r="FW72" s="57" t="n"/>
      <c r="FX72" s="67">
        <f>SUM(FT72:FW72)</f>
        <v/>
      </c>
      <c r="FY72" s="61" t="n"/>
      <c r="FZ72" s="57" t="n"/>
      <c r="GA72" s="66">
        <f>FQ72</f>
        <v/>
      </c>
      <c r="GB72" s="59" t="n"/>
      <c r="GC72" s="57" t="n"/>
      <c r="GD72" s="57" t="n"/>
      <c r="GE72" s="57" t="n"/>
      <c r="GF72" s="57" t="n"/>
      <c r="GG72" s="67">
        <f>SUM(GC72:GF72)</f>
        <v/>
      </c>
      <c r="GH72" s="61" t="n"/>
      <c r="GI72" s="57" t="n"/>
      <c r="GJ72" s="66">
        <f>FZ72</f>
        <v/>
      </c>
      <c r="GK72" s="59" t="n"/>
      <c r="GL72" s="57" t="n"/>
      <c r="GM72" s="57" t="n"/>
      <c r="GN72" s="57" t="n"/>
      <c r="GO72" s="57" t="n"/>
      <c r="GP72" s="67">
        <f>SUM(GL72:GO72)</f>
        <v/>
      </c>
      <c r="GQ72" s="61" t="n"/>
      <c r="GR72" s="57" t="n"/>
      <c r="GS72" s="66">
        <f>GI72</f>
        <v/>
      </c>
      <c r="GT72" s="59" t="n"/>
      <c r="GU72" s="57" t="n"/>
      <c r="GV72" s="57" t="n"/>
      <c r="GW72" s="57" t="n"/>
      <c r="GX72" s="57" t="n"/>
      <c r="GY72" s="67">
        <f>SUM(GU72:GX72)</f>
        <v/>
      </c>
      <c r="GZ72" s="61" t="n"/>
      <c r="HA72" s="57" t="n"/>
      <c r="HB72" s="66">
        <f>GR72</f>
        <v/>
      </c>
      <c r="HC72" s="59" t="n"/>
      <c r="HD72" s="57" t="n"/>
      <c r="HE72" s="57" t="n"/>
      <c r="HF72" s="57" t="n"/>
      <c r="HG72" s="57" t="n"/>
      <c r="HH72" s="67">
        <f>SUM(HD72:HG72)</f>
        <v/>
      </c>
      <c r="HI72" s="61" t="n"/>
      <c r="HJ72" s="57" t="n"/>
      <c r="HK72" s="66">
        <f>HA72</f>
        <v/>
      </c>
      <c r="HL72" s="59" t="n"/>
      <c r="HM72" s="57" t="n"/>
      <c r="HN72" s="57" t="n"/>
      <c r="HO72" s="57" t="n"/>
      <c r="HP72" s="57" t="n"/>
      <c r="HQ72" s="67">
        <f>SUM(HM72:HP72)</f>
        <v/>
      </c>
      <c r="HR72" s="61" t="n"/>
      <c r="HS72" s="57" t="n"/>
      <c r="HT72" s="66">
        <f>HJ72</f>
        <v/>
      </c>
      <c r="HU72" s="59" t="n"/>
      <c r="HV72" s="57" t="n"/>
      <c r="HW72" s="57" t="n"/>
      <c r="HX72" s="57" t="n"/>
      <c r="HY72" s="57" t="n"/>
      <c r="HZ72" s="67">
        <f>SUM(HV72:HY72)</f>
        <v/>
      </c>
      <c r="IA72" s="61" t="n"/>
      <c r="IB72" s="57" t="n"/>
      <c r="IC72" s="66">
        <f>HS72</f>
        <v/>
      </c>
      <c r="ID72" s="59" t="n"/>
      <c r="IE72" s="57" t="n"/>
      <c r="IF72" s="57" t="n"/>
      <c r="IG72" s="57" t="n"/>
      <c r="IH72" s="57" t="n"/>
      <c r="II72" s="67">
        <f>SUM(IE72:IH72)</f>
        <v/>
      </c>
      <c r="IJ72" s="61" t="n"/>
      <c r="IK72" s="57" t="n"/>
      <c r="IL72" s="66">
        <f>IB72</f>
        <v/>
      </c>
      <c r="IM72" s="59" t="n"/>
      <c r="IN72" s="57" t="n"/>
      <c r="IO72" s="57" t="n"/>
      <c r="IP72" s="57" t="n"/>
      <c r="IQ72" s="57" t="n"/>
      <c r="IR72" s="67">
        <f>SUM(IN72:IQ72)</f>
        <v/>
      </c>
      <c r="IS72" s="61" t="n"/>
      <c r="IT72" s="57" t="n"/>
      <c r="IU72" s="66">
        <f>IK72</f>
        <v/>
      </c>
      <c r="IV72" s="59" t="n"/>
      <c r="IW72" s="57" t="n"/>
      <c r="IX72" s="57" t="n"/>
      <c r="IY72" s="57" t="n"/>
      <c r="IZ72" s="57" t="n"/>
      <c r="JA72" s="67">
        <f>SUM(IW72:IZ72)</f>
        <v/>
      </c>
      <c r="JB72" s="61" t="n"/>
      <c r="JC72" s="57" t="n"/>
      <c r="JD72" s="66">
        <f>IT72</f>
        <v/>
      </c>
      <c r="JE72" s="59" t="n"/>
      <c r="JF72" s="57" t="n"/>
      <c r="JG72" s="57" t="n"/>
      <c r="JH72" s="57" t="n"/>
      <c r="JI72" s="57" t="n"/>
      <c r="JJ72" s="67">
        <f>SUM(JF72:JI72)</f>
        <v/>
      </c>
      <c r="JK72" s="61" t="n"/>
      <c r="JL72" s="57" t="n"/>
      <c r="JM72" s="66">
        <f>JC72</f>
        <v/>
      </c>
      <c r="JN72" s="59" t="n"/>
      <c r="JO72" s="57" t="n"/>
      <c r="JP72" s="57" t="n"/>
      <c r="JQ72" s="57" t="n"/>
      <c r="JR72" s="57" t="n"/>
      <c r="JS72" s="67">
        <f>SUM(JO72:JR72)</f>
        <v/>
      </c>
      <c r="JT72" s="61" t="n"/>
      <c r="JU72" s="62">
        <f>I72+R72+AA72+AJ72+AS72+BB72+BK72+BT72+CC72+CL72+CU72+DD72+DM72+DV72+EE72+EN72+EW72+FF72+FO72+FX72+GG72+GP72+GY72+HH72+HQ72+HZ72+II72+IR72+JA72+JJ72+JS72</f>
        <v/>
      </c>
      <c r="JV72" s="63">
        <f>D72+M72+V72+AE72+AN72+AW72+BF72+BO72+BX72+CG72+CP72+CY72+DH72+DQ72+DZ72+EI72+ER72+FA72+FJ72+FS72+GB72+GK72+GT72+HC72+HL72+HU72+ID72+IM72+IV72+JE72+JN72</f>
        <v/>
      </c>
      <c r="JW72" s="62">
        <f>CHOOSE($Z$3,B72, K72, T72, AC72, AL72, AU72, BD72, BM72, BV72, CE72, CN72, CW72, DF72, DO72, DX72, EG72, EP72, EY72, FH72, FQ72, FZ72, GI72, GR72, HA72, HJ72, HS72, IB72, IK72, IT72, JC72, JL72)</f>
        <v/>
      </c>
      <c r="JX72" s="62">
        <f>IFERROR(JU72/$Z$3,0)</f>
        <v/>
      </c>
      <c r="JY72" s="62">
        <f>Configurações!$C$12</f>
        <v/>
      </c>
      <c r="JZ72" s="64">
        <f>IF(JY72=0,"— Sem meta",IF(JU72&gt;=JY72,"✓ Atingida","Em andamento"))</f>
        <v/>
      </c>
      <c r="KA72" s="65">
        <f>JU72+(8*0.0000001)</f>
        <v/>
      </c>
    </row>
    <row r="73" ht="20" customHeight="1">
      <c r="A73" s="56">
        <f>IF(Configurações!$B$13="","Assessor 7",Configurações!$B$13)</f>
        <v/>
      </c>
      <c r="B73" s="57" t="n"/>
      <c r="C73" s="58">
        <f>Configurações!$D$13</f>
        <v/>
      </c>
      <c r="D73" s="59" t="n"/>
      <c r="E73" s="57" t="n"/>
      <c r="F73" s="57" t="n"/>
      <c r="G73" s="57" t="n"/>
      <c r="H73" s="57" t="n"/>
      <c r="I73" s="60">
        <f>SUM(E73:H73)</f>
        <v/>
      </c>
      <c r="J73" s="61" t="n"/>
      <c r="K73" s="57" t="n"/>
      <c r="L73" s="58">
        <f>B73</f>
        <v/>
      </c>
      <c r="M73" s="59" t="n"/>
      <c r="N73" s="57" t="n"/>
      <c r="O73" s="57" t="n"/>
      <c r="P73" s="57" t="n"/>
      <c r="Q73" s="57" t="n"/>
      <c r="R73" s="60">
        <f>SUM(N73:Q73)</f>
        <v/>
      </c>
      <c r="S73" s="61" t="n"/>
      <c r="T73" s="57" t="n"/>
      <c r="U73" s="58">
        <f>K73</f>
        <v/>
      </c>
      <c r="V73" s="59" t="n"/>
      <c r="W73" s="57" t="n"/>
      <c r="X73" s="57" t="n"/>
      <c r="Y73" s="57" t="n"/>
      <c r="Z73" s="57" t="n"/>
      <c r="AA73" s="60">
        <f>SUM(W73:Z73)</f>
        <v/>
      </c>
      <c r="AB73" s="61" t="n"/>
      <c r="AC73" s="57" t="n"/>
      <c r="AD73" s="58">
        <f>T73</f>
        <v/>
      </c>
      <c r="AE73" s="59" t="n"/>
      <c r="AF73" s="57" t="n"/>
      <c r="AG73" s="57" t="n"/>
      <c r="AH73" s="57" t="n"/>
      <c r="AI73" s="57" t="n"/>
      <c r="AJ73" s="60">
        <f>SUM(AF73:AI73)</f>
        <v/>
      </c>
      <c r="AK73" s="61" t="n"/>
      <c r="AL73" s="57" t="n"/>
      <c r="AM73" s="58">
        <f>AC73</f>
        <v/>
      </c>
      <c r="AN73" s="59" t="n"/>
      <c r="AO73" s="57" t="n"/>
      <c r="AP73" s="57" t="n"/>
      <c r="AQ73" s="57" t="n"/>
      <c r="AR73" s="57" t="n"/>
      <c r="AS73" s="60">
        <f>SUM(AO73:AR73)</f>
        <v/>
      </c>
      <c r="AT73" s="61" t="n"/>
      <c r="AU73" s="57" t="n"/>
      <c r="AV73" s="58">
        <f>AL73</f>
        <v/>
      </c>
      <c r="AW73" s="59" t="n"/>
      <c r="AX73" s="57" t="n"/>
      <c r="AY73" s="57" t="n"/>
      <c r="AZ73" s="57" t="n"/>
      <c r="BA73" s="57" t="n"/>
      <c r="BB73" s="60">
        <f>SUM(AX73:BA73)</f>
        <v/>
      </c>
      <c r="BC73" s="61" t="n"/>
      <c r="BD73" s="57" t="n"/>
      <c r="BE73" s="58">
        <f>AU73</f>
        <v/>
      </c>
      <c r="BF73" s="59" t="n"/>
      <c r="BG73" s="57" t="n"/>
      <c r="BH73" s="57" t="n"/>
      <c r="BI73" s="57" t="n"/>
      <c r="BJ73" s="57" t="n"/>
      <c r="BK73" s="60">
        <f>SUM(BG73:BJ73)</f>
        <v/>
      </c>
      <c r="BL73" s="61" t="n"/>
      <c r="BM73" s="57" t="n"/>
      <c r="BN73" s="58">
        <f>BD73</f>
        <v/>
      </c>
      <c r="BO73" s="59" t="n"/>
      <c r="BP73" s="57" t="n"/>
      <c r="BQ73" s="57" t="n"/>
      <c r="BR73" s="57" t="n"/>
      <c r="BS73" s="57" t="n"/>
      <c r="BT73" s="60">
        <f>SUM(BP73:BS73)</f>
        <v/>
      </c>
      <c r="BU73" s="61" t="n"/>
      <c r="BV73" s="57" t="n"/>
      <c r="BW73" s="58">
        <f>BM73</f>
        <v/>
      </c>
      <c r="BX73" s="59" t="n"/>
      <c r="BY73" s="57" t="n"/>
      <c r="BZ73" s="57" t="n"/>
      <c r="CA73" s="57" t="n"/>
      <c r="CB73" s="57" t="n"/>
      <c r="CC73" s="60">
        <f>SUM(BY73:CB73)</f>
        <v/>
      </c>
      <c r="CD73" s="61" t="n"/>
      <c r="CE73" s="57" t="n"/>
      <c r="CF73" s="58">
        <f>BV73</f>
        <v/>
      </c>
      <c r="CG73" s="59" t="n"/>
      <c r="CH73" s="57" t="n"/>
      <c r="CI73" s="57" t="n"/>
      <c r="CJ73" s="57" t="n"/>
      <c r="CK73" s="57" t="n"/>
      <c r="CL73" s="60">
        <f>SUM(CH73:CK73)</f>
        <v/>
      </c>
      <c r="CM73" s="61" t="n"/>
      <c r="CN73" s="57" t="n"/>
      <c r="CO73" s="58">
        <f>CE73</f>
        <v/>
      </c>
      <c r="CP73" s="59" t="n"/>
      <c r="CQ73" s="57" t="n"/>
      <c r="CR73" s="57" t="n"/>
      <c r="CS73" s="57" t="n"/>
      <c r="CT73" s="57" t="n"/>
      <c r="CU73" s="60">
        <f>SUM(CQ73:CT73)</f>
        <v/>
      </c>
      <c r="CV73" s="61" t="n"/>
      <c r="CW73" s="57" t="n"/>
      <c r="CX73" s="58">
        <f>CN73</f>
        <v/>
      </c>
      <c r="CY73" s="59" t="n"/>
      <c r="CZ73" s="57" t="n"/>
      <c r="DA73" s="57" t="n"/>
      <c r="DB73" s="57" t="n"/>
      <c r="DC73" s="57" t="n"/>
      <c r="DD73" s="60">
        <f>SUM(CZ73:DC73)</f>
        <v/>
      </c>
      <c r="DE73" s="61" t="n"/>
      <c r="DF73" s="57" t="n"/>
      <c r="DG73" s="58">
        <f>CW73</f>
        <v/>
      </c>
      <c r="DH73" s="59" t="n"/>
      <c r="DI73" s="57" t="n"/>
      <c r="DJ73" s="57" t="n"/>
      <c r="DK73" s="57" t="n"/>
      <c r="DL73" s="57" t="n"/>
      <c r="DM73" s="60">
        <f>SUM(DI73:DL73)</f>
        <v/>
      </c>
      <c r="DN73" s="61" t="n"/>
      <c r="DO73" s="57" t="n"/>
      <c r="DP73" s="58">
        <f>DF73</f>
        <v/>
      </c>
      <c r="DQ73" s="59" t="n"/>
      <c r="DR73" s="57" t="n"/>
      <c r="DS73" s="57" t="n"/>
      <c r="DT73" s="57" t="n"/>
      <c r="DU73" s="57" t="n"/>
      <c r="DV73" s="60">
        <f>SUM(DR73:DU73)</f>
        <v/>
      </c>
      <c r="DW73" s="61" t="n"/>
      <c r="DX73" s="57" t="n"/>
      <c r="DY73" s="58">
        <f>DO73</f>
        <v/>
      </c>
      <c r="DZ73" s="59" t="n"/>
      <c r="EA73" s="57" t="n"/>
      <c r="EB73" s="57" t="n"/>
      <c r="EC73" s="57" t="n"/>
      <c r="ED73" s="57" t="n"/>
      <c r="EE73" s="60">
        <f>SUM(EA73:ED73)</f>
        <v/>
      </c>
      <c r="EF73" s="61" t="n"/>
      <c r="EG73" s="57" t="n"/>
      <c r="EH73" s="58">
        <f>DX73</f>
        <v/>
      </c>
      <c r="EI73" s="59" t="n"/>
      <c r="EJ73" s="57" t="n"/>
      <c r="EK73" s="57" t="n"/>
      <c r="EL73" s="57" t="n"/>
      <c r="EM73" s="57" t="n"/>
      <c r="EN73" s="60">
        <f>SUM(EJ73:EM73)</f>
        <v/>
      </c>
      <c r="EO73" s="61" t="n"/>
      <c r="EP73" s="57" t="n"/>
      <c r="EQ73" s="58">
        <f>EG73</f>
        <v/>
      </c>
      <c r="ER73" s="59" t="n"/>
      <c r="ES73" s="57" t="n"/>
      <c r="ET73" s="57" t="n"/>
      <c r="EU73" s="57" t="n"/>
      <c r="EV73" s="57" t="n"/>
      <c r="EW73" s="60">
        <f>SUM(ES73:EV73)</f>
        <v/>
      </c>
      <c r="EX73" s="61" t="n"/>
      <c r="EY73" s="57" t="n"/>
      <c r="EZ73" s="58">
        <f>EP73</f>
        <v/>
      </c>
      <c r="FA73" s="59" t="n"/>
      <c r="FB73" s="57" t="n"/>
      <c r="FC73" s="57" t="n"/>
      <c r="FD73" s="57" t="n"/>
      <c r="FE73" s="57" t="n"/>
      <c r="FF73" s="60">
        <f>SUM(FB73:FE73)</f>
        <v/>
      </c>
      <c r="FG73" s="61" t="n"/>
      <c r="FH73" s="57" t="n"/>
      <c r="FI73" s="58">
        <f>EY73</f>
        <v/>
      </c>
      <c r="FJ73" s="59" t="n"/>
      <c r="FK73" s="57" t="n"/>
      <c r="FL73" s="57" t="n"/>
      <c r="FM73" s="57" t="n"/>
      <c r="FN73" s="57" t="n"/>
      <c r="FO73" s="60">
        <f>SUM(FK73:FN73)</f>
        <v/>
      </c>
      <c r="FP73" s="61" t="n"/>
      <c r="FQ73" s="57" t="n"/>
      <c r="FR73" s="58">
        <f>FH73</f>
        <v/>
      </c>
      <c r="FS73" s="59" t="n"/>
      <c r="FT73" s="57" t="n"/>
      <c r="FU73" s="57" t="n"/>
      <c r="FV73" s="57" t="n"/>
      <c r="FW73" s="57" t="n"/>
      <c r="FX73" s="60">
        <f>SUM(FT73:FW73)</f>
        <v/>
      </c>
      <c r="FY73" s="61" t="n"/>
      <c r="FZ73" s="57" t="n"/>
      <c r="GA73" s="58">
        <f>FQ73</f>
        <v/>
      </c>
      <c r="GB73" s="59" t="n"/>
      <c r="GC73" s="57" t="n"/>
      <c r="GD73" s="57" t="n"/>
      <c r="GE73" s="57" t="n"/>
      <c r="GF73" s="57" t="n"/>
      <c r="GG73" s="60">
        <f>SUM(GC73:GF73)</f>
        <v/>
      </c>
      <c r="GH73" s="61" t="n"/>
      <c r="GI73" s="57" t="n"/>
      <c r="GJ73" s="58">
        <f>FZ73</f>
        <v/>
      </c>
      <c r="GK73" s="59" t="n"/>
      <c r="GL73" s="57" t="n"/>
      <c r="GM73" s="57" t="n"/>
      <c r="GN73" s="57" t="n"/>
      <c r="GO73" s="57" t="n"/>
      <c r="GP73" s="60">
        <f>SUM(GL73:GO73)</f>
        <v/>
      </c>
      <c r="GQ73" s="61" t="n"/>
      <c r="GR73" s="57" t="n"/>
      <c r="GS73" s="58">
        <f>GI73</f>
        <v/>
      </c>
      <c r="GT73" s="59" t="n"/>
      <c r="GU73" s="57" t="n"/>
      <c r="GV73" s="57" t="n"/>
      <c r="GW73" s="57" t="n"/>
      <c r="GX73" s="57" t="n"/>
      <c r="GY73" s="60">
        <f>SUM(GU73:GX73)</f>
        <v/>
      </c>
      <c r="GZ73" s="61" t="n"/>
      <c r="HA73" s="57" t="n"/>
      <c r="HB73" s="58">
        <f>GR73</f>
        <v/>
      </c>
      <c r="HC73" s="59" t="n"/>
      <c r="HD73" s="57" t="n"/>
      <c r="HE73" s="57" t="n"/>
      <c r="HF73" s="57" t="n"/>
      <c r="HG73" s="57" t="n"/>
      <c r="HH73" s="60">
        <f>SUM(HD73:HG73)</f>
        <v/>
      </c>
      <c r="HI73" s="61" t="n"/>
      <c r="HJ73" s="57" t="n"/>
      <c r="HK73" s="58">
        <f>HA73</f>
        <v/>
      </c>
      <c r="HL73" s="59" t="n"/>
      <c r="HM73" s="57" t="n"/>
      <c r="HN73" s="57" t="n"/>
      <c r="HO73" s="57" t="n"/>
      <c r="HP73" s="57" t="n"/>
      <c r="HQ73" s="60">
        <f>SUM(HM73:HP73)</f>
        <v/>
      </c>
      <c r="HR73" s="61" t="n"/>
      <c r="HS73" s="57" t="n"/>
      <c r="HT73" s="58">
        <f>HJ73</f>
        <v/>
      </c>
      <c r="HU73" s="59" t="n"/>
      <c r="HV73" s="57" t="n"/>
      <c r="HW73" s="57" t="n"/>
      <c r="HX73" s="57" t="n"/>
      <c r="HY73" s="57" t="n"/>
      <c r="HZ73" s="60">
        <f>SUM(HV73:HY73)</f>
        <v/>
      </c>
      <c r="IA73" s="61" t="n"/>
      <c r="IB73" s="57" t="n"/>
      <c r="IC73" s="58">
        <f>HS73</f>
        <v/>
      </c>
      <c r="ID73" s="59" t="n"/>
      <c r="IE73" s="57" t="n"/>
      <c r="IF73" s="57" t="n"/>
      <c r="IG73" s="57" t="n"/>
      <c r="IH73" s="57" t="n"/>
      <c r="II73" s="60">
        <f>SUM(IE73:IH73)</f>
        <v/>
      </c>
      <c r="IJ73" s="61" t="n"/>
      <c r="IK73" s="57" t="n"/>
      <c r="IL73" s="58">
        <f>IB73</f>
        <v/>
      </c>
      <c r="IM73" s="59" t="n"/>
      <c r="IN73" s="57" t="n"/>
      <c r="IO73" s="57" t="n"/>
      <c r="IP73" s="57" t="n"/>
      <c r="IQ73" s="57" t="n"/>
      <c r="IR73" s="60">
        <f>SUM(IN73:IQ73)</f>
        <v/>
      </c>
      <c r="IS73" s="61" t="n"/>
      <c r="IT73" s="57" t="n"/>
      <c r="IU73" s="58">
        <f>IK73</f>
        <v/>
      </c>
      <c r="IV73" s="59" t="n"/>
      <c r="IW73" s="57" t="n"/>
      <c r="IX73" s="57" t="n"/>
      <c r="IY73" s="57" t="n"/>
      <c r="IZ73" s="57" t="n"/>
      <c r="JA73" s="60">
        <f>SUM(IW73:IZ73)</f>
        <v/>
      </c>
      <c r="JB73" s="61" t="n"/>
      <c r="JC73" s="57" t="n"/>
      <c r="JD73" s="58">
        <f>IT73</f>
        <v/>
      </c>
      <c r="JE73" s="59" t="n"/>
      <c r="JF73" s="57" t="n"/>
      <c r="JG73" s="57" t="n"/>
      <c r="JH73" s="57" t="n"/>
      <c r="JI73" s="57" t="n"/>
      <c r="JJ73" s="60">
        <f>SUM(JF73:JI73)</f>
        <v/>
      </c>
      <c r="JK73" s="61" t="n"/>
      <c r="JL73" s="57" t="n"/>
      <c r="JM73" s="58">
        <f>JC73</f>
        <v/>
      </c>
      <c r="JN73" s="59" t="n"/>
      <c r="JO73" s="57" t="n"/>
      <c r="JP73" s="57" t="n"/>
      <c r="JQ73" s="57" t="n"/>
      <c r="JR73" s="57" t="n"/>
      <c r="JS73" s="60">
        <f>SUM(JO73:JR73)</f>
        <v/>
      </c>
      <c r="JT73" s="61" t="n"/>
      <c r="JU73" s="62">
        <f>I73+R73+AA73+AJ73+AS73+BB73+BK73+BT73+CC73+CL73+CU73+DD73+DM73+DV73+EE73+EN73+EW73+FF73+FO73+FX73+GG73+GP73+GY73+HH73+HQ73+HZ73+II73+IR73+JA73+JJ73+JS73</f>
        <v/>
      </c>
      <c r="JV73" s="63">
        <f>D73+M73+V73+AE73+AN73+AW73+BF73+BO73+BX73+CG73+CP73+CY73+DH73+DQ73+DZ73+EI73+ER73+FA73+FJ73+FS73+GB73+GK73+GT73+HC73+HL73+HU73+ID73+IM73+IV73+JE73+JN73</f>
        <v/>
      </c>
      <c r="JW73" s="62">
        <f>CHOOSE($Z$3,B73, K73, T73, AC73, AL73, AU73, BD73, BM73, BV73, CE73, CN73, CW73, DF73, DO73, DX73, EG73, EP73, EY73, FH73, FQ73, FZ73, GI73, GR73, HA73, HJ73, HS73, IB73, IK73, IT73, JC73, JL73)</f>
        <v/>
      </c>
      <c r="JX73" s="62">
        <f>IFERROR(JU73/$Z$3,0)</f>
        <v/>
      </c>
      <c r="JY73" s="62">
        <f>Configurações!$C$13</f>
        <v/>
      </c>
      <c r="JZ73" s="64">
        <f>IF(JY73=0,"— Sem meta",IF(JU73&gt;=JY73,"✓ Atingida","Em andamento"))</f>
        <v/>
      </c>
      <c r="KA73" s="65">
        <f>JU73+(7*0.0000001)</f>
        <v/>
      </c>
    </row>
    <row r="74" ht="20" customHeight="1">
      <c r="A74" s="56">
        <f>IF(Configurações!$B$14="","Assessor 8",Configurações!$B$14)</f>
        <v/>
      </c>
      <c r="B74" s="57" t="n"/>
      <c r="C74" s="66">
        <f>Configurações!$D$14</f>
        <v/>
      </c>
      <c r="D74" s="59" t="n"/>
      <c r="E74" s="57" t="n"/>
      <c r="F74" s="57" t="n"/>
      <c r="G74" s="57" t="n"/>
      <c r="H74" s="57" t="n"/>
      <c r="I74" s="67">
        <f>SUM(E74:H74)</f>
        <v/>
      </c>
      <c r="J74" s="61" t="n"/>
      <c r="K74" s="57" t="n"/>
      <c r="L74" s="66">
        <f>B74</f>
        <v/>
      </c>
      <c r="M74" s="59" t="n"/>
      <c r="N74" s="57" t="n"/>
      <c r="O74" s="57" t="n"/>
      <c r="P74" s="57" t="n"/>
      <c r="Q74" s="57" t="n"/>
      <c r="R74" s="67">
        <f>SUM(N74:Q74)</f>
        <v/>
      </c>
      <c r="S74" s="61" t="n"/>
      <c r="T74" s="57" t="n"/>
      <c r="U74" s="66">
        <f>K74</f>
        <v/>
      </c>
      <c r="V74" s="59" t="n"/>
      <c r="W74" s="57" t="n"/>
      <c r="X74" s="57" t="n"/>
      <c r="Y74" s="57" t="n"/>
      <c r="Z74" s="57" t="n"/>
      <c r="AA74" s="67">
        <f>SUM(W74:Z74)</f>
        <v/>
      </c>
      <c r="AB74" s="61" t="n"/>
      <c r="AC74" s="57" t="n"/>
      <c r="AD74" s="66">
        <f>T74</f>
        <v/>
      </c>
      <c r="AE74" s="59" t="n"/>
      <c r="AF74" s="57" t="n"/>
      <c r="AG74" s="57" t="n"/>
      <c r="AH74" s="57" t="n"/>
      <c r="AI74" s="57" t="n"/>
      <c r="AJ74" s="67">
        <f>SUM(AF74:AI74)</f>
        <v/>
      </c>
      <c r="AK74" s="61" t="n"/>
      <c r="AL74" s="57" t="n"/>
      <c r="AM74" s="66">
        <f>AC74</f>
        <v/>
      </c>
      <c r="AN74" s="59" t="n"/>
      <c r="AO74" s="57" t="n"/>
      <c r="AP74" s="57" t="n"/>
      <c r="AQ74" s="57" t="n"/>
      <c r="AR74" s="57" t="n"/>
      <c r="AS74" s="67">
        <f>SUM(AO74:AR74)</f>
        <v/>
      </c>
      <c r="AT74" s="61" t="n"/>
      <c r="AU74" s="57" t="n"/>
      <c r="AV74" s="66">
        <f>AL74</f>
        <v/>
      </c>
      <c r="AW74" s="59" t="n"/>
      <c r="AX74" s="57" t="n"/>
      <c r="AY74" s="57" t="n"/>
      <c r="AZ74" s="57" t="n"/>
      <c r="BA74" s="57" t="n"/>
      <c r="BB74" s="67">
        <f>SUM(AX74:BA74)</f>
        <v/>
      </c>
      <c r="BC74" s="61" t="n"/>
      <c r="BD74" s="57" t="n"/>
      <c r="BE74" s="66">
        <f>AU74</f>
        <v/>
      </c>
      <c r="BF74" s="59" t="n"/>
      <c r="BG74" s="57" t="n"/>
      <c r="BH74" s="57" t="n"/>
      <c r="BI74" s="57" t="n"/>
      <c r="BJ74" s="57" t="n"/>
      <c r="BK74" s="67">
        <f>SUM(BG74:BJ74)</f>
        <v/>
      </c>
      <c r="BL74" s="61" t="n"/>
      <c r="BM74" s="57" t="n"/>
      <c r="BN74" s="66">
        <f>BD74</f>
        <v/>
      </c>
      <c r="BO74" s="59" t="n"/>
      <c r="BP74" s="57" t="n"/>
      <c r="BQ74" s="57" t="n"/>
      <c r="BR74" s="57" t="n"/>
      <c r="BS74" s="57" t="n"/>
      <c r="BT74" s="67">
        <f>SUM(BP74:BS74)</f>
        <v/>
      </c>
      <c r="BU74" s="61" t="n"/>
      <c r="BV74" s="57" t="n"/>
      <c r="BW74" s="66">
        <f>BM74</f>
        <v/>
      </c>
      <c r="BX74" s="59" t="n"/>
      <c r="BY74" s="57" t="n"/>
      <c r="BZ74" s="57" t="n"/>
      <c r="CA74" s="57" t="n"/>
      <c r="CB74" s="57" t="n"/>
      <c r="CC74" s="67">
        <f>SUM(BY74:CB74)</f>
        <v/>
      </c>
      <c r="CD74" s="61" t="n"/>
      <c r="CE74" s="57" t="n"/>
      <c r="CF74" s="66">
        <f>BV74</f>
        <v/>
      </c>
      <c r="CG74" s="59" t="n"/>
      <c r="CH74" s="57" t="n"/>
      <c r="CI74" s="57" t="n"/>
      <c r="CJ74" s="57" t="n"/>
      <c r="CK74" s="57" t="n"/>
      <c r="CL74" s="67">
        <f>SUM(CH74:CK74)</f>
        <v/>
      </c>
      <c r="CM74" s="61" t="n"/>
      <c r="CN74" s="57" t="n"/>
      <c r="CO74" s="66">
        <f>CE74</f>
        <v/>
      </c>
      <c r="CP74" s="59" t="n"/>
      <c r="CQ74" s="57" t="n"/>
      <c r="CR74" s="57" t="n"/>
      <c r="CS74" s="57" t="n"/>
      <c r="CT74" s="57" t="n"/>
      <c r="CU74" s="67">
        <f>SUM(CQ74:CT74)</f>
        <v/>
      </c>
      <c r="CV74" s="61" t="n"/>
      <c r="CW74" s="57" t="n"/>
      <c r="CX74" s="66">
        <f>CN74</f>
        <v/>
      </c>
      <c r="CY74" s="59" t="n"/>
      <c r="CZ74" s="57" t="n"/>
      <c r="DA74" s="57" t="n"/>
      <c r="DB74" s="57" t="n"/>
      <c r="DC74" s="57" t="n"/>
      <c r="DD74" s="67">
        <f>SUM(CZ74:DC74)</f>
        <v/>
      </c>
      <c r="DE74" s="61" t="n"/>
      <c r="DF74" s="57" t="n"/>
      <c r="DG74" s="66">
        <f>CW74</f>
        <v/>
      </c>
      <c r="DH74" s="59" t="n"/>
      <c r="DI74" s="57" t="n"/>
      <c r="DJ74" s="57" t="n"/>
      <c r="DK74" s="57" t="n"/>
      <c r="DL74" s="57" t="n"/>
      <c r="DM74" s="67">
        <f>SUM(DI74:DL74)</f>
        <v/>
      </c>
      <c r="DN74" s="61" t="n"/>
      <c r="DO74" s="57" t="n"/>
      <c r="DP74" s="66">
        <f>DF74</f>
        <v/>
      </c>
      <c r="DQ74" s="59" t="n"/>
      <c r="DR74" s="57" t="n"/>
      <c r="DS74" s="57" t="n"/>
      <c r="DT74" s="57" t="n"/>
      <c r="DU74" s="57" t="n"/>
      <c r="DV74" s="67">
        <f>SUM(DR74:DU74)</f>
        <v/>
      </c>
      <c r="DW74" s="61" t="n"/>
      <c r="DX74" s="57" t="n"/>
      <c r="DY74" s="66">
        <f>DO74</f>
        <v/>
      </c>
      <c r="DZ74" s="59" t="n"/>
      <c r="EA74" s="57" t="n"/>
      <c r="EB74" s="57" t="n"/>
      <c r="EC74" s="57" t="n"/>
      <c r="ED74" s="57" t="n"/>
      <c r="EE74" s="67">
        <f>SUM(EA74:ED74)</f>
        <v/>
      </c>
      <c r="EF74" s="61" t="n"/>
      <c r="EG74" s="57" t="n"/>
      <c r="EH74" s="66">
        <f>DX74</f>
        <v/>
      </c>
      <c r="EI74" s="59" t="n"/>
      <c r="EJ74" s="57" t="n"/>
      <c r="EK74" s="57" t="n"/>
      <c r="EL74" s="57" t="n"/>
      <c r="EM74" s="57" t="n"/>
      <c r="EN74" s="67">
        <f>SUM(EJ74:EM74)</f>
        <v/>
      </c>
      <c r="EO74" s="61" t="n"/>
      <c r="EP74" s="57" t="n"/>
      <c r="EQ74" s="66">
        <f>EG74</f>
        <v/>
      </c>
      <c r="ER74" s="59" t="n"/>
      <c r="ES74" s="57" t="n"/>
      <c r="ET74" s="57" t="n"/>
      <c r="EU74" s="57" t="n"/>
      <c r="EV74" s="57" t="n"/>
      <c r="EW74" s="67">
        <f>SUM(ES74:EV74)</f>
        <v/>
      </c>
      <c r="EX74" s="61" t="n"/>
      <c r="EY74" s="57" t="n"/>
      <c r="EZ74" s="66">
        <f>EP74</f>
        <v/>
      </c>
      <c r="FA74" s="59" t="n"/>
      <c r="FB74" s="57" t="n"/>
      <c r="FC74" s="57" t="n"/>
      <c r="FD74" s="57" t="n"/>
      <c r="FE74" s="57" t="n"/>
      <c r="FF74" s="67">
        <f>SUM(FB74:FE74)</f>
        <v/>
      </c>
      <c r="FG74" s="61" t="n"/>
      <c r="FH74" s="57" t="n"/>
      <c r="FI74" s="66">
        <f>EY74</f>
        <v/>
      </c>
      <c r="FJ74" s="59" t="n"/>
      <c r="FK74" s="57" t="n"/>
      <c r="FL74" s="57" t="n"/>
      <c r="FM74" s="57" t="n"/>
      <c r="FN74" s="57" t="n"/>
      <c r="FO74" s="67">
        <f>SUM(FK74:FN74)</f>
        <v/>
      </c>
      <c r="FP74" s="61" t="n"/>
      <c r="FQ74" s="57" t="n"/>
      <c r="FR74" s="66">
        <f>FH74</f>
        <v/>
      </c>
      <c r="FS74" s="59" t="n"/>
      <c r="FT74" s="57" t="n"/>
      <c r="FU74" s="57" t="n"/>
      <c r="FV74" s="57" t="n"/>
      <c r="FW74" s="57" t="n"/>
      <c r="FX74" s="67">
        <f>SUM(FT74:FW74)</f>
        <v/>
      </c>
      <c r="FY74" s="61" t="n"/>
      <c r="FZ74" s="57" t="n"/>
      <c r="GA74" s="66">
        <f>FQ74</f>
        <v/>
      </c>
      <c r="GB74" s="59" t="n"/>
      <c r="GC74" s="57" t="n"/>
      <c r="GD74" s="57" t="n"/>
      <c r="GE74" s="57" t="n"/>
      <c r="GF74" s="57" t="n"/>
      <c r="GG74" s="67">
        <f>SUM(GC74:GF74)</f>
        <v/>
      </c>
      <c r="GH74" s="61" t="n"/>
      <c r="GI74" s="57" t="n"/>
      <c r="GJ74" s="66">
        <f>FZ74</f>
        <v/>
      </c>
      <c r="GK74" s="59" t="n"/>
      <c r="GL74" s="57" t="n"/>
      <c r="GM74" s="57" t="n"/>
      <c r="GN74" s="57" t="n"/>
      <c r="GO74" s="57" t="n"/>
      <c r="GP74" s="67">
        <f>SUM(GL74:GO74)</f>
        <v/>
      </c>
      <c r="GQ74" s="61" t="n"/>
      <c r="GR74" s="57" t="n"/>
      <c r="GS74" s="66">
        <f>GI74</f>
        <v/>
      </c>
      <c r="GT74" s="59" t="n"/>
      <c r="GU74" s="57" t="n"/>
      <c r="GV74" s="57" t="n"/>
      <c r="GW74" s="57" t="n"/>
      <c r="GX74" s="57" t="n"/>
      <c r="GY74" s="67">
        <f>SUM(GU74:GX74)</f>
        <v/>
      </c>
      <c r="GZ74" s="61" t="n"/>
      <c r="HA74" s="57" t="n"/>
      <c r="HB74" s="66">
        <f>GR74</f>
        <v/>
      </c>
      <c r="HC74" s="59" t="n"/>
      <c r="HD74" s="57" t="n"/>
      <c r="HE74" s="57" t="n"/>
      <c r="HF74" s="57" t="n"/>
      <c r="HG74" s="57" t="n"/>
      <c r="HH74" s="67">
        <f>SUM(HD74:HG74)</f>
        <v/>
      </c>
      <c r="HI74" s="61" t="n"/>
      <c r="HJ74" s="57" t="n"/>
      <c r="HK74" s="66">
        <f>HA74</f>
        <v/>
      </c>
      <c r="HL74" s="59" t="n"/>
      <c r="HM74" s="57" t="n"/>
      <c r="HN74" s="57" t="n"/>
      <c r="HO74" s="57" t="n"/>
      <c r="HP74" s="57" t="n"/>
      <c r="HQ74" s="67">
        <f>SUM(HM74:HP74)</f>
        <v/>
      </c>
      <c r="HR74" s="61" t="n"/>
      <c r="HS74" s="57" t="n"/>
      <c r="HT74" s="66">
        <f>HJ74</f>
        <v/>
      </c>
      <c r="HU74" s="59" t="n"/>
      <c r="HV74" s="57" t="n"/>
      <c r="HW74" s="57" t="n"/>
      <c r="HX74" s="57" t="n"/>
      <c r="HY74" s="57" t="n"/>
      <c r="HZ74" s="67">
        <f>SUM(HV74:HY74)</f>
        <v/>
      </c>
      <c r="IA74" s="61" t="n"/>
      <c r="IB74" s="57" t="n"/>
      <c r="IC74" s="66">
        <f>HS74</f>
        <v/>
      </c>
      <c r="ID74" s="59" t="n"/>
      <c r="IE74" s="57" t="n"/>
      <c r="IF74" s="57" t="n"/>
      <c r="IG74" s="57" t="n"/>
      <c r="IH74" s="57" t="n"/>
      <c r="II74" s="67">
        <f>SUM(IE74:IH74)</f>
        <v/>
      </c>
      <c r="IJ74" s="61" t="n"/>
      <c r="IK74" s="57" t="n"/>
      <c r="IL74" s="66">
        <f>IB74</f>
        <v/>
      </c>
      <c r="IM74" s="59" t="n"/>
      <c r="IN74" s="57" t="n"/>
      <c r="IO74" s="57" t="n"/>
      <c r="IP74" s="57" t="n"/>
      <c r="IQ74" s="57" t="n"/>
      <c r="IR74" s="67">
        <f>SUM(IN74:IQ74)</f>
        <v/>
      </c>
      <c r="IS74" s="61" t="n"/>
      <c r="IT74" s="57" t="n"/>
      <c r="IU74" s="66">
        <f>IK74</f>
        <v/>
      </c>
      <c r="IV74" s="59" t="n"/>
      <c r="IW74" s="57" t="n"/>
      <c r="IX74" s="57" t="n"/>
      <c r="IY74" s="57" t="n"/>
      <c r="IZ74" s="57" t="n"/>
      <c r="JA74" s="67">
        <f>SUM(IW74:IZ74)</f>
        <v/>
      </c>
      <c r="JB74" s="61" t="n"/>
      <c r="JC74" s="57" t="n"/>
      <c r="JD74" s="66">
        <f>IT74</f>
        <v/>
      </c>
      <c r="JE74" s="59" t="n"/>
      <c r="JF74" s="57" t="n"/>
      <c r="JG74" s="57" t="n"/>
      <c r="JH74" s="57" t="n"/>
      <c r="JI74" s="57" t="n"/>
      <c r="JJ74" s="67">
        <f>SUM(JF74:JI74)</f>
        <v/>
      </c>
      <c r="JK74" s="61" t="n"/>
      <c r="JL74" s="57" t="n"/>
      <c r="JM74" s="66">
        <f>JC74</f>
        <v/>
      </c>
      <c r="JN74" s="59" t="n"/>
      <c r="JO74" s="57" t="n"/>
      <c r="JP74" s="57" t="n"/>
      <c r="JQ74" s="57" t="n"/>
      <c r="JR74" s="57" t="n"/>
      <c r="JS74" s="67">
        <f>SUM(JO74:JR74)</f>
        <v/>
      </c>
      <c r="JT74" s="61" t="n"/>
      <c r="JU74" s="62">
        <f>I74+R74+AA74+AJ74+AS74+BB74+BK74+BT74+CC74+CL74+CU74+DD74+DM74+DV74+EE74+EN74+EW74+FF74+FO74+FX74+GG74+GP74+GY74+HH74+HQ74+HZ74+II74+IR74+JA74+JJ74+JS74</f>
        <v/>
      </c>
      <c r="JV74" s="63">
        <f>D74+M74+V74+AE74+AN74+AW74+BF74+BO74+BX74+CG74+CP74+CY74+DH74+DQ74+DZ74+EI74+ER74+FA74+FJ74+FS74+GB74+GK74+GT74+HC74+HL74+HU74+ID74+IM74+IV74+JE74+JN74</f>
        <v/>
      </c>
      <c r="JW74" s="62">
        <f>CHOOSE($Z$3,B74, K74, T74, AC74, AL74, AU74, BD74, BM74, BV74, CE74, CN74, CW74, DF74, DO74, DX74, EG74, EP74, EY74, FH74, FQ74, FZ74, GI74, GR74, HA74, HJ74, HS74, IB74, IK74, IT74, JC74, JL74)</f>
        <v/>
      </c>
      <c r="JX74" s="62">
        <f>IFERROR(JU74/$Z$3,0)</f>
        <v/>
      </c>
      <c r="JY74" s="62">
        <f>Configurações!$C$14</f>
        <v/>
      </c>
      <c r="JZ74" s="64">
        <f>IF(JY74=0,"— Sem meta",IF(JU74&gt;=JY74,"✓ Atingida","Em andamento"))</f>
        <v/>
      </c>
      <c r="KA74" s="65">
        <f>JU74+(6*0.0000001)</f>
        <v/>
      </c>
    </row>
    <row r="75" ht="20" customHeight="1">
      <c r="A75" s="56">
        <f>IF(Configurações!$B$15="","Assessor 9",Configurações!$B$15)</f>
        <v/>
      </c>
      <c r="B75" s="57" t="n"/>
      <c r="C75" s="58">
        <f>Configurações!$D$15</f>
        <v/>
      </c>
      <c r="D75" s="59" t="n"/>
      <c r="E75" s="57" t="n"/>
      <c r="F75" s="57" t="n"/>
      <c r="G75" s="57" t="n"/>
      <c r="H75" s="57" t="n"/>
      <c r="I75" s="60">
        <f>SUM(E75:H75)</f>
        <v/>
      </c>
      <c r="J75" s="61" t="n"/>
      <c r="K75" s="57" t="n"/>
      <c r="L75" s="58">
        <f>B75</f>
        <v/>
      </c>
      <c r="M75" s="59" t="n"/>
      <c r="N75" s="57" t="n"/>
      <c r="O75" s="57" t="n"/>
      <c r="P75" s="57" t="n"/>
      <c r="Q75" s="57" t="n"/>
      <c r="R75" s="60">
        <f>SUM(N75:Q75)</f>
        <v/>
      </c>
      <c r="S75" s="61" t="n"/>
      <c r="T75" s="57" t="n"/>
      <c r="U75" s="58">
        <f>K75</f>
        <v/>
      </c>
      <c r="V75" s="59" t="n"/>
      <c r="W75" s="57" t="n"/>
      <c r="X75" s="57" t="n"/>
      <c r="Y75" s="57" t="n"/>
      <c r="Z75" s="57" t="n"/>
      <c r="AA75" s="60">
        <f>SUM(W75:Z75)</f>
        <v/>
      </c>
      <c r="AB75" s="61" t="n"/>
      <c r="AC75" s="57" t="n"/>
      <c r="AD75" s="58">
        <f>T75</f>
        <v/>
      </c>
      <c r="AE75" s="59" t="n"/>
      <c r="AF75" s="57" t="n"/>
      <c r="AG75" s="57" t="n"/>
      <c r="AH75" s="57" t="n"/>
      <c r="AI75" s="57" t="n"/>
      <c r="AJ75" s="60">
        <f>SUM(AF75:AI75)</f>
        <v/>
      </c>
      <c r="AK75" s="61" t="n"/>
      <c r="AL75" s="57" t="n"/>
      <c r="AM75" s="58">
        <f>AC75</f>
        <v/>
      </c>
      <c r="AN75" s="59" t="n"/>
      <c r="AO75" s="57" t="n"/>
      <c r="AP75" s="57" t="n"/>
      <c r="AQ75" s="57" t="n"/>
      <c r="AR75" s="57" t="n"/>
      <c r="AS75" s="60">
        <f>SUM(AO75:AR75)</f>
        <v/>
      </c>
      <c r="AT75" s="61" t="n"/>
      <c r="AU75" s="57" t="n"/>
      <c r="AV75" s="58">
        <f>AL75</f>
        <v/>
      </c>
      <c r="AW75" s="59" t="n"/>
      <c r="AX75" s="57" t="n"/>
      <c r="AY75" s="57" t="n"/>
      <c r="AZ75" s="57" t="n"/>
      <c r="BA75" s="57" t="n"/>
      <c r="BB75" s="60">
        <f>SUM(AX75:BA75)</f>
        <v/>
      </c>
      <c r="BC75" s="61" t="n"/>
      <c r="BD75" s="57" t="n"/>
      <c r="BE75" s="58">
        <f>AU75</f>
        <v/>
      </c>
      <c r="BF75" s="59" t="n"/>
      <c r="BG75" s="57" t="n"/>
      <c r="BH75" s="57" t="n"/>
      <c r="BI75" s="57" t="n"/>
      <c r="BJ75" s="57" t="n"/>
      <c r="BK75" s="60">
        <f>SUM(BG75:BJ75)</f>
        <v/>
      </c>
      <c r="BL75" s="61" t="n"/>
      <c r="BM75" s="57" t="n"/>
      <c r="BN75" s="58">
        <f>BD75</f>
        <v/>
      </c>
      <c r="BO75" s="59" t="n"/>
      <c r="BP75" s="57" t="n"/>
      <c r="BQ75" s="57" t="n"/>
      <c r="BR75" s="57" t="n"/>
      <c r="BS75" s="57" t="n"/>
      <c r="BT75" s="60">
        <f>SUM(BP75:BS75)</f>
        <v/>
      </c>
      <c r="BU75" s="61" t="n"/>
      <c r="BV75" s="57" t="n"/>
      <c r="BW75" s="58">
        <f>BM75</f>
        <v/>
      </c>
      <c r="BX75" s="59" t="n"/>
      <c r="BY75" s="57" t="n"/>
      <c r="BZ75" s="57" t="n"/>
      <c r="CA75" s="57" t="n"/>
      <c r="CB75" s="57" t="n"/>
      <c r="CC75" s="60">
        <f>SUM(BY75:CB75)</f>
        <v/>
      </c>
      <c r="CD75" s="61" t="n"/>
      <c r="CE75" s="57" t="n"/>
      <c r="CF75" s="58">
        <f>BV75</f>
        <v/>
      </c>
      <c r="CG75" s="59" t="n"/>
      <c r="CH75" s="57" t="n"/>
      <c r="CI75" s="57" t="n"/>
      <c r="CJ75" s="57" t="n"/>
      <c r="CK75" s="57" t="n"/>
      <c r="CL75" s="60">
        <f>SUM(CH75:CK75)</f>
        <v/>
      </c>
      <c r="CM75" s="61" t="n"/>
      <c r="CN75" s="57" t="n"/>
      <c r="CO75" s="58">
        <f>CE75</f>
        <v/>
      </c>
      <c r="CP75" s="59" t="n"/>
      <c r="CQ75" s="57" t="n"/>
      <c r="CR75" s="57" t="n"/>
      <c r="CS75" s="57" t="n"/>
      <c r="CT75" s="57" t="n"/>
      <c r="CU75" s="60">
        <f>SUM(CQ75:CT75)</f>
        <v/>
      </c>
      <c r="CV75" s="61" t="n"/>
      <c r="CW75" s="57" t="n"/>
      <c r="CX75" s="58">
        <f>CN75</f>
        <v/>
      </c>
      <c r="CY75" s="59" t="n"/>
      <c r="CZ75" s="57" t="n"/>
      <c r="DA75" s="57" t="n"/>
      <c r="DB75" s="57" t="n"/>
      <c r="DC75" s="57" t="n"/>
      <c r="DD75" s="60">
        <f>SUM(CZ75:DC75)</f>
        <v/>
      </c>
      <c r="DE75" s="61" t="n"/>
      <c r="DF75" s="57" t="n"/>
      <c r="DG75" s="58">
        <f>CW75</f>
        <v/>
      </c>
      <c r="DH75" s="59" t="n"/>
      <c r="DI75" s="57" t="n"/>
      <c r="DJ75" s="57" t="n"/>
      <c r="DK75" s="57" t="n"/>
      <c r="DL75" s="57" t="n"/>
      <c r="DM75" s="60">
        <f>SUM(DI75:DL75)</f>
        <v/>
      </c>
      <c r="DN75" s="61" t="n"/>
      <c r="DO75" s="57" t="n"/>
      <c r="DP75" s="58">
        <f>DF75</f>
        <v/>
      </c>
      <c r="DQ75" s="59" t="n"/>
      <c r="DR75" s="57" t="n"/>
      <c r="DS75" s="57" t="n"/>
      <c r="DT75" s="57" t="n"/>
      <c r="DU75" s="57" t="n"/>
      <c r="DV75" s="60">
        <f>SUM(DR75:DU75)</f>
        <v/>
      </c>
      <c r="DW75" s="61" t="n"/>
      <c r="DX75" s="57" t="n"/>
      <c r="DY75" s="58">
        <f>DO75</f>
        <v/>
      </c>
      <c r="DZ75" s="59" t="n"/>
      <c r="EA75" s="57" t="n"/>
      <c r="EB75" s="57" t="n"/>
      <c r="EC75" s="57" t="n"/>
      <c r="ED75" s="57" t="n"/>
      <c r="EE75" s="60">
        <f>SUM(EA75:ED75)</f>
        <v/>
      </c>
      <c r="EF75" s="61" t="n"/>
      <c r="EG75" s="57" t="n"/>
      <c r="EH75" s="58">
        <f>DX75</f>
        <v/>
      </c>
      <c r="EI75" s="59" t="n"/>
      <c r="EJ75" s="57" t="n"/>
      <c r="EK75" s="57" t="n"/>
      <c r="EL75" s="57" t="n"/>
      <c r="EM75" s="57" t="n"/>
      <c r="EN75" s="60">
        <f>SUM(EJ75:EM75)</f>
        <v/>
      </c>
      <c r="EO75" s="61" t="n"/>
      <c r="EP75" s="57" t="n"/>
      <c r="EQ75" s="58">
        <f>EG75</f>
        <v/>
      </c>
      <c r="ER75" s="59" t="n"/>
      <c r="ES75" s="57" t="n"/>
      <c r="ET75" s="57" t="n"/>
      <c r="EU75" s="57" t="n"/>
      <c r="EV75" s="57" t="n"/>
      <c r="EW75" s="60">
        <f>SUM(ES75:EV75)</f>
        <v/>
      </c>
      <c r="EX75" s="61" t="n"/>
      <c r="EY75" s="57" t="n"/>
      <c r="EZ75" s="58">
        <f>EP75</f>
        <v/>
      </c>
      <c r="FA75" s="59" t="n"/>
      <c r="FB75" s="57" t="n"/>
      <c r="FC75" s="57" t="n"/>
      <c r="FD75" s="57" t="n"/>
      <c r="FE75" s="57" t="n"/>
      <c r="FF75" s="60">
        <f>SUM(FB75:FE75)</f>
        <v/>
      </c>
      <c r="FG75" s="61" t="n"/>
      <c r="FH75" s="57" t="n"/>
      <c r="FI75" s="58">
        <f>EY75</f>
        <v/>
      </c>
      <c r="FJ75" s="59" t="n"/>
      <c r="FK75" s="57" t="n"/>
      <c r="FL75" s="57" t="n"/>
      <c r="FM75" s="57" t="n"/>
      <c r="FN75" s="57" t="n"/>
      <c r="FO75" s="60">
        <f>SUM(FK75:FN75)</f>
        <v/>
      </c>
      <c r="FP75" s="61" t="n"/>
      <c r="FQ75" s="57" t="n"/>
      <c r="FR75" s="58">
        <f>FH75</f>
        <v/>
      </c>
      <c r="FS75" s="59" t="n"/>
      <c r="FT75" s="57" t="n"/>
      <c r="FU75" s="57" t="n"/>
      <c r="FV75" s="57" t="n"/>
      <c r="FW75" s="57" t="n"/>
      <c r="FX75" s="60">
        <f>SUM(FT75:FW75)</f>
        <v/>
      </c>
      <c r="FY75" s="61" t="n"/>
      <c r="FZ75" s="57" t="n"/>
      <c r="GA75" s="58">
        <f>FQ75</f>
        <v/>
      </c>
      <c r="GB75" s="59" t="n"/>
      <c r="GC75" s="57" t="n"/>
      <c r="GD75" s="57" t="n"/>
      <c r="GE75" s="57" t="n"/>
      <c r="GF75" s="57" t="n"/>
      <c r="GG75" s="60">
        <f>SUM(GC75:GF75)</f>
        <v/>
      </c>
      <c r="GH75" s="61" t="n"/>
      <c r="GI75" s="57" t="n"/>
      <c r="GJ75" s="58">
        <f>FZ75</f>
        <v/>
      </c>
      <c r="GK75" s="59" t="n"/>
      <c r="GL75" s="57" t="n"/>
      <c r="GM75" s="57" t="n"/>
      <c r="GN75" s="57" t="n"/>
      <c r="GO75" s="57" t="n"/>
      <c r="GP75" s="60">
        <f>SUM(GL75:GO75)</f>
        <v/>
      </c>
      <c r="GQ75" s="61" t="n"/>
      <c r="GR75" s="57" t="n"/>
      <c r="GS75" s="58">
        <f>GI75</f>
        <v/>
      </c>
      <c r="GT75" s="59" t="n"/>
      <c r="GU75" s="57" t="n"/>
      <c r="GV75" s="57" t="n"/>
      <c r="GW75" s="57" t="n"/>
      <c r="GX75" s="57" t="n"/>
      <c r="GY75" s="60">
        <f>SUM(GU75:GX75)</f>
        <v/>
      </c>
      <c r="GZ75" s="61" t="n"/>
      <c r="HA75" s="57" t="n"/>
      <c r="HB75" s="58">
        <f>GR75</f>
        <v/>
      </c>
      <c r="HC75" s="59" t="n"/>
      <c r="HD75" s="57" t="n"/>
      <c r="HE75" s="57" t="n"/>
      <c r="HF75" s="57" t="n"/>
      <c r="HG75" s="57" t="n"/>
      <c r="HH75" s="60">
        <f>SUM(HD75:HG75)</f>
        <v/>
      </c>
      <c r="HI75" s="61" t="n"/>
      <c r="HJ75" s="57" t="n"/>
      <c r="HK75" s="58">
        <f>HA75</f>
        <v/>
      </c>
      <c r="HL75" s="59" t="n"/>
      <c r="HM75" s="57" t="n"/>
      <c r="HN75" s="57" t="n"/>
      <c r="HO75" s="57" t="n"/>
      <c r="HP75" s="57" t="n"/>
      <c r="HQ75" s="60">
        <f>SUM(HM75:HP75)</f>
        <v/>
      </c>
      <c r="HR75" s="61" t="n"/>
      <c r="HS75" s="57" t="n"/>
      <c r="HT75" s="58">
        <f>HJ75</f>
        <v/>
      </c>
      <c r="HU75" s="59" t="n"/>
      <c r="HV75" s="57" t="n"/>
      <c r="HW75" s="57" t="n"/>
      <c r="HX75" s="57" t="n"/>
      <c r="HY75" s="57" t="n"/>
      <c r="HZ75" s="60">
        <f>SUM(HV75:HY75)</f>
        <v/>
      </c>
      <c r="IA75" s="61" t="n"/>
      <c r="IB75" s="57" t="n"/>
      <c r="IC75" s="58">
        <f>HS75</f>
        <v/>
      </c>
      <c r="ID75" s="59" t="n"/>
      <c r="IE75" s="57" t="n"/>
      <c r="IF75" s="57" t="n"/>
      <c r="IG75" s="57" t="n"/>
      <c r="IH75" s="57" t="n"/>
      <c r="II75" s="60">
        <f>SUM(IE75:IH75)</f>
        <v/>
      </c>
      <c r="IJ75" s="61" t="n"/>
      <c r="IK75" s="57" t="n"/>
      <c r="IL75" s="58">
        <f>IB75</f>
        <v/>
      </c>
      <c r="IM75" s="59" t="n"/>
      <c r="IN75" s="57" t="n"/>
      <c r="IO75" s="57" t="n"/>
      <c r="IP75" s="57" t="n"/>
      <c r="IQ75" s="57" t="n"/>
      <c r="IR75" s="60">
        <f>SUM(IN75:IQ75)</f>
        <v/>
      </c>
      <c r="IS75" s="61" t="n"/>
      <c r="IT75" s="57" t="n"/>
      <c r="IU75" s="58">
        <f>IK75</f>
        <v/>
      </c>
      <c r="IV75" s="59" t="n"/>
      <c r="IW75" s="57" t="n"/>
      <c r="IX75" s="57" t="n"/>
      <c r="IY75" s="57" t="n"/>
      <c r="IZ75" s="57" t="n"/>
      <c r="JA75" s="60">
        <f>SUM(IW75:IZ75)</f>
        <v/>
      </c>
      <c r="JB75" s="61" t="n"/>
      <c r="JC75" s="57" t="n"/>
      <c r="JD75" s="58">
        <f>IT75</f>
        <v/>
      </c>
      <c r="JE75" s="59" t="n"/>
      <c r="JF75" s="57" t="n"/>
      <c r="JG75" s="57" t="n"/>
      <c r="JH75" s="57" t="n"/>
      <c r="JI75" s="57" t="n"/>
      <c r="JJ75" s="60">
        <f>SUM(JF75:JI75)</f>
        <v/>
      </c>
      <c r="JK75" s="61" t="n"/>
      <c r="JL75" s="57" t="n"/>
      <c r="JM75" s="58">
        <f>JC75</f>
        <v/>
      </c>
      <c r="JN75" s="59" t="n"/>
      <c r="JO75" s="57" t="n"/>
      <c r="JP75" s="57" t="n"/>
      <c r="JQ75" s="57" t="n"/>
      <c r="JR75" s="57" t="n"/>
      <c r="JS75" s="60">
        <f>SUM(JO75:JR75)</f>
        <v/>
      </c>
      <c r="JT75" s="61" t="n"/>
      <c r="JU75" s="62">
        <f>I75+R75+AA75+AJ75+AS75+BB75+BK75+BT75+CC75+CL75+CU75+DD75+DM75+DV75+EE75+EN75+EW75+FF75+FO75+FX75+GG75+GP75+GY75+HH75+HQ75+HZ75+II75+IR75+JA75+JJ75+JS75</f>
        <v/>
      </c>
      <c r="JV75" s="63">
        <f>D75+M75+V75+AE75+AN75+AW75+BF75+BO75+BX75+CG75+CP75+CY75+DH75+DQ75+DZ75+EI75+ER75+FA75+FJ75+FS75+GB75+GK75+GT75+HC75+HL75+HU75+ID75+IM75+IV75+JE75+JN75</f>
        <v/>
      </c>
      <c r="JW75" s="62">
        <f>CHOOSE($Z$3,B75, K75, T75, AC75, AL75, AU75, BD75, BM75, BV75, CE75, CN75, CW75, DF75, DO75, DX75, EG75, EP75, EY75, FH75, FQ75, FZ75, GI75, GR75, HA75, HJ75, HS75, IB75, IK75, IT75, JC75, JL75)</f>
        <v/>
      </c>
      <c r="JX75" s="62">
        <f>IFERROR(JU75/$Z$3,0)</f>
        <v/>
      </c>
      <c r="JY75" s="62">
        <f>Configurações!$C$15</f>
        <v/>
      </c>
      <c r="JZ75" s="64">
        <f>IF(JY75=0,"— Sem meta",IF(JU75&gt;=JY75,"✓ Atingida","Em andamento"))</f>
        <v/>
      </c>
      <c r="KA75" s="65">
        <f>JU75+(5*0.0000001)</f>
        <v/>
      </c>
    </row>
    <row r="76" ht="20" customHeight="1">
      <c r="A76" s="56">
        <f>IF(Configurações!$B$16="","Assessor 10",Configurações!$B$16)</f>
        <v/>
      </c>
      <c r="B76" s="57" t="n"/>
      <c r="C76" s="66">
        <f>Configurações!$D$16</f>
        <v/>
      </c>
      <c r="D76" s="59" t="n"/>
      <c r="E76" s="57" t="n"/>
      <c r="F76" s="57" t="n"/>
      <c r="G76" s="57" t="n"/>
      <c r="H76" s="57" t="n"/>
      <c r="I76" s="67">
        <f>SUM(E76:H76)</f>
        <v/>
      </c>
      <c r="J76" s="61" t="n"/>
      <c r="K76" s="57" t="n"/>
      <c r="L76" s="66">
        <f>B76</f>
        <v/>
      </c>
      <c r="M76" s="59" t="n"/>
      <c r="N76" s="57" t="n"/>
      <c r="O76" s="57" t="n"/>
      <c r="P76" s="57" t="n"/>
      <c r="Q76" s="57" t="n"/>
      <c r="R76" s="67">
        <f>SUM(N76:Q76)</f>
        <v/>
      </c>
      <c r="S76" s="61" t="n"/>
      <c r="T76" s="57" t="n"/>
      <c r="U76" s="66">
        <f>K76</f>
        <v/>
      </c>
      <c r="V76" s="59" t="n"/>
      <c r="W76" s="57" t="n"/>
      <c r="X76" s="57" t="n"/>
      <c r="Y76" s="57" t="n"/>
      <c r="Z76" s="57" t="n"/>
      <c r="AA76" s="67">
        <f>SUM(W76:Z76)</f>
        <v/>
      </c>
      <c r="AB76" s="61" t="n"/>
      <c r="AC76" s="57" t="n"/>
      <c r="AD76" s="66">
        <f>T76</f>
        <v/>
      </c>
      <c r="AE76" s="59" t="n"/>
      <c r="AF76" s="57" t="n"/>
      <c r="AG76" s="57" t="n"/>
      <c r="AH76" s="57" t="n"/>
      <c r="AI76" s="57" t="n"/>
      <c r="AJ76" s="67">
        <f>SUM(AF76:AI76)</f>
        <v/>
      </c>
      <c r="AK76" s="61" t="n"/>
      <c r="AL76" s="57" t="n"/>
      <c r="AM76" s="66">
        <f>AC76</f>
        <v/>
      </c>
      <c r="AN76" s="59" t="n"/>
      <c r="AO76" s="57" t="n"/>
      <c r="AP76" s="57" t="n"/>
      <c r="AQ76" s="57" t="n"/>
      <c r="AR76" s="57" t="n"/>
      <c r="AS76" s="67">
        <f>SUM(AO76:AR76)</f>
        <v/>
      </c>
      <c r="AT76" s="61" t="n"/>
      <c r="AU76" s="57" t="n"/>
      <c r="AV76" s="66">
        <f>AL76</f>
        <v/>
      </c>
      <c r="AW76" s="59" t="n"/>
      <c r="AX76" s="57" t="n"/>
      <c r="AY76" s="57" t="n"/>
      <c r="AZ76" s="57" t="n"/>
      <c r="BA76" s="57" t="n"/>
      <c r="BB76" s="67">
        <f>SUM(AX76:BA76)</f>
        <v/>
      </c>
      <c r="BC76" s="61" t="n"/>
      <c r="BD76" s="57" t="n"/>
      <c r="BE76" s="66">
        <f>AU76</f>
        <v/>
      </c>
      <c r="BF76" s="59" t="n"/>
      <c r="BG76" s="57" t="n"/>
      <c r="BH76" s="57" t="n"/>
      <c r="BI76" s="57" t="n"/>
      <c r="BJ76" s="57" t="n"/>
      <c r="BK76" s="67">
        <f>SUM(BG76:BJ76)</f>
        <v/>
      </c>
      <c r="BL76" s="61" t="n"/>
      <c r="BM76" s="57" t="n"/>
      <c r="BN76" s="66">
        <f>BD76</f>
        <v/>
      </c>
      <c r="BO76" s="59" t="n"/>
      <c r="BP76" s="57" t="n"/>
      <c r="BQ76" s="57" t="n"/>
      <c r="BR76" s="57" t="n"/>
      <c r="BS76" s="57" t="n"/>
      <c r="BT76" s="67">
        <f>SUM(BP76:BS76)</f>
        <v/>
      </c>
      <c r="BU76" s="61" t="n"/>
      <c r="BV76" s="57" t="n"/>
      <c r="BW76" s="66">
        <f>BM76</f>
        <v/>
      </c>
      <c r="BX76" s="59" t="n"/>
      <c r="BY76" s="57" t="n"/>
      <c r="BZ76" s="57" t="n"/>
      <c r="CA76" s="57" t="n"/>
      <c r="CB76" s="57" t="n"/>
      <c r="CC76" s="67">
        <f>SUM(BY76:CB76)</f>
        <v/>
      </c>
      <c r="CD76" s="61" t="n"/>
      <c r="CE76" s="57" t="n"/>
      <c r="CF76" s="66">
        <f>BV76</f>
        <v/>
      </c>
      <c r="CG76" s="59" t="n"/>
      <c r="CH76" s="57" t="n"/>
      <c r="CI76" s="57" t="n"/>
      <c r="CJ76" s="57" t="n"/>
      <c r="CK76" s="57" t="n"/>
      <c r="CL76" s="67">
        <f>SUM(CH76:CK76)</f>
        <v/>
      </c>
      <c r="CM76" s="61" t="n"/>
      <c r="CN76" s="57" t="n"/>
      <c r="CO76" s="66">
        <f>CE76</f>
        <v/>
      </c>
      <c r="CP76" s="59" t="n"/>
      <c r="CQ76" s="57" t="n"/>
      <c r="CR76" s="57" t="n"/>
      <c r="CS76" s="57" t="n"/>
      <c r="CT76" s="57" t="n"/>
      <c r="CU76" s="67">
        <f>SUM(CQ76:CT76)</f>
        <v/>
      </c>
      <c r="CV76" s="61" t="n"/>
      <c r="CW76" s="57" t="n"/>
      <c r="CX76" s="66">
        <f>CN76</f>
        <v/>
      </c>
      <c r="CY76" s="59" t="n"/>
      <c r="CZ76" s="57" t="n"/>
      <c r="DA76" s="57" t="n"/>
      <c r="DB76" s="57" t="n"/>
      <c r="DC76" s="57" t="n"/>
      <c r="DD76" s="67">
        <f>SUM(CZ76:DC76)</f>
        <v/>
      </c>
      <c r="DE76" s="61" t="n"/>
      <c r="DF76" s="57" t="n"/>
      <c r="DG76" s="66">
        <f>CW76</f>
        <v/>
      </c>
      <c r="DH76" s="59" t="n"/>
      <c r="DI76" s="57" t="n"/>
      <c r="DJ76" s="57" t="n"/>
      <c r="DK76" s="57" t="n"/>
      <c r="DL76" s="57" t="n"/>
      <c r="DM76" s="67">
        <f>SUM(DI76:DL76)</f>
        <v/>
      </c>
      <c r="DN76" s="61" t="n"/>
      <c r="DO76" s="57" t="n"/>
      <c r="DP76" s="66">
        <f>DF76</f>
        <v/>
      </c>
      <c r="DQ76" s="59" t="n"/>
      <c r="DR76" s="57" t="n"/>
      <c r="DS76" s="57" t="n"/>
      <c r="DT76" s="57" t="n"/>
      <c r="DU76" s="57" t="n"/>
      <c r="DV76" s="67">
        <f>SUM(DR76:DU76)</f>
        <v/>
      </c>
      <c r="DW76" s="61" t="n"/>
      <c r="DX76" s="57" t="n"/>
      <c r="DY76" s="66">
        <f>DO76</f>
        <v/>
      </c>
      <c r="DZ76" s="59" t="n"/>
      <c r="EA76" s="57" t="n"/>
      <c r="EB76" s="57" t="n"/>
      <c r="EC76" s="57" t="n"/>
      <c r="ED76" s="57" t="n"/>
      <c r="EE76" s="67">
        <f>SUM(EA76:ED76)</f>
        <v/>
      </c>
      <c r="EF76" s="61" t="n"/>
      <c r="EG76" s="57" t="n"/>
      <c r="EH76" s="66">
        <f>DX76</f>
        <v/>
      </c>
      <c r="EI76" s="59" t="n"/>
      <c r="EJ76" s="57" t="n"/>
      <c r="EK76" s="57" t="n"/>
      <c r="EL76" s="57" t="n"/>
      <c r="EM76" s="57" t="n"/>
      <c r="EN76" s="67">
        <f>SUM(EJ76:EM76)</f>
        <v/>
      </c>
      <c r="EO76" s="61" t="n"/>
      <c r="EP76" s="57" t="n"/>
      <c r="EQ76" s="66">
        <f>EG76</f>
        <v/>
      </c>
      <c r="ER76" s="59" t="n"/>
      <c r="ES76" s="57" t="n"/>
      <c r="ET76" s="57" t="n"/>
      <c r="EU76" s="57" t="n"/>
      <c r="EV76" s="57" t="n"/>
      <c r="EW76" s="67">
        <f>SUM(ES76:EV76)</f>
        <v/>
      </c>
      <c r="EX76" s="61" t="n"/>
      <c r="EY76" s="57" t="n"/>
      <c r="EZ76" s="66">
        <f>EP76</f>
        <v/>
      </c>
      <c r="FA76" s="59" t="n"/>
      <c r="FB76" s="57" t="n"/>
      <c r="FC76" s="57" t="n"/>
      <c r="FD76" s="57" t="n"/>
      <c r="FE76" s="57" t="n"/>
      <c r="FF76" s="67">
        <f>SUM(FB76:FE76)</f>
        <v/>
      </c>
      <c r="FG76" s="61" t="n"/>
      <c r="FH76" s="57" t="n"/>
      <c r="FI76" s="66">
        <f>EY76</f>
        <v/>
      </c>
      <c r="FJ76" s="59" t="n"/>
      <c r="FK76" s="57" t="n"/>
      <c r="FL76" s="57" t="n"/>
      <c r="FM76" s="57" t="n"/>
      <c r="FN76" s="57" t="n"/>
      <c r="FO76" s="67">
        <f>SUM(FK76:FN76)</f>
        <v/>
      </c>
      <c r="FP76" s="61" t="n"/>
      <c r="FQ76" s="57" t="n"/>
      <c r="FR76" s="66">
        <f>FH76</f>
        <v/>
      </c>
      <c r="FS76" s="59" t="n"/>
      <c r="FT76" s="57" t="n"/>
      <c r="FU76" s="57" t="n"/>
      <c r="FV76" s="57" t="n"/>
      <c r="FW76" s="57" t="n"/>
      <c r="FX76" s="67">
        <f>SUM(FT76:FW76)</f>
        <v/>
      </c>
      <c r="FY76" s="61" t="n"/>
      <c r="FZ76" s="57" t="n"/>
      <c r="GA76" s="66">
        <f>FQ76</f>
        <v/>
      </c>
      <c r="GB76" s="59" t="n"/>
      <c r="GC76" s="57" t="n"/>
      <c r="GD76" s="57" t="n"/>
      <c r="GE76" s="57" t="n"/>
      <c r="GF76" s="57" t="n"/>
      <c r="GG76" s="67">
        <f>SUM(GC76:GF76)</f>
        <v/>
      </c>
      <c r="GH76" s="61" t="n"/>
      <c r="GI76" s="57" t="n"/>
      <c r="GJ76" s="66">
        <f>FZ76</f>
        <v/>
      </c>
      <c r="GK76" s="59" t="n"/>
      <c r="GL76" s="57" t="n"/>
      <c r="GM76" s="57" t="n"/>
      <c r="GN76" s="57" t="n"/>
      <c r="GO76" s="57" t="n"/>
      <c r="GP76" s="67">
        <f>SUM(GL76:GO76)</f>
        <v/>
      </c>
      <c r="GQ76" s="61" t="n"/>
      <c r="GR76" s="57" t="n"/>
      <c r="GS76" s="66">
        <f>GI76</f>
        <v/>
      </c>
      <c r="GT76" s="59" t="n"/>
      <c r="GU76" s="57" t="n"/>
      <c r="GV76" s="57" t="n"/>
      <c r="GW76" s="57" t="n"/>
      <c r="GX76" s="57" t="n"/>
      <c r="GY76" s="67">
        <f>SUM(GU76:GX76)</f>
        <v/>
      </c>
      <c r="GZ76" s="61" t="n"/>
      <c r="HA76" s="57" t="n"/>
      <c r="HB76" s="66">
        <f>GR76</f>
        <v/>
      </c>
      <c r="HC76" s="59" t="n"/>
      <c r="HD76" s="57" t="n"/>
      <c r="HE76" s="57" t="n"/>
      <c r="HF76" s="57" t="n"/>
      <c r="HG76" s="57" t="n"/>
      <c r="HH76" s="67">
        <f>SUM(HD76:HG76)</f>
        <v/>
      </c>
      <c r="HI76" s="61" t="n"/>
      <c r="HJ76" s="57" t="n"/>
      <c r="HK76" s="66">
        <f>HA76</f>
        <v/>
      </c>
      <c r="HL76" s="59" t="n"/>
      <c r="HM76" s="57" t="n"/>
      <c r="HN76" s="57" t="n"/>
      <c r="HO76" s="57" t="n"/>
      <c r="HP76" s="57" t="n"/>
      <c r="HQ76" s="67">
        <f>SUM(HM76:HP76)</f>
        <v/>
      </c>
      <c r="HR76" s="61" t="n"/>
      <c r="HS76" s="57" t="n"/>
      <c r="HT76" s="66">
        <f>HJ76</f>
        <v/>
      </c>
      <c r="HU76" s="59" t="n"/>
      <c r="HV76" s="57" t="n"/>
      <c r="HW76" s="57" t="n"/>
      <c r="HX76" s="57" t="n"/>
      <c r="HY76" s="57" t="n"/>
      <c r="HZ76" s="67">
        <f>SUM(HV76:HY76)</f>
        <v/>
      </c>
      <c r="IA76" s="61" t="n"/>
      <c r="IB76" s="57" t="n"/>
      <c r="IC76" s="66">
        <f>HS76</f>
        <v/>
      </c>
      <c r="ID76" s="59" t="n"/>
      <c r="IE76" s="57" t="n"/>
      <c r="IF76" s="57" t="n"/>
      <c r="IG76" s="57" t="n"/>
      <c r="IH76" s="57" t="n"/>
      <c r="II76" s="67">
        <f>SUM(IE76:IH76)</f>
        <v/>
      </c>
      <c r="IJ76" s="61" t="n"/>
      <c r="IK76" s="57" t="n"/>
      <c r="IL76" s="66">
        <f>IB76</f>
        <v/>
      </c>
      <c r="IM76" s="59" t="n"/>
      <c r="IN76" s="57" t="n"/>
      <c r="IO76" s="57" t="n"/>
      <c r="IP76" s="57" t="n"/>
      <c r="IQ76" s="57" t="n"/>
      <c r="IR76" s="67">
        <f>SUM(IN76:IQ76)</f>
        <v/>
      </c>
      <c r="IS76" s="61" t="n"/>
      <c r="IT76" s="57" t="n"/>
      <c r="IU76" s="66">
        <f>IK76</f>
        <v/>
      </c>
      <c r="IV76" s="59" t="n"/>
      <c r="IW76" s="57" t="n"/>
      <c r="IX76" s="57" t="n"/>
      <c r="IY76" s="57" t="n"/>
      <c r="IZ76" s="57" t="n"/>
      <c r="JA76" s="67">
        <f>SUM(IW76:IZ76)</f>
        <v/>
      </c>
      <c r="JB76" s="61" t="n"/>
      <c r="JC76" s="57" t="n"/>
      <c r="JD76" s="66">
        <f>IT76</f>
        <v/>
      </c>
      <c r="JE76" s="59" t="n"/>
      <c r="JF76" s="57" t="n"/>
      <c r="JG76" s="57" t="n"/>
      <c r="JH76" s="57" t="n"/>
      <c r="JI76" s="57" t="n"/>
      <c r="JJ76" s="67">
        <f>SUM(JF76:JI76)</f>
        <v/>
      </c>
      <c r="JK76" s="61" t="n"/>
      <c r="JL76" s="57" t="n"/>
      <c r="JM76" s="66">
        <f>JC76</f>
        <v/>
      </c>
      <c r="JN76" s="59" t="n"/>
      <c r="JO76" s="57" t="n"/>
      <c r="JP76" s="57" t="n"/>
      <c r="JQ76" s="57" t="n"/>
      <c r="JR76" s="57" t="n"/>
      <c r="JS76" s="67">
        <f>SUM(JO76:JR76)</f>
        <v/>
      </c>
      <c r="JT76" s="61" t="n"/>
      <c r="JU76" s="62">
        <f>I76+R76+AA76+AJ76+AS76+BB76+BK76+BT76+CC76+CL76+CU76+DD76+DM76+DV76+EE76+EN76+EW76+FF76+FO76+FX76+GG76+GP76+GY76+HH76+HQ76+HZ76+II76+IR76+JA76+JJ76+JS76</f>
        <v/>
      </c>
      <c r="JV76" s="63">
        <f>D76+M76+V76+AE76+AN76+AW76+BF76+BO76+BX76+CG76+CP76+CY76+DH76+DQ76+DZ76+EI76+ER76+FA76+FJ76+FS76+GB76+GK76+GT76+HC76+HL76+HU76+ID76+IM76+IV76+JE76+JN76</f>
        <v/>
      </c>
      <c r="JW76" s="62">
        <f>CHOOSE($Z$3,B76, K76, T76, AC76, AL76, AU76, BD76, BM76, BV76, CE76, CN76, CW76, DF76, DO76, DX76, EG76, EP76, EY76, FH76, FQ76, FZ76, GI76, GR76, HA76, HJ76, HS76, IB76, IK76, IT76, JC76, JL76)</f>
        <v/>
      </c>
      <c r="JX76" s="62">
        <f>IFERROR(JU76/$Z$3,0)</f>
        <v/>
      </c>
      <c r="JY76" s="62">
        <f>Configurações!$C$16</f>
        <v/>
      </c>
      <c r="JZ76" s="64">
        <f>IF(JY76=0,"— Sem meta",IF(JU76&gt;=JY76,"✓ Atingida","Em andamento"))</f>
        <v/>
      </c>
      <c r="KA76" s="65">
        <f>JU76+(4*0.0000001)</f>
        <v/>
      </c>
    </row>
    <row r="77" ht="20" customHeight="1">
      <c r="A77" s="56">
        <f>IF(Configurações!$B$17="","Assessor 11",Configurações!$B$17)</f>
        <v/>
      </c>
      <c r="B77" s="57" t="n"/>
      <c r="C77" s="58">
        <f>Configurações!$D$17</f>
        <v/>
      </c>
      <c r="D77" s="59" t="n"/>
      <c r="E77" s="57" t="n"/>
      <c r="F77" s="57" t="n"/>
      <c r="G77" s="57" t="n"/>
      <c r="H77" s="57" t="n"/>
      <c r="I77" s="60">
        <f>SUM(E77:H77)</f>
        <v/>
      </c>
      <c r="J77" s="61" t="n"/>
      <c r="K77" s="57" t="n"/>
      <c r="L77" s="58">
        <f>B77</f>
        <v/>
      </c>
      <c r="M77" s="59" t="n"/>
      <c r="N77" s="57" t="n"/>
      <c r="O77" s="57" t="n"/>
      <c r="P77" s="57" t="n"/>
      <c r="Q77" s="57" t="n"/>
      <c r="R77" s="60">
        <f>SUM(N77:Q77)</f>
        <v/>
      </c>
      <c r="S77" s="61" t="n"/>
      <c r="T77" s="57" t="n"/>
      <c r="U77" s="58">
        <f>K77</f>
        <v/>
      </c>
      <c r="V77" s="59" t="n"/>
      <c r="W77" s="57" t="n"/>
      <c r="X77" s="57" t="n"/>
      <c r="Y77" s="57" t="n"/>
      <c r="Z77" s="57" t="n"/>
      <c r="AA77" s="60">
        <f>SUM(W77:Z77)</f>
        <v/>
      </c>
      <c r="AB77" s="61" t="n"/>
      <c r="AC77" s="57" t="n"/>
      <c r="AD77" s="58">
        <f>T77</f>
        <v/>
      </c>
      <c r="AE77" s="59" t="n"/>
      <c r="AF77" s="57" t="n"/>
      <c r="AG77" s="57" t="n"/>
      <c r="AH77" s="57" t="n"/>
      <c r="AI77" s="57" t="n"/>
      <c r="AJ77" s="60">
        <f>SUM(AF77:AI77)</f>
        <v/>
      </c>
      <c r="AK77" s="61" t="n"/>
      <c r="AL77" s="57" t="n"/>
      <c r="AM77" s="58">
        <f>AC77</f>
        <v/>
      </c>
      <c r="AN77" s="59" t="n"/>
      <c r="AO77" s="57" t="n"/>
      <c r="AP77" s="57" t="n"/>
      <c r="AQ77" s="57" t="n"/>
      <c r="AR77" s="57" t="n"/>
      <c r="AS77" s="60">
        <f>SUM(AO77:AR77)</f>
        <v/>
      </c>
      <c r="AT77" s="61" t="n"/>
      <c r="AU77" s="57" t="n"/>
      <c r="AV77" s="58">
        <f>AL77</f>
        <v/>
      </c>
      <c r="AW77" s="59" t="n"/>
      <c r="AX77" s="57" t="n"/>
      <c r="AY77" s="57" t="n"/>
      <c r="AZ77" s="57" t="n"/>
      <c r="BA77" s="57" t="n"/>
      <c r="BB77" s="60">
        <f>SUM(AX77:BA77)</f>
        <v/>
      </c>
      <c r="BC77" s="61" t="n"/>
      <c r="BD77" s="57" t="n"/>
      <c r="BE77" s="58">
        <f>AU77</f>
        <v/>
      </c>
      <c r="BF77" s="59" t="n"/>
      <c r="BG77" s="57" t="n"/>
      <c r="BH77" s="57" t="n"/>
      <c r="BI77" s="57" t="n"/>
      <c r="BJ77" s="57" t="n"/>
      <c r="BK77" s="60">
        <f>SUM(BG77:BJ77)</f>
        <v/>
      </c>
      <c r="BL77" s="61" t="n"/>
      <c r="BM77" s="57" t="n"/>
      <c r="BN77" s="58">
        <f>BD77</f>
        <v/>
      </c>
      <c r="BO77" s="59" t="n"/>
      <c r="BP77" s="57" t="n"/>
      <c r="BQ77" s="57" t="n"/>
      <c r="BR77" s="57" t="n"/>
      <c r="BS77" s="57" t="n"/>
      <c r="BT77" s="60">
        <f>SUM(BP77:BS77)</f>
        <v/>
      </c>
      <c r="BU77" s="61" t="n"/>
      <c r="BV77" s="57" t="n"/>
      <c r="BW77" s="58">
        <f>BM77</f>
        <v/>
      </c>
      <c r="BX77" s="59" t="n"/>
      <c r="BY77" s="57" t="n"/>
      <c r="BZ77" s="57" t="n"/>
      <c r="CA77" s="57" t="n"/>
      <c r="CB77" s="57" t="n"/>
      <c r="CC77" s="60">
        <f>SUM(BY77:CB77)</f>
        <v/>
      </c>
      <c r="CD77" s="61" t="n"/>
      <c r="CE77" s="57" t="n"/>
      <c r="CF77" s="58">
        <f>BV77</f>
        <v/>
      </c>
      <c r="CG77" s="59" t="n"/>
      <c r="CH77" s="57" t="n"/>
      <c r="CI77" s="57" t="n"/>
      <c r="CJ77" s="57" t="n"/>
      <c r="CK77" s="57" t="n"/>
      <c r="CL77" s="60">
        <f>SUM(CH77:CK77)</f>
        <v/>
      </c>
      <c r="CM77" s="61" t="n"/>
      <c r="CN77" s="57" t="n"/>
      <c r="CO77" s="58">
        <f>CE77</f>
        <v/>
      </c>
      <c r="CP77" s="59" t="n"/>
      <c r="CQ77" s="57" t="n"/>
      <c r="CR77" s="57" t="n"/>
      <c r="CS77" s="57" t="n"/>
      <c r="CT77" s="57" t="n"/>
      <c r="CU77" s="60">
        <f>SUM(CQ77:CT77)</f>
        <v/>
      </c>
      <c r="CV77" s="61" t="n"/>
      <c r="CW77" s="57" t="n"/>
      <c r="CX77" s="58">
        <f>CN77</f>
        <v/>
      </c>
      <c r="CY77" s="59" t="n"/>
      <c r="CZ77" s="57" t="n"/>
      <c r="DA77" s="57" t="n"/>
      <c r="DB77" s="57" t="n"/>
      <c r="DC77" s="57" t="n"/>
      <c r="DD77" s="60">
        <f>SUM(CZ77:DC77)</f>
        <v/>
      </c>
      <c r="DE77" s="61" t="n"/>
      <c r="DF77" s="57" t="n"/>
      <c r="DG77" s="58">
        <f>CW77</f>
        <v/>
      </c>
      <c r="DH77" s="59" t="n"/>
      <c r="DI77" s="57" t="n"/>
      <c r="DJ77" s="57" t="n"/>
      <c r="DK77" s="57" t="n"/>
      <c r="DL77" s="57" t="n"/>
      <c r="DM77" s="60">
        <f>SUM(DI77:DL77)</f>
        <v/>
      </c>
      <c r="DN77" s="61" t="n"/>
      <c r="DO77" s="57" t="n"/>
      <c r="DP77" s="58">
        <f>DF77</f>
        <v/>
      </c>
      <c r="DQ77" s="59" t="n"/>
      <c r="DR77" s="57" t="n"/>
      <c r="DS77" s="57" t="n"/>
      <c r="DT77" s="57" t="n"/>
      <c r="DU77" s="57" t="n"/>
      <c r="DV77" s="60">
        <f>SUM(DR77:DU77)</f>
        <v/>
      </c>
      <c r="DW77" s="61" t="n"/>
      <c r="DX77" s="57" t="n"/>
      <c r="DY77" s="58">
        <f>DO77</f>
        <v/>
      </c>
      <c r="DZ77" s="59" t="n"/>
      <c r="EA77" s="57" t="n"/>
      <c r="EB77" s="57" t="n"/>
      <c r="EC77" s="57" t="n"/>
      <c r="ED77" s="57" t="n"/>
      <c r="EE77" s="60">
        <f>SUM(EA77:ED77)</f>
        <v/>
      </c>
      <c r="EF77" s="61" t="n"/>
      <c r="EG77" s="57" t="n"/>
      <c r="EH77" s="58">
        <f>DX77</f>
        <v/>
      </c>
      <c r="EI77" s="59" t="n"/>
      <c r="EJ77" s="57" t="n"/>
      <c r="EK77" s="57" t="n"/>
      <c r="EL77" s="57" t="n"/>
      <c r="EM77" s="57" t="n"/>
      <c r="EN77" s="60">
        <f>SUM(EJ77:EM77)</f>
        <v/>
      </c>
      <c r="EO77" s="61" t="n"/>
      <c r="EP77" s="57" t="n"/>
      <c r="EQ77" s="58">
        <f>EG77</f>
        <v/>
      </c>
      <c r="ER77" s="59" t="n"/>
      <c r="ES77" s="57" t="n"/>
      <c r="ET77" s="57" t="n"/>
      <c r="EU77" s="57" t="n"/>
      <c r="EV77" s="57" t="n"/>
      <c r="EW77" s="60">
        <f>SUM(ES77:EV77)</f>
        <v/>
      </c>
      <c r="EX77" s="61" t="n"/>
      <c r="EY77" s="57" t="n"/>
      <c r="EZ77" s="58">
        <f>EP77</f>
        <v/>
      </c>
      <c r="FA77" s="59" t="n"/>
      <c r="FB77" s="57" t="n"/>
      <c r="FC77" s="57" t="n"/>
      <c r="FD77" s="57" t="n"/>
      <c r="FE77" s="57" t="n"/>
      <c r="FF77" s="60">
        <f>SUM(FB77:FE77)</f>
        <v/>
      </c>
      <c r="FG77" s="61" t="n"/>
      <c r="FH77" s="57" t="n"/>
      <c r="FI77" s="58">
        <f>EY77</f>
        <v/>
      </c>
      <c r="FJ77" s="59" t="n"/>
      <c r="FK77" s="57" t="n"/>
      <c r="FL77" s="57" t="n"/>
      <c r="FM77" s="57" t="n"/>
      <c r="FN77" s="57" t="n"/>
      <c r="FO77" s="60">
        <f>SUM(FK77:FN77)</f>
        <v/>
      </c>
      <c r="FP77" s="61" t="n"/>
      <c r="FQ77" s="57" t="n"/>
      <c r="FR77" s="58">
        <f>FH77</f>
        <v/>
      </c>
      <c r="FS77" s="59" t="n"/>
      <c r="FT77" s="57" t="n"/>
      <c r="FU77" s="57" t="n"/>
      <c r="FV77" s="57" t="n"/>
      <c r="FW77" s="57" t="n"/>
      <c r="FX77" s="60">
        <f>SUM(FT77:FW77)</f>
        <v/>
      </c>
      <c r="FY77" s="61" t="n"/>
      <c r="FZ77" s="57" t="n"/>
      <c r="GA77" s="58">
        <f>FQ77</f>
        <v/>
      </c>
      <c r="GB77" s="59" t="n"/>
      <c r="GC77" s="57" t="n"/>
      <c r="GD77" s="57" t="n"/>
      <c r="GE77" s="57" t="n"/>
      <c r="GF77" s="57" t="n"/>
      <c r="GG77" s="60">
        <f>SUM(GC77:GF77)</f>
        <v/>
      </c>
      <c r="GH77" s="61" t="n"/>
      <c r="GI77" s="57" t="n"/>
      <c r="GJ77" s="58">
        <f>FZ77</f>
        <v/>
      </c>
      <c r="GK77" s="59" t="n"/>
      <c r="GL77" s="57" t="n"/>
      <c r="GM77" s="57" t="n"/>
      <c r="GN77" s="57" t="n"/>
      <c r="GO77" s="57" t="n"/>
      <c r="GP77" s="60">
        <f>SUM(GL77:GO77)</f>
        <v/>
      </c>
      <c r="GQ77" s="61" t="n"/>
      <c r="GR77" s="57" t="n"/>
      <c r="GS77" s="58">
        <f>GI77</f>
        <v/>
      </c>
      <c r="GT77" s="59" t="n"/>
      <c r="GU77" s="57" t="n"/>
      <c r="GV77" s="57" t="n"/>
      <c r="GW77" s="57" t="n"/>
      <c r="GX77" s="57" t="n"/>
      <c r="GY77" s="60">
        <f>SUM(GU77:GX77)</f>
        <v/>
      </c>
      <c r="GZ77" s="61" t="n"/>
      <c r="HA77" s="57" t="n"/>
      <c r="HB77" s="58">
        <f>GR77</f>
        <v/>
      </c>
      <c r="HC77" s="59" t="n"/>
      <c r="HD77" s="57" t="n"/>
      <c r="HE77" s="57" t="n"/>
      <c r="HF77" s="57" t="n"/>
      <c r="HG77" s="57" t="n"/>
      <c r="HH77" s="60">
        <f>SUM(HD77:HG77)</f>
        <v/>
      </c>
      <c r="HI77" s="61" t="n"/>
      <c r="HJ77" s="57" t="n"/>
      <c r="HK77" s="58">
        <f>HA77</f>
        <v/>
      </c>
      <c r="HL77" s="59" t="n"/>
      <c r="HM77" s="57" t="n"/>
      <c r="HN77" s="57" t="n"/>
      <c r="HO77" s="57" t="n"/>
      <c r="HP77" s="57" t="n"/>
      <c r="HQ77" s="60">
        <f>SUM(HM77:HP77)</f>
        <v/>
      </c>
      <c r="HR77" s="61" t="n"/>
      <c r="HS77" s="57" t="n"/>
      <c r="HT77" s="58">
        <f>HJ77</f>
        <v/>
      </c>
      <c r="HU77" s="59" t="n"/>
      <c r="HV77" s="57" t="n"/>
      <c r="HW77" s="57" t="n"/>
      <c r="HX77" s="57" t="n"/>
      <c r="HY77" s="57" t="n"/>
      <c r="HZ77" s="60">
        <f>SUM(HV77:HY77)</f>
        <v/>
      </c>
      <c r="IA77" s="61" t="n"/>
      <c r="IB77" s="57" t="n"/>
      <c r="IC77" s="58">
        <f>HS77</f>
        <v/>
      </c>
      <c r="ID77" s="59" t="n"/>
      <c r="IE77" s="57" t="n"/>
      <c r="IF77" s="57" t="n"/>
      <c r="IG77" s="57" t="n"/>
      <c r="IH77" s="57" t="n"/>
      <c r="II77" s="60">
        <f>SUM(IE77:IH77)</f>
        <v/>
      </c>
      <c r="IJ77" s="61" t="n"/>
      <c r="IK77" s="57" t="n"/>
      <c r="IL77" s="58">
        <f>IB77</f>
        <v/>
      </c>
      <c r="IM77" s="59" t="n"/>
      <c r="IN77" s="57" t="n"/>
      <c r="IO77" s="57" t="n"/>
      <c r="IP77" s="57" t="n"/>
      <c r="IQ77" s="57" t="n"/>
      <c r="IR77" s="60">
        <f>SUM(IN77:IQ77)</f>
        <v/>
      </c>
      <c r="IS77" s="61" t="n"/>
      <c r="IT77" s="57" t="n"/>
      <c r="IU77" s="58">
        <f>IK77</f>
        <v/>
      </c>
      <c r="IV77" s="59" t="n"/>
      <c r="IW77" s="57" t="n"/>
      <c r="IX77" s="57" t="n"/>
      <c r="IY77" s="57" t="n"/>
      <c r="IZ77" s="57" t="n"/>
      <c r="JA77" s="60">
        <f>SUM(IW77:IZ77)</f>
        <v/>
      </c>
      <c r="JB77" s="61" t="n"/>
      <c r="JC77" s="57" t="n"/>
      <c r="JD77" s="58">
        <f>IT77</f>
        <v/>
      </c>
      <c r="JE77" s="59" t="n"/>
      <c r="JF77" s="57" t="n"/>
      <c r="JG77" s="57" t="n"/>
      <c r="JH77" s="57" t="n"/>
      <c r="JI77" s="57" t="n"/>
      <c r="JJ77" s="60">
        <f>SUM(JF77:JI77)</f>
        <v/>
      </c>
      <c r="JK77" s="61" t="n"/>
      <c r="JL77" s="57" t="n"/>
      <c r="JM77" s="58">
        <f>JC77</f>
        <v/>
      </c>
      <c r="JN77" s="59" t="n"/>
      <c r="JO77" s="57" t="n"/>
      <c r="JP77" s="57" t="n"/>
      <c r="JQ77" s="57" t="n"/>
      <c r="JR77" s="57" t="n"/>
      <c r="JS77" s="60">
        <f>SUM(JO77:JR77)</f>
        <v/>
      </c>
      <c r="JT77" s="61" t="n"/>
      <c r="JU77" s="62">
        <f>I77+R77+AA77+AJ77+AS77+BB77+BK77+BT77+CC77+CL77+CU77+DD77+DM77+DV77+EE77+EN77+EW77+FF77+FO77+FX77+GG77+GP77+GY77+HH77+HQ77+HZ77+II77+IR77+JA77+JJ77+JS77</f>
        <v/>
      </c>
      <c r="JV77" s="63">
        <f>D77+M77+V77+AE77+AN77+AW77+BF77+BO77+BX77+CG77+CP77+CY77+DH77+DQ77+DZ77+EI77+ER77+FA77+FJ77+FS77+GB77+GK77+GT77+HC77+HL77+HU77+ID77+IM77+IV77+JE77+JN77</f>
        <v/>
      </c>
      <c r="JW77" s="62">
        <f>CHOOSE($Z$3,B77, K77, T77, AC77, AL77, AU77, BD77, BM77, BV77, CE77, CN77, CW77, DF77, DO77, DX77, EG77, EP77, EY77, FH77, FQ77, FZ77, GI77, GR77, HA77, HJ77, HS77, IB77, IK77, IT77, JC77, JL77)</f>
        <v/>
      </c>
      <c r="JX77" s="62">
        <f>IFERROR(JU77/$Z$3,0)</f>
        <v/>
      </c>
      <c r="JY77" s="62">
        <f>Configurações!$C$17</f>
        <v/>
      </c>
      <c r="JZ77" s="64">
        <f>IF(JY77=0,"— Sem meta",IF(JU77&gt;=JY77,"✓ Atingida","Em andamento"))</f>
        <v/>
      </c>
      <c r="KA77" s="65">
        <f>JU77+(3*0.0000001)</f>
        <v/>
      </c>
    </row>
    <row r="78" ht="20" customHeight="1">
      <c r="A78" s="56">
        <f>IF(Configurações!$B$18="","Assessor 12",Configurações!$B$18)</f>
        <v/>
      </c>
      <c r="B78" s="57" t="n"/>
      <c r="C78" s="66">
        <f>Configurações!$D$18</f>
        <v/>
      </c>
      <c r="D78" s="59" t="n"/>
      <c r="E78" s="57" t="n"/>
      <c r="F78" s="57" t="n"/>
      <c r="G78" s="57" t="n"/>
      <c r="H78" s="57" t="n"/>
      <c r="I78" s="67">
        <f>SUM(E78:H78)</f>
        <v/>
      </c>
      <c r="J78" s="61" t="n"/>
      <c r="K78" s="57" t="n"/>
      <c r="L78" s="66">
        <f>B78</f>
        <v/>
      </c>
      <c r="M78" s="59" t="n"/>
      <c r="N78" s="57" t="n"/>
      <c r="O78" s="57" t="n"/>
      <c r="P78" s="57" t="n"/>
      <c r="Q78" s="57" t="n"/>
      <c r="R78" s="67">
        <f>SUM(N78:Q78)</f>
        <v/>
      </c>
      <c r="S78" s="61" t="n"/>
      <c r="T78" s="57" t="n"/>
      <c r="U78" s="66">
        <f>K78</f>
        <v/>
      </c>
      <c r="V78" s="59" t="n"/>
      <c r="W78" s="57" t="n"/>
      <c r="X78" s="57" t="n"/>
      <c r="Y78" s="57" t="n"/>
      <c r="Z78" s="57" t="n"/>
      <c r="AA78" s="67">
        <f>SUM(W78:Z78)</f>
        <v/>
      </c>
      <c r="AB78" s="61" t="n"/>
      <c r="AC78" s="57" t="n"/>
      <c r="AD78" s="66">
        <f>T78</f>
        <v/>
      </c>
      <c r="AE78" s="59" t="n"/>
      <c r="AF78" s="57" t="n"/>
      <c r="AG78" s="57" t="n"/>
      <c r="AH78" s="57" t="n"/>
      <c r="AI78" s="57" t="n"/>
      <c r="AJ78" s="67">
        <f>SUM(AF78:AI78)</f>
        <v/>
      </c>
      <c r="AK78" s="61" t="n"/>
      <c r="AL78" s="57" t="n"/>
      <c r="AM78" s="66">
        <f>AC78</f>
        <v/>
      </c>
      <c r="AN78" s="59" t="n"/>
      <c r="AO78" s="57" t="n"/>
      <c r="AP78" s="57" t="n"/>
      <c r="AQ78" s="57" t="n"/>
      <c r="AR78" s="57" t="n"/>
      <c r="AS78" s="67">
        <f>SUM(AO78:AR78)</f>
        <v/>
      </c>
      <c r="AT78" s="61" t="n"/>
      <c r="AU78" s="57" t="n"/>
      <c r="AV78" s="66">
        <f>AL78</f>
        <v/>
      </c>
      <c r="AW78" s="59" t="n"/>
      <c r="AX78" s="57" t="n"/>
      <c r="AY78" s="57" t="n"/>
      <c r="AZ78" s="57" t="n"/>
      <c r="BA78" s="57" t="n"/>
      <c r="BB78" s="67">
        <f>SUM(AX78:BA78)</f>
        <v/>
      </c>
      <c r="BC78" s="61" t="n"/>
      <c r="BD78" s="57" t="n"/>
      <c r="BE78" s="66">
        <f>AU78</f>
        <v/>
      </c>
      <c r="BF78" s="59" t="n"/>
      <c r="BG78" s="57" t="n"/>
      <c r="BH78" s="57" t="n"/>
      <c r="BI78" s="57" t="n"/>
      <c r="BJ78" s="57" t="n"/>
      <c r="BK78" s="67">
        <f>SUM(BG78:BJ78)</f>
        <v/>
      </c>
      <c r="BL78" s="61" t="n"/>
      <c r="BM78" s="57" t="n"/>
      <c r="BN78" s="66">
        <f>BD78</f>
        <v/>
      </c>
      <c r="BO78" s="59" t="n"/>
      <c r="BP78" s="57" t="n"/>
      <c r="BQ78" s="57" t="n"/>
      <c r="BR78" s="57" t="n"/>
      <c r="BS78" s="57" t="n"/>
      <c r="BT78" s="67">
        <f>SUM(BP78:BS78)</f>
        <v/>
      </c>
      <c r="BU78" s="61" t="n"/>
      <c r="BV78" s="57" t="n"/>
      <c r="BW78" s="66">
        <f>BM78</f>
        <v/>
      </c>
      <c r="BX78" s="59" t="n"/>
      <c r="BY78" s="57" t="n"/>
      <c r="BZ78" s="57" t="n"/>
      <c r="CA78" s="57" t="n"/>
      <c r="CB78" s="57" t="n"/>
      <c r="CC78" s="67">
        <f>SUM(BY78:CB78)</f>
        <v/>
      </c>
      <c r="CD78" s="61" t="n"/>
      <c r="CE78" s="57" t="n"/>
      <c r="CF78" s="66">
        <f>BV78</f>
        <v/>
      </c>
      <c r="CG78" s="59" t="n"/>
      <c r="CH78" s="57" t="n"/>
      <c r="CI78" s="57" t="n"/>
      <c r="CJ78" s="57" t="n"/>
      <c r="CK78" s="57" t="n"/>
      <c r="CL78" s="67">
        <f>SUM(CH78:CK78)</f>
        <v/>
      </c>
      <c r="CM78" s="61" t="n"/>
      <c r="CN78" s="57" t="n"/>
      <c r="CO78" s="66">
        <f>CE78</f>
        <v/>
      </c>
      <c r="CP78" s="59" t="n"/>
      <c r="CQ78" s="57" t="n"/>
      <c r="CR78" s="57" t="n"/>
      <c r="CS78" s="57" t="n"/>
      <c r="CT78" s="57" t="n"/>
      <c r="CU78" s="67">
        <f>SUM(CQ78:CT78)</f>
        <v/>
      </c>
      <c r="CV78" s="61" t="n"/>
      <c r="CW78" s="57" t="n"/>
      <c r="CX78" s="66">
        <f>CN78</f>
        <v/>
      </c>
      <c r="CY78" s="59" t="n"/>
      <c r="CZ78" s="57" t="n"/>
      <c r="DA78" s="57" t="n"/>
      <c r="DB78" s="57" t="n"/>
      <c r="DC78" s="57" t="n"/>
      <c r="DD78" s="67">
        <f>SUM(CZ78:DC78)</f>
        <v/>
      </c>
      <c r="DE78" s="61" t="n"/>
      <c r="DF78" s="57" t="n"/>
      <c r="DG78" s="66">
        <f>CW78</f>
        <v/>
      </c>
      <c r="DH78" s="59" t="n"/>
      <c r="DI78" s="57" t="n"/>
      <c r="DJ78" s="57" t="n"/>
      <c r="DK78" s="57" t="n"/>
      <c r="DL78" s="57" t="n"/>
      <c r="DM78" s="67">
        <f>SUM(DI78:DL78)</f>
        <v/>
      </c>
      <c r="DN78" s="61" t="n"/>
      <c r="DO78" s="57" t="n"/>
      <c r="DP78" s="66">
        <f>DF78</f>
        <v/>
      </c>
      <c r="DQ78" s="59" t="n"/>
      <c r="DR78" s="57" t="n"/>
      <c r="DS78" s="57" t="n"/>
      <c r="DT78" s="57" t="n"/>
      <c r="DU78" s="57" t="n"/>
      <c r="DV78" s="67">
        <f>SUM(DR78:DU78)</f>
        <v/>
      </c>
      <c r="DW78" s="61" t="n"/>
      <c r="DX78" s="57" t="n"/>
      <c r="DY78" s="66">
        <f>DO78</f>
        <v/>
      </c>
      <c r="DZ78" s="59" t="n"/>
      <c r="EA78" s="57" t="n"/>
      <c r="EB78" s="57" t="n"/>
      <c r="EC78" s="57" t="n"/>
      <c r="ED78" s="57" t="n"/>
      <c r="EE78" s="67">
        <f>SUM(EA78:ED78)</f>
        <v/>
      </c>
      <c r="EF78" s="61" t="n"/>
      <c r="EG78" s="57" t="n"/>
      <c r="EH78" s="66">
        <f>DX78</f>
        <v/>
      </c>
      <c r="EI78" s="59" t="n"/>
      <c r="EJ78" s="57" t="n"/>
      <c r="EK78" s="57" t="n"/>
      <c r="EL78" s="57" t="n"/>
      <c r="EM78" s="57" t="n"/>
      <c r="EN78" s="67">
        <f>SUM(EJ78:EM78)</f>
        <v/>
      </c>
      <c r="EO78" s="61" t="n"/>
      <c r="EP78" s="57" t="n"/>
      <c r="EQ78" s="66">
        <f>EG78</f>
        <v/>
      </c>
      <c r="ER78" s="59" t="n"/>
      <c r="ES78" s="57" t="n"/>
      <c r="ET78" s="57" t="n"/>
      <c r="EU78" s="57" t="n"/>
      <c r="EV78" s="57" t="n"/>
      <c r="EW78" s="67">
        <f>SUM(ES78:EV78)</f>
        <v/>
      </c>
      <c r="EX78" s="61" t="n"/>
      <c r="EY78" s="57" t="n"/>
      <c r="EZ78" s="66">
        <f>EP78</f>
        <v/>
      </c>
      <c r="FA78" s="59" t="n"/>
      <c r="FB78" s="57" t="n"/>
      <c r="FC78" s="57" t="n"/>
      <c r="FD78" s="57" t="n"/>
      <c r="FE78" s="57" t="n"/>
      <c r="FF78" s="67">
        <f>SUM(FB78:FE78)</f>
        <v/>
      </c>
      <c r="FG78" s="61" t="n"/>
      <c r="FH78" s="57" t="n"/>
      <c r="FI78" s="66">
        <f>EY78</f>
        <v/>
      </c>
      <c r="FJ78" s="59" t="n"/>
      <c r="FK78" s="57" t="n"/>
      <c r="FL78" s="57" t="n"/>
      <c r="FM78" s="57" t="n"/>
      <c r="FN78" s="57" t="n"/>
      <c r="FO78" s="67">
        <f>SUM(FK78:FN78)</f>
        <v/>
      </c>
      <c r="FP78" s="61" t="n"/>
      <c r="FQ78" s="57" t="n"/>
      <c r="FR78" s="66">
        <f>FH78</f>
        <v/>
      </c>
      <c r="FS78" s="59" t="n"/>
      <c r="FT78" s="57" t="n"/>
      <c r="FU78" s="57" t="n"/>
      <c r="FV78" s="57" t="n"/>
      <c r="FW78" s="57" t="n"/>
      <c r="FX78" s="67">
        <f>SUM(FT78:FW78)</f>
        <v/>
      </c>
      <c r="FY78" s="61" t="n"/>
      <c r="FZ78" s="57" t="n"/>
      <c r="GA78" s="66">
        <f>FQ78</f>
        <v/>
      </c>
      <c r="GB78" s="59" t="n"/>
      <c r="GC78" s="57" t="n"/>
      <c r="GD78" s="57" t="n"/>
      <c r="GE78" s="57" t="n"/>
      <c r="GF78" s="57" t="n"/>
      <c r="GG78" s="67">
        <f>SUM(GC78:GF78)</f>
        <v/>
      </c>
      <c r="GH78" s="61" t="n"/>
      <c r="GI78" s="57" t="n"/>
      <c r="GJ78" s="66">
        <f>FZ78</f>
        <v/>
      </c>
      <c r="GK78" s="59" t="n"/>
      <c r="GL78" s="57" t="n"/>
      <c r="GM78" s="57" t="n"/>
      <c r="GN78" s="57" t="n"/>
      <c r="GO78" s="57" t="n"/>
      <c r="GP78" s="67">
        <f>SUM(GL78:GO78)</f>
        <v/>
      </c>
      <c r="GQ78" s="61" t="n"/>
      <c r="GR78" s="57" t="n"/>
      <c r="GS78" s="66">
        <f>GI78</f>
        <v/>
      </c>
      <c r="GT78" s="59" t="n"/>
      <c r="GU78" s="57" t="n"/>
      <c r="GV78" s="57" t="n"/>
      <c r="GW78" s="57" t="n"/>
      <c r="GX78" s="57" t="n"/>
      <c r="GY78" s="67">
        <f>SUM(GU78:GX78)</f>
        <v/>
      </c>
      <c r="GZ78" s="61" t="n"/>
      <c r="HA78" s="57" t="n"/>
      <c r="HB78" s="66">
        <f>GR78</f>
        <v/>
      </c>
      <c r="HC78" s="59" t="n"/>
      <c r="HD78" s="57" t="n"/>
      <c r="HE78" s="57" t="n"/>
      <c r="HF78" s="57" t="n"/>
      <c r="HG78" s="57" t="n"/>
      <c r="HH78" s="67">
        <f>SUM(HD78:HG78)</f>
        <v/>
      </c>
      <c r="HI78" s="61" t="n"/>
      <c r="HJ78" s="57" t="n"/>
      <c r="HK78" s="66">
        <f>HA78</f>
        <v/>
      </c>
      <c r="HL78" s="59" t="n"/>
      <c r="HM78" s="57" t="n"/>
      <c r="HN78" s="57" t="n"/>
      <c r="HO78" s="57" t="n"/>
      <c r="HP78" s="57" t="n"/>
      <c r="HQ78" s="67">
        <f>SUM(HM78:HP78)</f>
        <v/>
      </c>
      <c r="HR78" s="61" t="n"/>
      <c r="HS78" s="57" t="n"/>
      <c r="HT78" s="66">
        <f>HJ78</f>
        <v/>
      </c>
      <c r="HU78" s="59" t="n"/>
      <c r="HV78" s="57" t="n"/>
      <c r="HW78" s="57" t="n"/>
      <c r="HX78" s="57" t="n"/>
      <c r="HY78" s="57" t="n"/>
      <c r="HZ78" s="67">
        <f>SUM(HV78:HY78)</f>
        <v/>
      </c>
      <c r="IA78" s="61" t="n"/>
      <c r="IB78" s="57" t="n"/>
      <c r="IC78" s="66">
        <f>HS78</f>
        <v/>
      </c>
      <c r="ID78" s="59" t="n"/>
      <c r="IE78" s="57" t="n"/>
      <c r="IF78" s="57" t="n"/>
      <c r="IG78" s="57" t="n"/>
      <c r="IH78" s="57" t="n"/>
      <c r="II78" s="67">
        <f>SUM(IE78:IH78)</f>
        <v/>
      </c>
      <c r="IJ78" s="61" t="n"/>
      <c r="IK78" s="57" t="n"/>
      <c r="IL78" s="66">
        <f>IB78</f>
        <v/>
      </c>
      <c r="IM78" s="59" t="n"/>
      <c r="IN78" s="57" t="n"/>
      <c r="IO78" s="57" t="n"/>
      <c r="IP78" s="57" t="n"/>
      <c r="IQ78" s="57" t="n"/>
      <c r="IR78" s="67">
        <f>SUM(IN78:IQ78)</f>
        <v/>
      </c>
      <c r="IS78" s="61" t="n"/>
      <c r="IT78" s="57" t="n"/>
      <c r="IU78" s="66">
        <f>IK78</f>
        <v/>
      </c>
      <c r="IV78" s="59" t="n"/>
      <c r="IW78" s="57" t="n"/>
      <c r="IX78" s="57" t="n"/>
      <c r="IY78" s="57" t="n"/>
      <c r="IZ78" s="57" t="n"/>
      <c r="JA78" s="67">
        <f>SUM(IW78:IZ78)</f>
        <v/>
      </c>
      <c r="JB78" s="61" t="n"/>
      <c r="JC78" s="57" t="n"/>
      <c r="JD78" s="66">
        <f>IT78</f>
        <v/>
      </c>
      <c r="JE78" s="59" t="n"/>
      <c r="JF78" s="57" t="n"/>
      <c r="JG78" s="57" t="n"/>
      <c r="JH78" s="57" t="n"/>
      <c r="JI78" s="57" t="n"/>
      <c r="JJ78" s="67">
        <f>SUM(JF78:JI78)</f>
        <v/>
      </c>
      <c r="JK78" s="61" t="n"/>
      <c r="JL78" s="57" t="n"/>
      <c r="JM78" s="66">
        <f>JC78</f>
        <v/>
      </c>
      <c r="JN78" s="59" t="n"/>
      <c r="JO78" s="57" t="n"/>
      <c r="JP78" s="57" t="n"/>
      <c r="JQ78" s="57" t="n"/>
      <c r="JR78" s="57" t="n"/>
      <c r="JS78" s="67">
        <f>SUM(JO78:JR78)</f>
        <v/>
      </c>
      <c r="JT78" s="61" t="n"/>
      <c r="JU78" s="62">
        <f>I78+R78+AA78+AJ78+AS78+BB78+BK78+BT78+CC78+CL78+CU78+DD78+DM78+DV78+EE78+EN78+EW78+FF78+FO78+FX78+GG78+GP78+GY78+HH78+HQ78+HZ78+II78+IR78+JA78+JJ78+JS78</f>
        <v/>
      </c>
      <c r="JV78" s="63">
        <f>D78+M78+V78+AE78+AN78+AW78+BF78+BO78+BX78+CG78+CP78+CY78+DH78+DQ78+DZ78+EI78+ER78+FA78+FJ78+FS78+GB78+GK78+GT78+HC78+HL78+HU78+ID78+IM78+IV78+JE78+JN78</f>
        <v/>
      </c>
      <c r="JW78" s="62">
        <f>CHOOSE($Z$3,B78, K78, T78, AC78, AL78, AU78, BD78, BM78, BV78, CE78, CN78, CW78, DF78, DO78, DX78, EG78, EP78, EY78, FH78, FQ78, FZ78, GI78, GR78, HA78, HJ78, HS78, IB78, IK78, IT78, JC78, JL78)</f>
        <v/>
      </c>
      <c r="JX78" s="62">
        <f>IFERROR(JU78/$Z$3,0)</f>
        <v/>
      </c>
      <c r="JY78" s="62">
        <f>Configurações!$C$18</f>
        <v/>
      </c>
      <c r="JZ78" s="64">
        <f>IF(JY78=0,"— Sem meta",IF(JU78&gt;=JY78,"✓ Atingida","Em andamento"))</f>
        <v/>
      </c>
      <c r="KA78" s="65">
        <f>JU78+(2*0.0000001)</f>
        <v/>
      </c>
    </row>
    <row r="79" ht="20" customHeight="1">
      <c r="A79" s="56">
        <f>IF(Configurações!$B$19="","Assessor 13",Configurações!$B$19)</f>
        <v/>
      </c>
      <c r="B79" s="57" t="n"/>
      <c r="C79" s="58">
        <f>Configurações!$D$19</f>
        <v/>
      </c>
      <c r="D79" s="59" t="n"/>
      <c r="E79" s="57" t="n"/>
      <c r="F79" s="57" t="n"/>
      <c r="G79" s="57" t="n"/>
      <c r="H79" s="57" t="n"/>
      <c r="I79" s="60">
        <f>SUM(E79:H79)</f>
        <v/>
      </c>
      <c r="J79" s="61" t="n"/>
      <c r="K79" s="57" t="n"/>
      <c r="L79" s="58">
        <f>B79</f>
        <v/>
      </c>
      <c r="M79" s="59" t="n"/>
      <c r="N79" s="57" t="n"/>
      <c r="O79" s="57" t="n"/>
      <c r="P79" s="57" t="n"/>
      <c r="Q79" s="57" t="n"/>
      <c r="R79" s="60">
        <f>SUM(N79:Q79)</f>
        <v/>
      </c>
      <c r="S79" s="61" t="n"/>
      <c r="T79" s="57" t="n"/>
      <c r="U79" s="58">
        <f>K79</f>
        <v/>
      </c>
      <c r="V79" s="59" t="n"/>
      <c r="W79" s="57" t="n"/>
      <c r="X79" s="57" t="n"/>
      <c r="Y79" s="57" t="n"/>
      <c r="Z79" s="57" t="n"/>
      <c r="AA79" s="60">
        <f>SUM(W79:Z79)</f>
        <v/>
      </c>
      <c r="AB79" s="61" t="n"/>
      <c r="AC79" s="57" t="n"/>
      <c r="AD79" s="58">
        <f>T79</f>
        <v/>
      </c>
      <c r="AE79" s="59" t="n"/>
      <c r="AF79" s="57" t="n"/>
      <c r="AG79" s="57" t="n"/>
      <c r="AH79" s="57" t="n"/>
      <c r="AI79" s="57" t="n"/>
      <c r="AJ79" s="60">
        <f>SUM(AF79:AI79)</f>
        <v/>
      </c>
      <c r="AK79" s="61" t="n"/>
      <c r="AL79" s="57" t="n"/>
      <c r="AM79" s="58">
        <f>AC79</f>
        <v/>
      </c>
      <c r="AN79" s="59" t="n"/>
      <c r="AO79" s="57" t="n"/>
      <c r="AP79" s="57" t="n"/>
      <c r="AQ79" s="57" t="n"/>
      <c r="AR79" s="57" t="n"/>
      <c r="AS79" s="60">
        <f>SUM(AO79:AR79)</f>
        <v/>
      </c>
      <c r="AT79" s="61" t="n"/>
      <c r="AU79" s="57" t="n"/>
      <c r="AV79" s="58">
        <f>AL79</f>
        <v/>
      </c>
      <c r="AW79" s="59" t="n"/>
      <c r="AX79" s="57" t="n"/>
      <c r="AY79" s="57" t="n"/>
      <c r="AZ79" s="57" t="n"/>
      <c r="BA79" s="57" t="n"/>
      <c r="BB79" s="60">
        <f>SUM(AX79:BA79)</f>
        <v/>
      </c>
      <c r="BC79" s="61" t="n"/>
      <c r="BD79" s="57" t="n"/>
      <c r="BE79" s="58">
        <f>AU79</f>
        <v/>
      </c>
      <c r="BF79" s="59" t="n"/>
      <c r="BG79" s="57" t="n"/>
      <c r="BH79" s="57" t="n"/>
      <c r="BI79" s="57" t="n"/>
      <c r="BJ79" s="57" t="n"/>
      <c r="BK79" s="60">
        <f>SUM(BG79:BJ79)</f>
        <v/>
      </c>
      <c r="BL79" s="61" t="n"/>
      <c r="BM79" s="57" t="n"/>
      <c r="BN79" s="58">
        <f>BD79</f>
        <v/>
      </c>
      <c r="BO79" s="59" t="n"/>
      <c r="BP79" s="57" t="n"/>
      <c r="BQ79" s="57" t="n"/>
      <c r="BR79" s="57" t="n"/>
      <c r="BS79" s="57" t="n"/>
      <c r="BT79" s="60">
        <f>SUM(BP79:BS79)</f>
        <v/>
      </c>
      <c r="BU79" s="61" t="n"/>
      <c r="BV79" s="57" t="n"/>
      <c r="BW79" s="58">
        <f>BM79</f>
        <v/>
      </c>
      <c r="BX79" s="59" t="n"/>
      <c r="BY79" s="57" t="n"/>
      <c r="BZ79" s="57" t="n"/>
      <c r="CA79" s="57" t="n"/>
      <c r="CB79" s="57" t="n"/>
      <c r="CC79" s="60">
        <f>SUM(BY79:CB79)</f>
        <v/>
      </c>
      <c r="CD79" s="61" t="n"/>
      <c r="CE79" s="57" t="n"/>
      <c r="CF79" s="58">
        <f>BV79</f>
        <v/>
      </c>
      <c r="CG79" s="59" t="n"/>
      <c r="CH79" s="57" t="n"/>
      <c r="CI79" s="57" t="n"/>
      <c r="CJ79" s="57" t="n"/>
      <c r="CK79" s="57" t="n"/>
      <c r="CL79" s="60">
        <f>SUM(CH79:CK79)</f>
        <v/>
      </c>
      <c r="CM79" s="61" t="n"/>
      <c r="CN79" s="57" t="n"/>
      <c r="CO79" s="58">
        <f>CE79</f>
        <v/>
      </c>
      <c r="CP79" s="59" t="n"/>
      <c r="CQ79" s="57" t="n"/>
      <c r="CR79" s="57" t="n"/>
      <c r="CS79" s="57" t="n"/>
      <c r="CT79" s="57" t="n"/>
      <c r="CU79" s="60">
        <f>SUM(CQ79:CT79)</f>
        <v/>
      </c>
      <c r="CV79" s="61" t="n"/>
      <c r="CW79" s="57" t="n"/>
      <c r="CX79" s="58">
        <f>CN79</f>
        <v/>
      </c>
      <c r="CY79" s="59" t="n"/>
      <c r="CZ79" s="57" t="n"/>
      <c r="DA79" s="57" t="n"/>
      <c r="DB79" s="57" t="n"/>
      <c r="DC79" s="57" t="n"/>
      <c r="DD79" s="60">
        <f>SUM(CZ79:DC79)</f>
        <v/>
      </c>
      <c r="DE79" s="61" t="n"/>
      <c r="DF79" s="57" t="n"/>
      <c r="DG79" s="58">
        <f>CW79</f>
        <v/>
      </c>
      <c r="DH79" s="59" t="n"/>
      <c r="DI79" s="57" t="n"/>
      <c r="DJ79" s="57" t="n"/>
      <c r="DK79" s="57" t="n"/>
      <c r="DL79" s="57" t="n"/>
      <c r="DM79" s="60">
        <f>SUM(DI79:DL79)</f>
        <v/>
      </c>
      <c r="DN79" s="61" t="n"/>
      <c r="DO79" s="57" t="n"/>
      <c r="DP79" s="58">
        <f>DF79</f>
        <v/>
      </c>
      <c r="DQ79" s="59" t="n"/>
      <c r="DR79" s="57" t="n"/>
      <c r="DS79" s="57" t="n"/>
      <c r="DT79" s="57" t="n"/>
      <c r="DU79" s="57" t="n"/>
      <c r="DV79" s="60">
        <f>SUM(DR79:DU79)</f>
        <v/>
      </c>
      <c r="DW79" s="61" t="n"/>
      <c r="DX79" s="57" t="n"/>
      <c r="DY79" s="58">
        <f>DO79</f>
        <v/>
      </c>
      <c r="DZ79" s="59" t="n"/>
      <c r="EA79" s="57" t="n"/>
      <c r="EB79" s="57" t="n"/>
      <c r="EC79" s="57" t="n"/>
      <c r="ED79" s="57" t="n"/>
      <c r="EE79" s="60">
        <f>SUM(EA79:ED79)</f>
        <v/>
      </c>
      <c r="EF79" s="61" t="n"/>
      <c r="EG79" s="57" t="n"/>
      <c r="EH79" s="58">
        <f>DX79</f>
        <v/>
      </c>
      <c r="EI79" s="59" t="n"/>
      <c r="EJ79" s="57" t="n"/>
      <c r="EK79" s="57" t="n"/>
      <c r="EL79" s="57" t="n"/>
      <c r="EM79" s="57" t="n"/>
      <c r="EN79" s="60">
        <f>SUM(EJ79:EM79)</f>
        <v/>
      </c>
      <c r="EO79" s="61" t="n"/>
      <c r="EP79" s="57" t="n"/>
      <c r="EQ79" s="58">
        <f>EG79</f>
        <v/>
      </c>
      <c r="ER79" s="59" t="n"/>
      <c r="ES79" s="57" t="n"/>
      <c r="ET79" s="57" t="n"/>
      <c r="EU79" s="57" t="n"/>
      <c r="EV79" s="57" t="n"/>
      <c r="EW79" s="60">
        <f>SUM(ES79:EV79)</f>
        <v/>
      </c>
      <c r="EX79" s="61" t="n"/>
      <c r="EY79" s="57" t="n"/>
      <c r="EZ79" s="58">
        <f>EP79</f>
        <v/>
      </c>
      <c r="FA79" s="59" t="n"/>
      <c r="FB79" s="57" t="n"/>
      <c r="FC79" s="57" t="n"/>
      <c r="FD79" s="57" t="n"/>
      <c r="FE79" s="57" t="n"/>
      <c r="FF79" s="60">
        <f>SUM(FB79:FE79)</f>
        <v/>
      </c>
      <c r="FG79" s="61" t="n"/>
      <c r="FH79" s="57" t="n"/>
      <c r="FI79" s="58">
        <f>EY79</f>
        <v/>
      </c>
      <c r="FJ79" s="59" t="n"/>
      <c r="FK79" s="57" t="n"/>
      <c r="FL79" s="57" t="n"/>
      <c r="FM79" s="57" t="n"/>
      <c r="FN79" s="57" t="n"/>
      <c r="FO79" s="60">
        <f>SUM(FK79:FN79)</f>
        <v/>
      </c>
      <c r="FP79" s="61" t="n"/>
      <c r="FQ79" s="57" t="n"/>
      <c r="FR79" s="58">
        <f>FH79</f>
        <v/>
      </c>
      <c r="FS79" s="59" t="n"/>
      <c r="FT79" s="57" t="n"/>
      <c r="FU79" s="57" t="n"/>
      <c r="FV79" s="57" t="n"/>
      <c r="FW79" s="57" t="n"/>
      <c r="FX79" s="60">
        <f>SUM(FT79:FW79)</f>
        <v/>
      </c>
      <c r="FY79" s="61" t="n"/>
      <c r="FZ79" s="57" t="n"/>
      <c r="GA79" s="58">
        <f>FQ79</f>
        <v/>
      </c>
      <c r="GB79" s="59" t="n"/>
      <c r="GC79" s="57" t="n"/>
      <c r="GD79" s="57" t="n"/>
      <c r="GE79" s="57" t="n"/>
      <c r="GF79" s="57" t="n"/>
      <c r="GG79" s="60">
        <f>SUM(GC79:GF79)</f>
        <v/>
      </c>
      <c r="GH79" s="61" t="n"/>
      <c r="GI79" s="57" t="n"/>
      <c r="GJ79" s="58">
        <f>FZ79</f>
        <v/>
      </c>
      <c r="GK79" s="59" t="n"/>
      <c r="GL79" s="57" t="n"/>
      <c r="GM79" s="57" t="n"/>
      <c r="GN79" s="57" t="n"/>
      <c r="GO79" s="57" t="n"/>
      <c r="GP79" s="60">
        <f>SUM(GL79:GO79)</f>
        <v/>
      </c>
      <c r="GQ79" s="61" t="n"/>
      <c r="GR79" s="57" t="n"/>
      <c r="GS79" s="58">
        <f>GI79</f>
        <v/>
      </c>
      <c r="GT79" s="59" t="n"/>
      <c r="GU79" s="57" t="n"/>
      <c r="GV79" s="57" t="n"/>
      <c r="GW79" s="57" t="n"/>
      <c r="GX79" s="57" t="n"/>
      <c r="GY79" s="60">
        <f>SUM(GU79:GX79)</f>
        <v/>
      </c>
      <c r="GZ79" s="61" t="n"/>
      <c r="HA79" s="57" t="n"/>
      <c r="HB79" s="58">
        <f>GR79</f>
        <v/>
      </c>
      <c r="HC79" s="59" t="n"/>
      <c r="HD79" s="57" t="n"/>
      <c r="HE79" s="57" t="n"/>
      <c r="HF79" s="57" t="n"/>
      <c r="HG79" s="57" t="n"/>
      <c r="HH79" s="60">
        <f>SUM(HD79:HG79)</f>
        <v/>
      </c>
      <c r="HI79" s="61" t="n"/>
      <c r="HJ79" s="57" t="n"/>
      <c r="HK79" s="58">
        <f>HA79</f>
        <v/>
      </c>
      <c r="HL79" s="59" t="n"/>
      <c r="HM79" s="57" t="n"/>
      <c r="HN79" s="57" t="n"/>
      <c r="HO79" s="57" t="n"/>
      <c r="HP79" s="57" t="n"/>
      <c r="HQ79" s="60">
        <f>SUM(HM79:HP79)</f>
        <v/>
      </c>
      <c r="HR79" s="61" t="n"/>
      <c r="HS79" s="57" t="n"/>
      <c r="HT79" s="58">
        <f>HJ79</f>
        <v/>
      </c>
      <c r="HU79" s="59" t="n"/>
      <c r="HV79" s="57" t="n"/>
      <c r="HW79" s="57" t="n"/>
      <c r="HX79" s="57" t="n"/>
      <c r="HY79" s="57" t="n"/>
      <c r="HZ79" s="60">
        <f>SUM(HV79:HY79)</f>
        <v/>
      </c>
      <c r="IA79" s="61" t="n"/>
      <c r="IB79" s="57" t="n"/>
      <c r="IC79" s="58">
        <f>HS79</f>
        <v/>
      </c>
      <c r="ID79" s="59" t="n"/>
      <c r="IE79" s="57" t="n"/>
      <c r="IF79" s="57" t="n"/>
      <c r="IG79" s="57" t="n"/>
      <c r="IH79" s="57" t="n"/>
      <c r="II79" s="60">
        <f>SUM(IE79:IH79)</f>
        <v/>
      </c>
      <c r="IJ79" s="61" t="n"/>
      <c r="IK79" s="57" t="n"/>
      <c r="IL79" s="58">
        <f>IB79</f>
        <v/>
      </c>
      <c r="IM79" s="59" t="n"/>
      <c r="IN79" s="57" t="n"/>
      <c r="IO79" s="57" t="n"/>
      <c r="IP79" s="57" t="n"/>
      <c r="IQ79" s="57" t="n"/>
      <c r="IR79" s="60">
        <f>SUM(IN79:IQ79)</f>
        <v/>
      </c>
      <c r="IS79" s="61" t="n"/>
      <c r="IT79" s="57" t="n"/>
      <c r="IU79" s="58">
        <f>IK79</f>
        <v/>
      </c>
      <c r="IV79" s="59" t="n"/>
      <c r="IW79" s="57" t="n"/>
      <c r="IX79" s="57" t="n"/>
      <c r="IY79" s="57" t="n"/>
      <c r="IZ79" s="57" t="n"/>
      <c r="JA79" s="60">
        <f>SUM(IW79:IZ79)</f>
        <v/>
      </c>
      <c r="JB79" s="61" t="n"/>
      <c r="JC79" s="57" t="n"/>
      <c r="JD79" s="58">
        <f>IT79</f>
        <v/>
      </c>
      <c r="JE79" s="59" t="n"/>
      <c r="JF79" s="57" t="n"/>
      <c r="JG79" s="57" t="n"/>
      <c r="JH79" s="57" t="n"/>
      <c r="JI79" s="57" t="n"/>
      <c r="JJ79" s="60">
        <f>SUM(JF79:JI79)</f>
        <v/>
      </c>
      <c r="JK79" s="61" t="n"/>
      <c r="JL79" s="57" t="n"/>
      <c r="JM79" s="58">
        <f>JC79</f>
        <v/>
      </c>
      <c r="JN79" s="59" t="n"/>
      <c r="JO79" s="57" t="n"/>
      <c r="JP79" s="57" t="n"/>
      <c r="JQ79" s="57" t="n"/>
      <c r="JR79" s="57" t="n"/>
      <c r="JS79" s="60">
        <f>SUM(JO79:JR79)</f>
        <v/>
      </c>
      <c r="JT79" s="61" t="n"/>
      <c r="JU79" s="62">
        <f>I79+R79+AA79+AJ79+AS79+BB79+BK79+BT79+CC79+CL79+CU79+DD79+DM79+DV79+EE79+EN79+EW79+FF79+FO79+FX79+GG79+GP79+GY79+HH79+HQ79+HZ79+II79+IR79+JA79+JJ79+JS79</f>
        <v/>
      </c>
      <c r="JV79" s="63">
        <f>D79+M79+V79+AE79+AN79+AW79+BF79+BO79+BX79+CG79+CP79+CY79+DH79+DQ79+DZ79+EI79+ER79+FA79+FJ79+FS79+GB79+GK79+GT79+HC79+HL79+HU79+ID79+IM79+IV79+JE79+JN79</f>
        <v/>
      </c>
      <c r="JW79" s="62">
        <f>CHOOSE($Z$3,B79, K79, T79, AC79, AL79, AU79, BD79, BM79, BV79, CE79, CN79, CW79, DF79, DO79, DX79, EG79, EP79, EY79, FH79, FQ79, FZ79, GI79, GR79, HA79, HJ79, HS79, IB79, IK79, IT79, JC79, JL79)</f>
        <v/>
      </c>
      <c r="JX79" s="62">
        <f>IFERROR(JU79/$Z$3,0)</f>
        <v/>
      </c>
      <c r="JY79" s="62">
        <f>Configurações!$C$19</f>
        <v/>
      </c>
      <c r="JZ79" s="64">
        <f>IF(JY79=0,"— Sem meta",IF(JU79&gt;=JY79,"✓ Atingida","Em andamento"))</f>
        <v/>
      </c>
      <c r="KA79" s="65">
        <f>JU79+(1*0.0000001)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66:JZ79"/>
  <mergeCells count="65">
    <mergeCell ref="C6:D6"/>
    <mergeCell ref="I6:J6"/>
    <mergeCell ref="G10:I10"/>
    <mergeCell ref="T65:AB65"/>
    <mergeCell ref="CW65:DE65"/>
    <mergeCell ref="IK65:IS65"/>
    <mergeCell ref="FH65:FP65"/>
    <mergeCell ref="JV65:JV66"/>
    <mergeCell ref="C5:D5"/>
    <mergeCell ref="EY65:FG65"/>
    <mergeCell ref="JY65:JY66"/>
    <mergeCell ref="A2:KA2"/>
    <mergeCell ref="E5:F5"/>
    <mergeCell ref="K5:L5"/>
    <mergeCell ref="J9:L9"/>
    <mergeCell ref="AU65:BC65"/>
    <mergeCell ref="GI65:GQ65"/>
    <mergeCell ref="HJ65:HR65"/>
    <mergeCell ref="A6:B6"/>
    <mergeCell ref="A12:L12"/>
    <mergeCell ref="A65:A66"/>
    <mergeCell ref="JL65:JT65"/>
    <mergeCell ref="A8:L8"/>
    <mergeCell ref="FQ65:FY65"/>
    <mergeCell ref="D9:F9"/>
    <mergeCell ref="G6:H6"/>
    <mergeCell ref="B65:J65"/>
    <mergeCell ref="HS65:IA65"/>
    <mergeCell ref="AC65:AK65"/>
    <mergeCell ref="BD65:BL65"/>
    <mergeCell ref="A4:L4"/>
    <mergeCell ref="DO65:DW65"/>
    <mergeCell ref="A10:C10"/>
    <mergeCell ref="CE65:CM65"/>
    <mergeCell ref="DF65:DN65"/>
    <mergeCell ref="E6:F6"/>
    <mergeCell ref="EG65:EO65"/>
    <mergeCell ref="JX65:JX66"/>
    <mergeCell ref="JZ65:JZ66"/>
    <mergeCell ref="K65:S65"/>
    <mergeCell ref="A5:B5"/>
    <mergeCell ref="G5:H5"/>
    <mergeCell ref="A9:C9"/>
    <mergeCell ref="G9:I9"/>
    <mergeCell ref="I5:J5"/>
    <mergeCell ref="A64:KA64"/>
    <mergeCell ref="IT65:JB65"/>
    <mergeCell ref="A1:KA1"/>
    <mergeCell ref="D10:F10"/>
    <mergeCell ref="BV65:CD65"/>
    <mergeCell ref="IB65:IJ65"/>
    <mergeCell ref="CN65:CV65"/>
    <mergeCell ref="BM65:BU65"/>
    <mergeCell ref="DX65:EF65"/>
    <mergeCell ref="JU65:JU66"/>
    <mergeCell ref="J10:L10"/>
    <mergeCell ref="EP65:EX65"/>
    <mergeCell ref="JW65:JW66"/>
    <mergeCell ref="FZ65:GH65"/>
    <mergeCell ref="KA65:KA66"/>
    <mergeCell ref="HA65:HI65"/>
    <mergeCell ref="AL65:AT65"/>
    <mergeCell ref="GR65:GZ65"/>
    <mergeCell ref="JC65:JK65"/>
    <mergeCell ref="K6:L6"/>
  </mergeCells>
  <conditionalFormatting sqref="H14:H26">
    <cfRule type="expression" priority="1" dxfId="0">
      <formula>ISNUMBER(SEARCH("Atingida",H14))</formula>
    </cfRule>
  </conditionalFormatting>
  <conditionalFormatting sqref="B65:JT79">
    <cfRule type="expression" priority="2" dxfId="1">
      <formula>$Z$3&lt;INT((COLUMN()-2)/9)+1</formula>
    </cfRule>
  </conditionalFormatting>
  <conditionalFormatting sqref="D67:D79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I67:I79">
    <cfRule type="colorScale" priority="5">
      <colorScale>
        <cfvo type="min"/>
        <cfvo type="max"/>
        <color rgb="00FFFFFF"/>
        <color rgb="0063BE7B"/>
      </colorScale>
    </cfRule>
  </conditionalFormatting>
  <conditionalFormatting sqref="M67:M79">
    <cfRule type="cellIs" priority="6" operator="greaterThan" dxfId="2">
      <formula>0</formula>
    </cfRule>
    <cfRule type="cellIs" priority="7" operator="lessThan" dxfId="3">
      <formula>0</formula>
    </cfRule>
  </conditionalFormatting>
  <conditionalFormatting sqref="R67:R79">
    <cfRule type="colorScale" priority="8">
      <colorScale>
        <cfvo type="min"/>
        <cfvo type="max"/>
        <color rgb="00FFFFFF"/>
        <color rgb="0063BE7B"/>
      </colorScale>
    </cfRule>
  </conditionalFormatting>
  <conditionalFormatting sqref="V67:V79">
    <cfRule type="cellIs" priority="9" operator="greaterThan" dxfId="2">
      <formula>0</formula>
    </cfRule>
    <cfRule type="cellIs" priority="10" operator="lessThan" dxfId="3">
      <formula>0</formula>
    </cfRule>
  </conditionalFormatting>
  <conditionalFormatting sqref="AA67:AA79">
    <cfRule type="colorScale" priority="11">
      <colorScale>
        <cfvo type="min"/>
        <cfvo type="max"/>
        <color rgb="00FFFFFF"/>
        <color rgb="0063BE7B"/>
      </colorScale>
    </cfRule>
  </conditionalFormatting>
  <conditionalFormatting sqref="AE67:AE79">
    <cfRule type="cellIs" priority="12" operator="greaterThan" dxfId="2">
      <formula>0</formula>
    </cfRule>
    <cfRule type="cellIs" priority="13" operator="lessThan" dxfId="3">
      <formula>0</formula>
    </cfRule>
  </conditionalFormatting>
  <conditionalFormatting sqref="AJ67:AJ79">
    <cfRule type="colorScale" priority="14">
      <colorScale>
        <cfvo type="min"/>
        <cfvo type="max"/>
        <color rgb="00FFFFFF"/>
        <color rgb="0063BE7B"/>
      </colorScale>
    </cfRule>
  </conditionalFormatting>
  <conditionalFormatting sqref="AN67:AN79">
    <cfRule type="cellIs" priority="15" operator="greaterThan" dxfId="2">
      <formula>0</formula>
    </cfRule>
    <cfRule type="cellIs" priority="16" operator="lessThan" dxfId="3">
      <formula>0</formula>
    </cfRule>
  </conditionalFormatting>
  <conditionalFormatting sqref="AS67:AS79">
    <cfRule type="colorScale" priority="17">
      <colorScale>
        <cfvo type="min"/>
        <cfvo type="max"/>
        <color rgb="00FFFFFF"/>
        <color rgb="0063BE7B"/>
      </colorScale>
    </cfRule>
  </conditionalFormatting>
  <conditionalFormatting sqref="AW67:AW79">
    <cfRule type="cellIs" priority="18" operator="greaterThan" dxfId="2">
      <formula>0</formula>
    </cfRule>
    <cfRule type="cellIs" priority="19" operator="lessThan" dxfId="3">
      <formula>0</formula>
    </cfRule>
  </conditionalFormatting>
  <conditionalFormatting sqref="BB67:BB79">
    <cfRule type="colorScale" priority="20">
      <colorScale>
        <cfvo type="min"/>
        <cfvo type="max"/>
        <color rgb="00FFFFFF"/>
        <color rgb="0063BE7B"/>
      </colorScale>
    </cfRule>
  </conditionalFormatting>
  <conditionalFormatting sqref="BF67:BF79">
    <cfRule type="cellIs" priority="21" operator="greaterThan" dxfId="2">
      <formula>0</formula>
    </cfRule>
    <cfRule type="cellIs" priority="22" operator="lessThan" dxfId="3">
      <formula>0</formula>
    </cfRule>
  </conditionalFormatting>
  <conditionalFormatting sqref="BK67:BK79">
    <cfRule type="colorScale" priority="23">
      <colorScale>
        <cfvo type="min"/>
        <cfvo type="max"/>
        <color rgb="00FFFFFF"/>
        <color rgb="0063BE7B"/>
      </colorScale>
    </cfRule>
  </conditionalFormatting>
  <conditionalFormatting sqref="BO67:BO79">
    <cfRule type="cellIs" priority="24" operator="greaterThan" dxfId="2">
      <formula>0</formula>
    </cfRule>
    <cfRule type="cellIs" priority="25" operator="lessThan" dxfId="3">
      <formula>0</formula>
    </cfRule>
  </conditionalFormatting>
  <conditionalFormatting sqref="BT67:BT79">
    <cfRule type="colorScale" priority="26">
      <colorScale>
        <cfvo type="min"/>
        <cfvo type="max"/>
        <color rgb="00FFFFFF"/>
        <color rgb="0063BE7B"/>
      </colorScale>
    </cfRule>
  </conditionalFormatting>
  <conditionalFormatting sqref="BX67:BX79">
    <cfRule type="cellIs" priority="27" operator="greaterThan" dxfId="2">
      <formula>0</formula>
    </cfRule>
    <cfRule type="cellIs" priority="28" operator="lessThan" dxfId="3">
      <formula>0</formula>
    </cfRule>
  </conditionalFormatting>
  <conditionalFormatting sqref="CC67:CC79">
    <cfRule type="colorScale" priority="29">
      <colorScale>
        <cfvo type="min"/>
        <cfvo type="max"/>
        <color rgb="00FFFFFF"/>
        <color rgb="0063BE7B"/>
      </colorScale>
    </cfRule>
  </conditionalFormatting>
  <conditionalFormatting sqref="CG67:CG79">
    <cfRule type="cellIs" priority="30" operator="greaterThan" dxfId="2">
      <formula>0</formula>
    </cfRule>
    <cfRule type="cellIs" priority="31" operator="lessThan" dxfId="3">
      <formula>0</formula>
    </cfRule>
  </conditionalFormatting>
  <conditionalFormatting sqref="CL67:CL79">
    <cfRule type="colorScale" priority="32">
      <colorScale>
        <cfvo type="min"/>
        <cfvo type="max"/>
        <color rgb="00FFFFFF"/>
        <color rgb="0063BE7B"/>
      </colorScale>
    </cfRule>
  </conditionalFormatting>
  <conditionalFormatting sqref="CP67:CP79">
    <cfRule type="cellIs" priority="33" operator="greaterThan" dxfId="2">
      <formula>0</formula>
    </cfRule>
    <cfRule type="cellIs" priority="34" operator="lessThan" dxfId="3">
      <formula>0</formula>
    </cfRule>
  </conditionalFormatting>
  <conditionalFormatting sqref="CU67:CU79">
    <cfRule type="colorScale" priority="35">
      <colorScale>
        <cfvo type="min"/>
        <cfvo type="max"/>
        <color rgb="00FFFFFF"/>
        <color rgb="0063BE7B"/>
      </colorScale>
    </cfRule>
  </conditionalFormatting>
  <conditionalFormatting sqref="CY67:CY79">
    <cfRule type="cellIs" priority="36" operator="greaterThan" dxfId="2">
      <formula>0</formula>
    </cfRule>
    <cfRule type="cellIs" priority="37" operator="lessThan" dxfId="3">
      <formula>0</formula>
    </cfRule>
  </conditionalFormatting>
  <conditionalFormatting sqref="DD67:DD79">
    <cfRule type="colorScale" priority="38">
      <colorScale>
        <cfvo type="min"/>
        <cfvo type="max"/>
        <color rgb="00FFFFFF"/>
        <color rgb="0063BE7B"/>
      </colorScale>
    </cfRule>
  </conditionalFormatting>
  <conditionalFormatting sqref="DH67:DH79">
    <cfRule type="cellIs" priority="39" operator="greaterThan" dxfId="2">
      <formula>0</formula>
    </cfRule>
    <cfRule type="cellIs" priority="40" operator="lessThan" dxfId="3">
      <formula>0</formula>
    </cfRule>
  </conditionalFormatting>
  <conditionalFormatting sqref="DM67:DM79">
    <cfRule type="colorScale" priority="41">
      <colorScale>
        <cfvo type="min"/>
        <cfvo type="max"/>
        <color rgb="00FFFFFF"/>
        <color rgb="0063BE7B"/>
      </colorScale>
    </cfRule>
  </conditionalFormatting>
  <conditionalFormatting sqref="DQ67:DQ79">
    <cfRule type="cellIs" priority="42" operator="greaterThan" dxfId="2">
      <formula>0</formula>
    </cfRule>
    <cfRule type="cellIs" priority="43" operator="lessThan" dxfId="3">
      <formula>0</formula>
    </cfRule>
  </conditionalFormatting>
  <conditionalFormatting sqref="DV67:DV79">
    <cfRule type="colorScale" priority="44">
      <colorScale>
        <cfvo type="min"/>
        <cfvo type="max"/>
        <color rgb="00FFFFFF"/>
        <color rgb="0063BE7B"/>
      </colorScale>
    </cfRule>
  </conditionalFormatting>
  <conditionalFormatting sqref="DZ67:DZ79">
    <cfRule type="cellIs" priority="45" operator="greaterThan" dxfId="2">
      <formula>0</formula>
    </cfRule>
    <cfRule type="cellIs" priority="46" operator="lessThan" dxfId="3">
      <formula>0</formula>
    </cfRule>
  </conditionalFormatting>
  <conditionalFormatting sqref="EE67:EE79">
    <cfRule type="colorScale" priority="47">
      <colorScale>
        <cfvo type="min"/>
        <cfvo type="max"/>
        <color rgb="00FFFFFF"/>
        <color rgb="0063BE7B"/>
      </colorScale>
    </cfRule>
  </conditionalFormatting>
  <conditionalFormatting sqref="EI67:EI79">
    <cfRule type="cellIs" priority="48" operator="greaterThan" dxfId="2">
      <formula>0</formula>
    </cfRule>
    <cfRule type="cellIs" priority="49" operator="lessThan" dxfId="3">
      <formula>0</formula>
    </cfRule>
  </conditionalFormatting>
  <conditionalFormatting sqref="EN67:EN79">
    <cfRule type="colorScale" priority="50">
      <colorScale>
        <cfvo type="min"/>
        <cfvo type="max"/>
        <color rgb="00FFFFFF"/>
        <color rgb="0063BE7B"/>
      </colorScale>
    </cfRule>
  </conditionalFormatting>
  <conditionalFormatting sqref="ER67:ER79">
    <cfRule type="cellIs" priority="51" operator="greaterThan" dxfId="2">
      <formula>0</formula>
    </cfRule>
    <cfRule type="cellIs" priority="52" operator="lessThan" dxfId="3">
      <formula>0</formula>
    </cfRule>
  </conditionalFormatting>
  <conditionalFormatting sqref="EW67:EW79">
    <cfRule type="colorScale" priority="53">
      <colorScale>
        <cfvo type="min"/>
        <cfvo type="max"/>
        <color rgb="00FFFFFF"/>
        <color rgb="0063BE7B"/>
      </colorScale>
    </cfRule>
  </conditionalFormatting>
  <conditionalFormatting sqref="FA67:FA79">
    <cfRule type="cellIs" priority="54" operator="greaterThan" dxfId="2">
      <formula>0</formula>
    </cfRule>
    <cfRule type="cellIs" priority="55" operator="lessThan" dxfId="3">
      <formula>0</formula>
    </cfRule>
  </conditionalFormatting>
  <conditionalFormatting sqref="FF67:FF79">
    <cfRule type="colorScale" priority="56">
      <colorScale>
        <cfvo type="min"/>
        <cfvo type="max"/>
        <color rgb="00FFFFFF"/>
        <color rgb="0063BE7B"/>
      </colorScale>
    </cfRule>
  </conditionalFormatting>
  <conditionalFormatting sqref="FJ67:FJ79">
    <cfRule type="cellIs" priority="57" operator="greaterThan" dxfId="2">
      <formula>0</formula>
    </cfRule>
    <cfRule type="cellIs" priority="58" operator="lessThan" dxfId="3">
      <formula>0</formula>
    </cfRule>
  </conditionalFormatting>
  <conditionalFormatting sqref="FO67:FO79">
    <cfRule type="colorScale" priority="59">
      <colorScale>
        <cfvo type="min"/>
        <cfvo type="max"/>
        <color rgb="00FFFFFF"/>
        <color rgb="0063BE7B"/>
      </colorScale>
    </cfRule>
  </conditionalFormatting>
  <conditionalFormatting sqref="FS67:FS79">
    <cfRule type="cellIs" priority="60" operator="greaterThan" dxfId="2">
      <formula>0</formula>
    </cfRule>
    <cfRule type="cellIs" priority="61" operator="lessThan" dxfId="3">
      <formula>0</formula>
    </cfRule>
  </conditionalFormatting>
  <conditionalFormatting sqref="FX67:FX79">
    <cfRule type="colorScale" priority="62">
      <colorScale>
        <cfvo type="min"/>
        <cfvo type="max"/>
        <color rgb="00FFFFFF"/>
        <color rgb="0063BE7B"/>
      </colorScale>
    </cfRule>
  </conditionalFormatting>
  <conditionalFormatting sqref="GB67:GB79">
    <cfRule type="cellIs" priority="63" operator="greaterThan" dxfId="2">
      <formula>0</formula>
    </cfRule>
    <cfRule type="cellIs" priority="64" operator="lessThan" dxfId="3">
      <formula>0</formula>
    </cfRule>
  </conditionalFormatting>
  <conditionalFormatting sqref="GG67:GG79">
    <cfRule type="colorScale" priority="65">
      <colorScale>
        <cfvo type="min"/>
        <cfvo type="max"/>
        <color rgb="00FFFFFF"/>
        <color rgb="0063BE7B"/>
      </colorScale>
    </cfRule>
  </conditionalFormatting>
  <conditionalFormatting sqref="GK67:GK79">
    <cfRule type="cellIs" priority="66" operator="greaterThan" dxfId="2">
      <formula>0</formula>
    </cfRule>
    <cfRule type="cellIs" priority="67" operator="lessThan" dxfId="3">
      <formula>0</formula>
    </cfRule>
  </conditionalFormatting>
  <conditionalFormatting sqref="GP67:GP79">
    <cfRule type="colorScale" priority="68">
      <colorScale>
        <cfvo type="min"/>
        <cfvo type="max"/>
        <color rgb="00FFFFFF"/>
        <color rgb="0063BE7B"/>
      </colorScale>
    </cfRule>
  </conditionalFormatting>
  <conditionalFormatting sqref="GT67:GT79">
    <cfRule type="cellIs" priority="69" operator="greaterThan" dxfId="2">
      <formula>0</formula>
    </cfRule>
    <cfRule type="cellIs" priority="70" operator="lessThan" dxfId="3">
      <formula>0</formula>
    </cfRule>
  </conditionalFormatting>
  <conditionalFormatting sqref="GY67:GY79">
    <cfRule type="colorScale" priority="71">
      <colorScale>
        <cfvo type="min"/>
        <cfvo type="max"/>
        <color rgb="00FFFFFF"/>
        <color rgb="0063BE7B"/>
      </colorScale>
    </cfRule>
  </conditionalFormatting>
  <conditionalFormatting sqref="HC67:HC79">
    <cfRule type="cellIs" priority="72" operator="greaterThan" dxfId="2">
      <formula>0</formula>
    </cfRule>
    <cfRule type="cellIs" priority="73" operator="lessThan" dxfId="3">
      <formula>0</formula>
    </cfRule>
  </conditionalFormatting>
  <conditionalFormatting sqref="HH67:HH79">
    <cfRule type="colorScale" priority="74">
      <colorScale>
        <cfvo type="min"/>
        <cfvo type="max"/>
        <color rgb="00FFFFFF"/>
        <color rgb="0063BE7B"/>
      </colorScale>
    </cfRule>
  </conditionalFormatting>
  <conditionalFormatting sqref="HL67:HL79">
    <cfRule type="cellIs" priority="75" operator="greaterThan" dxfId="2">
      <formula>0</formula>
    </cfRule>
    <cfRule type="cellIs" priority="76" operator="lessThan" dxfId="3">
      <formula>0</formula>
    </cfRule>
  </conditionalFormatting>
  <conditionalFormatting sqref="HQ67:HQ79">
    <cfRule type="colorScale" priority="77">
      <colorScale>
        <cfvo type="min"/>
        <cfvo type="max"/>
        <color rgb="00FFFFFF"/>
        <color rgb="0063BE7B"/>
      </colorScale>
    </cfRule>
  </conditionalFormatting>
  <conditionalFormatting sqref="HU67:HU79">
    <cfRule type="cellIs" priority="78" operator="greaterThan" dxfId="2">
      <formula>0</formula>
    </cfRule>
    <cfRule type="cellIs" priority="79" operator="lessThan" dxfId="3">
      <formula>0</formula>
    </cfRule>
  </conditionalFormatting>
  <conditionalFormatting sqref="HZ67:HZ79">
    <cfRule type="colorScale" priority="80">
      <colorScale>
        <cfvo type="min"/>
        <cfvo type="max"/>
        <color rgb="00FFFFFF"/>
        <color rgb="0063BE7B"/>
      </colorScale>
    </cfRule>
  </conditionalFormatting>
  <conditionalFormatting sqref="ID67:ID79">
    <cfRule type="cellIs" priority="81" operator="greaterThan" dxfId="2">
      <formula>0</formula>
    </cfRule>
    <cfRule type="cellIs" priority="82" operator="lessThan" dxfId="3">
      <formula>0</formula>
    </cfRule>
  </conditionalFormatting>
  <conditionalFormatting sqref="II67:II79">
    <cfRule type="colorScale" priority="83">
      <colorScale>
        <cfvo type="min"/>
        <cfvo type="max"/>
        <color rgb="00FFFFFF"/>
        <color rgb="0063BE7B"/>
      </colorScale>
    </cfRule>
  </conditionalFormatting>
  <conditionalFormatting sqref="IM67:IM79">
    <cfRule type="cellIs" priority="84" operator="greaterThan" dxfId="2">
      <formula>0</formula>
    </cfRule>
    <cfRule type="cellIs" priority="85" operator="lessThan" dxfId="3">
      <formula>0</formula>
    </cfRule>
  </conditionalFormatting>
  <conditionalFormatting sqref="IR67:IR79">
    <cfRule type="colorScale" priority="86">
      <colorScale>
        <cfvo type="min"/>
        <cfvo type="max"/>
        <color rgb="00FFFFFF"/>
        <color rgb="0063BE7B"/>
      </colorScale>
    </cfRule>
  </conditionalFormatting>
  <conditionalFormatting sqref="IV67:IV79">
    <cfRule type="cellIs" priority="87" operator="greaterThan" dxfId="2">
      <formula>0</formula>
    </cfRule>
    <cfRule type="cellIs" priority="88" operator="lessThan" dxfId="3">
      <formula>0</formula>
    </cfRule>
  </conditionalFormatting>
  <conditionalFormatting sqref="JA67:JA79">
    <cfRule type="colorScale" priority="89">
      <colorScale>
        <cfvo type="min"/>
        <cfvo type="max"/>
        <color rgb="00FFFFFF"/>
        <color rgb="0063BE7B"/>
      </colorScale>
    </cfRule>
  </conditionalFormatting>
  <conditionalFormatting sqref="JE67:JE79">
    <cfRule type="cellIs" priority="90" operator="greaterThan" dxfId="2">
      <formula>0</formula>
    </cfRule>
    <cfRule type="cellIs" priority="91" operator="lessThan" dxfId="3">
      <formula>0</formula>
    </cfRule>
  </conditionalFormatting>
  <conditionalFormatting sqref="JJ67:JJ79">
    <cfRule type="colorScale" priority="92">
      <colorScale>
        <cfvo type="min"/>
        <cfvo type="max"/>
        <color rgb="00FFFFFF"/>
        <color rgb="0063BE7B"/>
      </colorScale>
    </cfRule>
  </conditionalFormatting>
  <conditionalFormatting sqref="JN67:JN79">
    <cfRule type="cellIs" priority="93" operator="greaterThan" dxfId="2">
      <formula>0</formula>
    </cfRule>
    <cfRule type="cellIs" priority="94" operator="lessThan" dxfId="3">
      <formula>0</formula>
    </cfRule>
  </conditionalFormatting>
  <conditionalFormatting sqref="JS67:JS79">
    <cfRule type="colorScale" priority="95">
      <colorScale>
        <cfvo type="min"/>
        <cfvo type="max"/>
        <color rgb="00FFFFFF"/>
        <color rgb="0063BE7B"/>
      </colorScale>
    </cfRule>
  </conditionalFormatting>
  <conditionalFormatting sqref="JZ67:JZ79">
    <cfRule type="expression" priority="96" dxfId="0">
      <formula>ISNUMBER(SEARCH("Atingida",JZ67))</formula>
    </cfRule>
  </conditionalFormatting>
  <dataValidations count="4">
    <dataValidation sqref="B67:B79 K67:K79 T67:T79 AC67:AC79 AL67:AL79 AU67:AU79 BD67:BD79 BM67:BM79 BV67:BV79 CE67:CE79 CN67:CN79 CW67:CW79 DF67:DF79 DO67:DO79 DX67:DX79 EG67:EG79 EP67:EP79 EY67:EY79 FH67:FH79 FQ67:FQ79 FZ67:FZ79 GI67:GI79 GR67:GR79 HA67:HA79 HJ67:HJ79 HS67:HS79 IB67:IB79 IK67:IK79 IT67:IT79 JC67:JC79 JL67:JL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D67:D79 M67:M79 V67:V79 AE67:AE79 AN67:AN79 AW67:AW79 BF67:BF79 BO67:BO79 BX67:BX79 CG67:CG79 CP67:CP79 CY67:CY79 DH67:DH79 DQ67:DQ79 DZ67:DZ79 EI67:EI79 ER67:ER79 FA67:FA79 FJ67:FJ79 FS67:FS79 GB67:GB79 GK67:GK79 GT67:GT79 HC67:HC79 HL67:HL79 HU67:HU79 ID67:ID79 IM67:IM79 IV67:IV79 JE67:JE79 JN67:JN79" showDropDown="0" showInputMessage="0" showErrorMessage="1" allowBlank="1" errorTitle="Valor inválido" error="Informe um valor numérico (positivo ou negativo)." type="decimal" operator="between">
      <formula1>-999999999</formula1>
      <formula2>999999999</formula2>
    </dataValidation>
    <dataValidation sqref="E67:E79 F67:F79 G67:G79 H67:H79 N67:N79 O67:O79 P67:P79 Q67:Q79 W67:W79 X67:X79 Y67:Y79 Z67:Z79 AF67:AF79 AG67:AG79 AH67:AH79 AI67:AI79 AO67:AO79 AP67:AP79 AQ67:AQ79 AR67:AR79 AX67:AX79 AY67:AY79 AZ67:AZ79 BA67:BA79 BG67:BG79 BH67:BH79 BI67:BI79 BJ67:BJ79 BP67:BP79 BQ67:BQ79 BR67:BR79 BS67:BS79 BY67:BY79 BZ67:BZ79 CA67:CA79 CB67:CB79 CH67:CH79 CI67:CI79 CJ67:CJ79 CK67:CK79 CQ67:CQ79 CR67:CR79 CS67:CS79 CT67:CT79 CZ67:CZ79 DA67:DA79 DB67:DB79 DC67:DC79 DI67:DI79 DJ67:DJ79 DK67:DK79 DL67:DL79 DR67:DR79 DS67:DS79 DT67:DT79 DU67:DU79 EA67:EA79 EB67:EB79 EC67:EC79 ED67:ED79 EJ67:EJ79 EK67:EK79 EL67:EL79 EM67:EM79 ES67:ES79 ET67:ET79 EU67:EU79 EV67:EV79 FB67:FB79 FC67:FC79 FD67:FD79 FE67:FE79 FK67:FK79 FL67:FL79 FM67:FM79 FN67:FN79 FT67:FT79 FU67:FU79 FV67:FV79 FW67:FW79 GC67:GC79 GD67:GD79 GE67:GE79 GF67:GF79 GL67:GL79 GM67:GM79 GN67:GN79 GO67:GO79 GU67:GU79 GV67:GV79 GW67:GW79 GX67:GX79 HD67:HD79 HE67:HE79 HF67:HF79 HG67:HG79 HM67:HM79 HN67:HN79 HO67:HO79 HP67:HP79 HV67:HV79 HW67:HW79 HX67:HX79 HY67:HY79 IE67:IE79 IF67:IF79 IG67:IG79 IH67:IH79 IN67:IN79 IO67:IO79 IP67:IP79 IQ67:IQ79 IW67:IW79 IX67:IX79 IY67:IY79 IZ67:IZ79 JF67:JF79 JG67:JG79 JH67:JH79 JI67:JI79 JO67:JO79 JP67:JP79 JQ67:JQ79 JR67:JR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J67:J79 S67:S79 AB67:AB79 AK67:AK79 AT67:AT79 BC67:BC79 BL67:BL79 BU67:BU79 CD67:CD79 CM67:CM79 CV67:CV79 DE67:DE79 DN67:DN79 DW67:DW79 EF67:EF79 EO67:EO79 EX67:EX79 FG67:FG79 FP67:FP79 FY67:FY79 GH67:GH79 GQ67:GQ79 GZ67:GZ79 HI67:HI79 HR67:HR79 IA67:IA79 IJ67:IJ79 IS67:IS79 JB67:JB79 JK67:JK79 JT67:JT79" showDropDown="0" showInputMessage="0" showErrorMessage="1" allowBlank="1" errorTitle="Texto muito longo" error="Limite de 300 caracteres." type="textLength" operator="lessThanOrEqual">
      <formula1>300</formula1>
    </dataValidation>
  </dataValidations>
  <pageMargins left="0.75" right="0.75" top="1" bottom="1" header="0.5" footer="0.5"/>
  <pageSetup orientation="landscape" fitToHeight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I79"/>
  <sheetViews>
    <sheetView showGridLines="0" zoomScale="90" workbookViewId="0">
      <pane xSplit="1" ySplit="66" topLeftCell="B6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11" customWidth="1" min="5" max="5"/>
    <col width="12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4" customWidth="1" min="13" max="13"/>
    <col width="11" customWidth="1" min="14" max="14"/>
    <col width="12" customWidth="1" min="15" max="15"/>
    <col width="13" customWidth="1" min="16" max="16"/>
    <col width="13" customWidth="1" min="17" max="17"/>
    <col width="13" customWidth="1" min="18" max="18"/>
    <col width="20" customWidth="1" min="19" max="19"/>
    <col width="13" customWidth="1" min="20" max="20"/>
    <col width="13" customWidth="1" min="21" max="21"/>
    <col width="14" customWidth="1" min="22" max="22"/>
    <col width="11" customWidth="1" min="23" max="23"/>
    <col width="12" customWidth="1" min="24" max="24"/>
    <col width="13" customWidth="1" min="25" max="25"/>
    <col width="13" customWidth="1" min="26" max="26"/>
    <col width="13" customWidth="1" min="27" max="27"/>
    <col width="20" customWidth="1" min="28" max="28"/>
    <col width="13" customWidth="1" min="29" max="29"/>
    <col width="13" customWidth="1" min="30" max="30"/>
    <col width="14" customWidth="1" min="31" max="31"/>
    <col width="11" customWidth="1" min="32" max="32"/>
    <col width="12" customWidth="1" min="33" max="33"/>
    <col width="13" customWidth="1" min="34" max="34"/>
    <col width="13" customWidth="1" min="35" max="35"/>
    <col width="13" customWidth="1" min="36" max="36"/>
    <col width="20" customWidth="1" min="37" max="37"/>
    <col width="13" customWidth="1" min="38" max="38"/>
    <col width="13" customWidth="1" min="39" max="39"/>
    <col width="14" customWidth="1" min="40" max="40"/>
    <col width="11" customWidth="1" min="41" max="41"/>
    <col width="12" customWidth="1" min="42" max="42"/>
    <col width="13" customWidth="1" min="43" max="43"/>
    <col width="13" customWidth="1" min="44" max="44"/>
    <col width="13" customWidth="1" min="45" max="45"/>
    <col width="20" customWidth="1" min="46" max="46"/>
    <col width="13" customWidth="1" min="47" max="47"/>
    <col width="13" customWidth="1" min="48" max="48"/>
    <col width="14" customWidth="1" min="49" max="49"/>
    <col width="11" customWidth="1" min="50" max="50"/>
    <col width="12" customWidth="1" min="51" max="51"/>
    <col width="13" customWidth="1" min="52" max="52"/>
    <col width="13" customWidth="1" min="53" max="53"/>
    <col width="13" customWidth="1" min="54" max="54"/>
    <col width="20" customWidth="1" min="55" max="55"/>
    <col width="13" customWidth="1" min="56" max="56"/>
    <col width="13" customWidth="1" min="57" max="57"/>
    <col width="14" customWidth="1" min="58" max="58"/>
    <col width="11" customWidth="1" min="59" max="59"/>
    <col width="12" customWidth="1" min="60" max="60"/>
    <col width="13" customWidth="1" min="61" max="61"/>
    <col width="13" customWidth="1" min="62" max="62"/>
    <col width="13" customWidth="1" min="63" max="63"/>
    <col width="20" customWidth="1" min="64" max="64"/>
    <col width="13" customWidth="1" min="65" max="65"/>
    <col width="13" customWidth="1" min="66" max="66"/>
    <col width="14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20" customWidth="1" min="73" max="73"/>
    <col width="13" customWidth="1" min="74" max="74"/>
    <col width="13" customWidth="1" min="75" max="75"/>
    <col width="14" customWidth="1" min="76" max="76"/>
    <col width="11" customWidth="1" min="77" max="77"/>
    <col width="12" customWidth="1" min="78" max="78"/>
    <col width="13" customWidth="1" min="79" max="79"/>
    <col width="13" customWidth="1" min="80" max="80"/>
    <col width="13" customWidth="1" min="81" max="81"/>
    <col width="20" customWidth="1" min="82" max="82"/>
    <col width="13" customWidth="1" min="83" max="83"/>
    <col width="13" customWidth="1" min="84" max="84"/>
    <col width="14" customWidth="1" min="85" max="85"/>
    <col width="11" customWidth="1" min="86" max="86"/>
    <col width="12" customWidth="1" min="87" max="87"/>
    <col width="13" customWidth="1" min="88" max="88"/>
    <col width="13" customWidth="1" min="89" max="89"/>
    <col width="13" customWidth="1" min="90" max="90"/>
    <col width="20" customWidth="1" min="91" max="91"/>
    <col width="13" customWidth="1" min="92" max="92"/>
    <col width="13" customWidth="1" min="93" max="93"/>
    <col width="14" customWidth="1" min="94" max="94"/>
    <col width="11" customWidth="1" min="95" max="95"/>
    <col width="12" customWidth="1" min="96" max="96"/>
    <col width="13" customWidth="1" min="97" max="97"/>
    <col width="13" customWidth="1" min="98" max="98"/>
    <col width="13" customWidth="1" min="99" max="99"/>
    <col width="20" customWidth="1" min="100" max="100"/>
    <col width="13" customWidth="1" min="101" max="101"/>
    <col width="13" customWidth="1" min="102" max="102"/>
    <col width="14" customWidth="1" min="103" max="103"/>
    <col width="11" customWidth="1" min="104" max="104"/>
    <col width="12" customWidth="1" min="105" max="105"/>
    <col width="13" customWidth="1" min="106" max="106"/>
    <col width="13" customWidth="1" min="107" max="107"/>
    <col width="13" customWidth="1" min="108" max="108"/>
    <col width="20" customWidth="1" min="109" max="109"/>
    <col width="13" customWidth="1" min="110" max="110"/>
    <col width="13" customWidth="1" min="111" max="111"/>
    <col width="14" customWidth="1" min="112" max="112"/>
    <col width="11" customWidth="1" min="113" max="113"/>
    <col width="12" customWidth="1" min="114" max="114"/>
    <col width="13" customWidth="1" min="115" max="115"/>
    <col width="13" customWidth="1" min="116" max="116"/>
    <col width="13" customWidth="1" min="117" max="117"/>
    <col width="20" customWidth="1" min="118" max="118"/>
    <col width="13" customWidth="1" min="119" max="119"/>
    <col width="13" customWidth="1" min="120" max="120"/>
    <col width="14" customWidth="1" min="121" max="121"/>
    <col width="11" customWidth="1" min="122" max="122"/>
    <col width="12" customWidth="1" min="123" max="123"/>
    <col width="13" customWidth="1" min="124" max="124"/>
    <col width="13" customWidth="1" min="125" max="125"/>
    <col width="13" customWidth="1" min="126" max="126"/>
    <col width="20" customWidth="1" min="127" max="127"/>
    <col width="13" customWidth="1" min="128" max="128"/>
    <col width="13" customWidth="1" min="129" max="129"/>
    <col width="14" customWidth="1" min="130" max="130"/>
    <col width="11" customWidth="1" min="131" max="131"/>
    <col width="12" customWidth="1" min="132" max="132"/>
    <col width="13" customWidth="1" min="133" max="133"/>
    <col width="13" customWidth="1" min="134" max="134"/>
    <col width="13" customWidth="1" min="135" max="135"/>
    <col width="20" customWidth="1" min="136" max="136"/>
    <col width="13" customWidth="1" min="137" max="137"/>
    <col width="13" customWidth="1" min="138" max="138"/>
    <col width="14" customWidth="1" min="139" max="139"/>
    <col width="11" customWidth="1" min="140" max="140"/>
    <col width="12" customWidth="1" min="141" max="141"/>
    <col width="13" customWidth="1" min="142" max="142"/>
    <col width="13" customWidth="1" min="143" max="143"/>
    <col width="13" customWidth="1" min="144" max="144"/>
    <col width="20" customWidth="1" min="145" max="145"/>
    <col width="13" customWidth="1" min="146" max="146"/>
    <col width="13" customWidth="1" min="147" max="147"/>
    <col width="14" customWidth="1" min="148" max="148"/>
    <col width="11" customWidth="1" min="149" max="149"/>
    <col width="12" customWidth="1" min="150" max="150"/>
    <col width="13" customWidth="1" min="151" max="151"/>
    <col width="13" customWidth="1" min="152" max="152"/>
    <col width="13" customWidth="1" min="153" max="153"/>
    <col width="20" customWidth="1" min="154" max="154"/>
    <col width="13" customWidth="1" min="155" max="155"/>
    <col width="13" customWidth="1" min="156" max="156"/>
    <col width="14" customWidth="1" min="157" max="157"/>
    <col width="11" customWidth="1" min="158" max="158"/>
    <col width="12" customWidth="1" min="159" max="159"/>
    <col width="13" customWidth="1" min="160" max="160"/>
    <col width="13" customWidth="1" min="161" max="161"/>
    <col width="13" customWidth="1" min="162" max="162"/>
    <col width="20" customWidth="1" min="163" max="163"/>
    <col width="13" customWidth="1" min="164" max="164"/>
    <col width="13" customWidth="1" min="165" max="165"/>
    <col width="14" customWidth="1" min="166" max="166"/>
    <col width="11" customWidth="1" min="167" max="167"/>
    <col width="12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13" customWidth="1" min="173" max="173"/>
    <col width="13" customWidth="1" min="174" max="174"/>
    <col width="14" customWidth="1" min="175" max="175"/>
    <col width="11" customWidth="1" min="176" max="176"/>
    <col width="12" customWidth="1" min="177" max="177"/>
    <col width="13" customWidth="1" min="178" max="178"/>
    <col width="13" customWidth="1" min="179" max="179"/>
    <col width="13" customWidth="1" min="180" max="180"/>
    <col width="20" customWidth="1" min="181" max="181"/>
    <col width="13" customWidth="1" min="182" max="182"/>
    <col width="13" customWidth="1" min="183" max="183"/>
    <col width="14" customWidth="1" min="184" max="184"/>
    <col width="11" customWidth="1" min="185" max="185"/>
    <col width="12" customWidth="1" min="186" max="186"/>
    <col width="13" customWidth="1" min="187" max="187"/>
    <col width="13" customWidth="1" min="188" max="188"/>
    <col width="13" customWidth="1" min="189" max="189"/>
    <col width="20" customWidth="1" min="190" max="190"/>
    <col width="13" customWidth="1" min="191" max="191"/>
    <col width="13" customWidth="1" min="192" max="192"/>
    <col width="14" customWidth="1" min="193" max="193"/>
    <col width="11" customWidth="1" min="194" max="194"/>
    <col width="12" customWidth="1" min="195" max="195"/>
    <col width="13" customWidth="1" min="196" max="196"/>
    <col width="13" customWidth="1" min="197" max="197"/>
    <col width="13" customWidth="1" min="198" max="198"/>
    <col width="20" customWidth="1" min="199" max="199"/>
    <col width="13" customWidth="1" min="200" max="200"/>
    <col width="13" customWidth="1" min="201" max="201"/>
    <col width="14" customWidth="1" min="202" max="202"/>
    <col width="11" customWidth="1" min="203" max="203"/>
    <col width="12" customWidth="1" min="204" max="204"/>
    <col width="13" customWidth="1" min="205" max="205"/>
    <col width="13" customWidth="1" min="206" max="206"/>
    <col width="13" customWidth="1" min="207" max="207"/>
    <col width="20" customWidth="1" min="208" max="208"/>
    <col width="13" customWidth="1" min="209" max="209"/>
    <col width="13" customWidth="1" min="210" max="210"/>
    <col width="14" customWidth="1" min="211" max="211"/>
    <col width="11" customWidth="1" min="212" max="212"/>
    <col width="12" customWidth="1" min="213" max="213"/>
    <col width="13" customWidth="1" min="214" max="214"/>
    <col width="13" customWidth="1" min="215" max="215"/>
    <col width="13" customWidth="1" min="216" max="216"/>
    <col width="20" customWidth="1" min="217" max="217"/>
    <col width="13" customWidth="1" min="218" max="218"/>
    <col width="13" customWidth="1" min="219" max="219"/>
    <col width="14" customWidth="1" min="220" max="220"/>
    <col width="11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20" customWidth="1" min="226" max="226"/>
    <col width="13" customWidth="1" min="227" max="227"/>
    <col width="13" customWidth="1" min="228" max="228"/>
    <col width="14" customWidth="1" min="229" max="229"/>
    <col width="11" customWidth="1" min="230" max="230"/>
    <col width="12" customWidth="1" min="231" max="231"/>
    <col width="13" customWidth="1" min="232" max="232"/>
    <col width="13" customWidth="1" min="233" max="233"/>
    <col width="13" customWidth="1" min="234" max="234"/>
    <col width="20" customWidth="1" min="235" max="235"/>
    <col width="13" customWidth="1" min="236" max="236"/>
    <col width="13" customWidth="1" min="237" max="237"/>
    <col width="14" customWidth="1" min="238" max="238"/>
    <col width="11" customWidth="1" min="239" max="239"/>
    <col width="12" customWidth="1" min="240" max="240"/>
    <col width="13" customWidth="1" min="241" max="241"/>
    <col width="13" customWidth="1" min="242" max="242"/>
    <col width="13" customWidth="1" min="243" max="243"/>
    <col width="20" customWidth="1" min="244" max="244"/>
    <col width="13" customWidth="1" min="245" max="245"/>
    <col width="13" customWidth="1" min="246" max="246"/>
    <col width="14" customWidth="1" min="247" max="247"/>
    <col width="11" customWidth="1" min="248" max="248"/>
    <col width="12" customWidth="1" min="249" max="249"/>
    <col width="13" customWidth="1" min="250" max="250"/>
    <col width="13" customWidth="1" min="251" max="251"/>
    <col width="13" customWidth="1" min="252" max="252"/>
    <col width="20" customWidth="1" min="253" max="253"/>
    <col width="13" customWidth="1" min="254" max="254"/>
    <col width="13" customWidth="1" min="255" max="255"/>
    <col width="14" customWidth="1" min="256" max="256"/>
    <col width="11" customWidth="1" min="257" max="257"/>
    <col width="12" customWidth="1" min="258" max="258"/>
    <col width="13" customWidth="1" min="259" max="259"/>
    <col width="13" customWidth="1" min="260" max="260"/>
    <col width="13" customWidth="1" min="261" max="261"/>
    <col width="20" customWidth="1" min="262" max="262"/>
    <col width="13" customWidth="1" min="263" max="263"/>
    <col width="13" customWidth="1" min="264" max="264"/>
    <col width="14" customWidth="1" min="265" max="265"/>
    <col width="11" customWidth="1" min="266" max="266"/>
    <col width="12" customWidth="1" min="267" max="267"/>
    <col width="13" customWidth="1" min="268" max="268"/>
    <col width="13" customWidth="1" min="269" max="269"/>
    <col width="13" customWidth="1" min="270" max="270"/>
    <col width="20" customWidth="1" min="271" max="271"/>
    <col width="13" customWidth="1" min="272" max="272"/>
    <col width="13" customWidth="1" min="273" max="273"/>
    <col width="14" customWidth="1" min="274" max="274"/>
    <col width="11" customWidth="1" min="275" max="275"/>
    <col width="12" customWidth="1" min="276" max="276"/>
    <col width="13" customWidth="1" min="277" max="277"/>
    <col width="13" customWidth="1" min="278" max="278"/>
    <col width="13" customWidth="1" min="279" max="279"/>
    <col width="20" customWidth="1" min="280" max="280"/>
    <col width="16" customWidth="1" min="281" max="281"/>
    <col width="16" customWidth="1" min="282" max="282"/>
    <col width="16" customWidth="1" min="283" max="283"/>
    <col width="14" customWidth="1" min="284" max="284"/>
    <col width="14" customWidth="1" min="285" max="285"/>
    <col width="14" customWidth="1" min="286" max="286"/>
    <col hidden="1" width="10" customWidth="1" min="287" max="287"/>
    <col hidden="1" width="16" customWidth="1" min="289" max="289"/>
    <col hidden="1" width="16" customWidth="1" min="290" max="290"/>
    <col hidden="1" width="16" customWidth="1" min="291" max="291"/>
    <col hidden="1" width="16" customWidth="1" min="292" max="292"/>
    <col hidden="1" width="16" customWidth="1" min="294" max="294"/>
    <col hidden="1" width="16" customWidth="1" min="295" max="295"/>
  </cols>
  <sheetData>
    <row r="1" ht="32" customHeight="1">
      <c r="A1" s="11">
        <f>"ACOMPANHAMENTO DIÁRIO DE ASSESSORES — FEVEREIRO / "&amp;Configurações!$B$3</f>
        <v/>
      </c>
      <c r="KC1" t="inlineStr">
        <is>
          <t>Dia</t>
        </is>
      </c>
      <c r="KD1" t="inlineStr">
        <is>
          <t>Data</t>
        </is>
      </c>
      <c r="KE1" t="inlineStr">
        <is>
          <t>Produção do Dia</t>
        </is>
      </c>
      <c r="KF1" t="inlineStr">
        <is>
          <t>Captação do Dia</t>
        </is>
      </c>
    </row>
    <row r="2" ht="18" customHeight="1">
      <c r="A2" s="12">
        <f>"Dias no mês: "&amp;$Z$3&amp;"   |   Cada assessor ocupa 1 linha. Role para a direita para ver os dias. Apenas as células destacadas em amarelo são editáveis."</f>
        <v/>
      </c>
      <c r="KC2" s="13" t="n">
        <v>1</v>
      </c>
      <c r="KD2" s="14">
        <f>IF(1&lt;=$Z$3,DATE(Configurações!$B$3,2,1),"")</f>
        <v/>
      </c>
      <c r="KE2" s="13">
        <f>SUM($I$67:$I$79)</f>
        <v/>
      </c>
      <c r="KF2" s="13">
        <f>SUM($D$67:$D$79)</f>
        <v/>
      </c>
      <c r="KH2" t="inlineStr">
        <is>
          <t>COE</t>
        </is>
      </c>
      <c r="KI2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</row>
    <row r="3">
      <c r="Y3" s="15" t="inlineStr">
        <is>
          <t>Dias no mês</t>
        </is>
      </c>
      <c r="Z3" s="16">
        <f>DAY(EOMONTH(DATE(Configurações!$B$3,2,1),0))</f>
        <v/>
      </c>
      <c r="KC3" s="13" t="n">
        <v>2</v>
      </c>
      <c r="KD3" s="14">
        <f>IF(2&lt;=$Z$3,DATE(Configurações!$B$3,2,2),"")</f>
        <v/>
      </c>
      <c r="KE3" s="13">
        <f>SUM($R$67:$R$79)</f>
        <v/>
      </c>
      <c r="KF3" s="13">
        <f>SUM($M$67:$M$79)</f>
        <v/>
      </c>
      <c r="KH3" t="inlineStr">
        <is>
          <t>PREVIDÊNCIA</t>
        </is>
      </c>
      <c r="KI3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</row>
    <row r="4" ht="22" customHeight="1">
      <c r="A4" s="17" t="inlineStr">
        <is>
          <t>📊  INDICADORES DO MÊS</t>
        </is>
      </c>
      <c r="KC4" s="13" t="n">
        <v>3</v>
      </c>
      <c r="KD4" s="14">
        <f>IF(3&lt;=$Z$3,DATE(Configurações!$B$3,2,3),"")</f>
        <v/>
      </c>
      <c r="KE4" s="13">
        <f>SUM($AA$67:$AA$79)</f>
        <v/>
      </c>
      <c r="KF4" s="13">
        <f>SUM($V$67:$V$79)</f>
        <v/>
      </c>
      <c r="KH4" t="inlineStr">
        <is>
          <t>CRÉDITO PRIVADO</t>
        </is>
      </c>
      <c r="KI4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</row>
    <row r="5" ht="26" customHeight="1">
      <c r="A5" s="18" t="inlineStr">
        <is>
          <t>PRODUÇÃO TOTAL DO MÊS</t>
        </is>
      </c>
      <c r="C5" s="18" t="inlineStr">
        <is>
          <t>CAPTAÇÃO LÍQUIDA DO MÊS</t>
        </is>
      </c>
      <c r="E5" s="18" t="inlineStr">
        <is>
          <t>SALDO PULSO TOTAL (ATUAL)</t>
        </is>
      </c>
      <c r="G5" s="18" t="inlineStr">
        <is>
          <t>MÉDIA DIÁRIA DA EQUIPE</t>
        </is>
      </c>
      <c r="I5" s="18" t="inlineStr">
        <is>
          <t>MELHOR DIA DE PRODUÇÃO</t>
        </is>
      </c>
      <c r="K5" s="18" t="inlineStr">
        <is>
          <t>MELHOR ASSESSOR DO MÊS</t>
        </is>
      </c>
      <c r="KC5" s="13" t="n">
        <v>4</v>
      </c>
      <c r="KD5" s="14">
        <f>IF(4&lt;=$Z$3,DATE(Configurações!$B$3,2,4),"")</f>
        <v/>
      </c>
      <c r="KE5" s="13">
        <f>SUM($AJ$67:$AJ$79)</f>
        <v/>
      </c>
      <c r="KF5" s="13">
        <f>SUM($AE$67:$AE$79)</f>
        <v/>
      </c>
      <c r="KH5" t="inlineStr">
        <is>
          <t>TÍTULOS PÚBLICOS</t>
        </is>
      </c>
      <c r="KI5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</row>
    <row r="6" ht="30" customHeight="1">
      <c r="A6" s="19">
        <f>SUM($JU$67:$JU$79)</f>
        <v/>
      </c>
      <c r="C6" s="19">
        <f>SUM($JV$67:$JV$79)</f>
        <v/>
      </c>
      <c r="E6" s="19">
        <f>SUM($JW$67:$JW$79)</f>
        <v/>
      </c>
      <c r="G6" s="19">
        <f>IFERROR(SUM($JU$67:$JU$79)/$Z$3,0)</f>
        <v/>
      </c>
      <c r="I6" s="20">
        <f>IFERROR("Dia "&amp;TEXT(INDEX($KD$2:$KD$32,MATCH(MAX($KE$2:$KE$32),$KE$2:$KE$32,0)),"dd/mm")&amp;"  -  "&amp;TEXT(MAX($KE$2:$KE$32),"R$ #,##0"),"—")</f>
        <v/>
      </c>
      <c r="K6" s="20">
        <f>IFERROR($B$14&amp;"  -  "&amp;TEXT($C$14,"R$ #,##0"),"—")</f>
        <v/>
      </c>
      <c r="KC6" s="13" t="n">
        <v>5</v>
      </c>
      <c r="KD6" s="14">
        <f>IF(5&lt;=$Z$3,DATE(Configurações!$B$3,2,5),"")</f>
        <v/>
      </c>
      <c r="KE6" s="13">
        <f>SUM($AS$67:$AS$79)</f>
        <v/>
      </c>
      <c r="KF6" s="13">
        <f>SUM($AN$67:$AN$79)</f>
        <v/>
      </c>
    </row>
    <row r="7">
      <c r="KC7" s="13" t="n">
        <v>6</v>
      </c>
      <c r="KD7" s="14">
        <f>IF(6&lt;=$Z$3,DATE(Configurações!$B$3,2,6),"")</f>
        <v/>
      </c>
      <c r="KE7" s="13">
        <f>SUM($BB$67:$BB$79)</f>
        <v/>
      </c>
      <c r="KF7" s="13">
        <f>SUM($AW$67:$AW$79)</f>
        <v/>
      </c>
    </row>
    <row r="8" ht="22" customHeight="1">
      <c r="A8" s="17" t="inlineStr">
        <is>
          <t>💰  TOTAIS POR PRODUTO</t>
        </is>
      </c>
      <c r="KC8" s="13" t="n">
        <v>7</v>
      </c>
      <c r="KD8" s="14">
        <f>IF(7&lt;=$Z$3,DATE(Configurações!$B$3,2,7),"")</f>
        <v/>
      </c>
      <c r="KE8" s="13">
        <f>SUM($BK$67:$BK$79)</f>
        <v/>
      </c>
      <c r="KF8" s="13">
        <f>SUM($BF$67:$BF$79)</f>
        <v/>
      </c>
    </row>
    <row r="9" ht="20" customHeight="1">
      <c r="A9" s="18" t="inlineStr">
        <is>
          <t>COE</t>
        </is>
      </c>
      <c r="D9" s="18" t="inlineStr">
        <is>
          <t>PREVIDÊNCIA</t>
        </is>
      </c>
      <c r="G9" s="18" t="inlineStr">
        <is>
          <t>CRÉDITO PRIVADO</t>
        </is>
      </c>
      <c r="J9" s="18" t="inlineStr">
        <is>
          <t>TÍTULOS PÚBLICOS</t>
        </is>
      </c>
      <c r="KC9" s="13" t="n">
        <v>8</v>
      </c>
      <c r="KD9" s="14">
        <f>IF(8&lt;=$Z$3,DATE(Configurações!$B$3,2,8),"")</f>
        <v/>
      </c>
      <c r="KE9" s="13">
        <f>SUM($BT$67:$BT$79)</f>
        <v/>
      </c>
      <c r="KF9" s="13">
        <f>SUM($BO$67:$BO$79)</f>
        <v/>
      </c>
    </row>
    <row r="10" ht="26" customHeight="1">
      <c r="A10" s="19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  <c r="D10" s="19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  <c r="G10" s="19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  <c r="J10" s="19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  <c r="KC10" s="13" t="n">
        <v>9</v>
      </c>
      <c r="KD10" s="14">
        <f>IF(9&lt;=$Z$3,DATE(Configurações!$B$3,2,9),"")</f>
        <v/>
      </c>
      <c r="KE10" s="13">
        <f>SUM($CC$67:$CC$79)</f>
        <v/>
      </c>
      <c r="KF10" s="13">
        <f>SUM($BX$67:$BX$79)</f>
        <v/>
      </c>
    </row>
    <row r="11">
      <c r="KC11" s="13" t="n">
        <v>10</v>
      </c>
      <c r="KD11" s="14">
        <f>IF(10&lt;=$Z$3,DATE(Configurações!$B$3,2,10),"")</f>
        <v/>
      </c>
      <c r="KE11" s="13">
        <f>SUM($CL$67:$CL$79)</f>
        <v/>
      </c>
      <c r="KF11" s="13">
        <f>SUM($CG$67:$CG$79)</f>
        <v/>
      </c>
    </row>
    <row r="12" ht="22" customHeight="1">
      <c r="A12" s="17" t="inlineStr">
        <is>
          <t>🏆  RANKING DE ASSESSORES (TOP 5 EM DESTAQUE)</t>
        </is>
      </c>
      <c r="KC12" s="13" t="n">
        <v>11</v>
      </c>
      <c r="KD12" s="14">
        <f>IF(11&lt;=$Z$3,DATE(Configurações!$B$3,2,11),"")</f>
        <v/>
      </c>
      <c r="KE12" s="13">
        <f>SUM($CU$67:$CU$79)</f>
        <v/>
      </c>
      <c r="KF12" s="13">
        <f>SUM($CP$67:$CP$79)</f>
        <v/>
      </c>
    </row>
    <row r="13" ht="22" customHeight="1">
      <c r="A13" s="5" t="inlineStr">
        <is>
          <t>Pos.</t>
        </is>
      </c>
      <c r="B13" s="5" t="inlineStr">
        <is>
          <t>Assessor</t>
        </is>
      </c>
      <c r="C13" s="5" t="inlineStr">
        <is>
          <t>Produção Total</t>
        </is>
      </c>
      <c r="D13" s="5" t="inlineStr">
        <is>
          <t>Captação Líquida</t>
        </is>
      </c>
      <c r="E13" s="5" t="inlineStr">
        <is>
          <t>Saldo Pulso Atual</t>
        </is>
      </c>
      <c r="F13" s="5" t="inlineStr">
        <is>
          <t>Média Diária</t>
        </is>
      </c>
      <c r="G13" s="5" t="inlineStr">
        <is>
          <t>Meta Mensal</t>
        </is>
      </c>
      <c r="H13" s="5" t="inlineStr">
        <is>
          <t>Status</t>
        </is>
      </c>
      <c r="KC13" s="13" t="n">
        <v>12</v>
      </c>
      <c r="KD13" s="14">
        <f>IF(12&lt;=$Z$3,DATE(Configurações!$B$3,2,12),"")</f>
        <v/>
      </c>
      <c r="KE13" s="13">
        <f>SUM($DD$67:$DD$79)</f>
        <v/>
      </c>
      <c r="KF13" s="13">
        <f>SUM($CY$67:$CY$79)</f>
        <v/>
      </c>
    </row>
    <row r="14" ht="18" customHeight="1">
      <c r="A14" s="21" t="n">
        <v>1</v>
      </c>
      <c r="B14" s="22">
        <f>INDEX($A$67:$A$79,MATCH(LARGE($KA$67:$KA$79,1),$KA$67:$KA$79,0))</f>
        <v/>
      </c>
      <c r="C14" s="23">
        <f>INDEX($JU$67:$JU$79,MATCH(LARGE($KA$67:$KA$79,1),$KA$67:$KA$79,0))</f>
        <v/>
      </c>
      <c r="D14" s="24">
        <f>INDEX($JV$67:$JV$79,MATCH(LARGE($KA$67:$KA$79,1),$KA$67:$KA$79,0))</f>
        <v/>
      </c>
      <c r="E14" s="23">
        <f>INDEX($JW$67:$JW$79,MATCH(LARGE($KA$67:$KA$79,1),$KA$67:$KA$79,0))</f>
        <v/>
      </c>
      <c r="F14" s="23">
        <f>INDEX($JX$67:$JX$79,MATCH(LARGE($KA$67:$KA$79,1),$KA$67:$KA$79,0))</f>
        <v/>
      </c>
      <c r="G14" s="23">
        <f>INDEX($JY$67:$JY$79,MATCH(LARGE($KA$67:$KA$79,1),$KA$67:$KA$79,0))</f>
        <v/>
      </c>
      <c r="H14" s="25">
        <f>IF(G14=0,"— Sem meta",IF(C14&gt;=G14,"✓ Meta atingida","Em andamento"))</f>
        <v/>
      </c>
      <c r="KC14" s="13" t="n">
        <v>13</v>
      </c>
      <c r="KD14" s="14">
        <f>IF(13&lt;=$Z$3,DATE(Configurações!$B$3,2,13),"")</f>
        <v/>
      </c>
      <c r="KE14" s="13">
        <f>SUM($DM$67:$DM$79)</f>
        <v/>
      </c>
      <c r="KF14" s="13">
        <f>SUM($DH$67:$DH$79)</f>
        <v/>
      </c>
    </row>
    <row r="15" ht="18" customHeight="1">
      <c r="A15" s="26" t="n">
        <v>2</v>
      </c>
      <c r="B15" s="27">
        <f>INDEX($A$67:$A$79,MATCH(LARGE($KA$67:$KA$79,2),$KA$67:$KA$79,0))</f>
        <v/>
      </c>
      <c r="C15" s="28">
        <f>INDEX($JU$67:$JU$79,MATCH(LARGE($KA$67:$KA$79,2),$KA$67:$KA$79,0))</f>
        <v/>
      </c>
      <c r="D15" s="29">
        <f>INDEX($JV$67:$JV$79,MATCH(LARGE($KA$67:$KA$79,2),$KA$67:$KA$79,0))</f>
        <v/>
      </c>
      <c r="E15" s="28">
        <f>INDEX($JW$67:$JW$79,MATCH(LARGE($KA$67:$KA$79,2),$KA$67:$KA$79,0))</f>
        <v/>
      </c>
      <c r="F15" s="28">
        <f>INDEX($JX$67:$JX$79,MATCH(LARGE($KA$67:$KA$79,2),$KA$67:$KA$79,0))</f>
        <v/>
      </c>
      <c r="G15" s="28">
        <f>INDEX($JY$67:$JY$79,MATCH(LARGE($KA$67:$KA$79,2),$KA$67:$KA$79,0))</f>
        <v/>
      </c>
      <c r="H15" s="30">
        <f>IF(G15=0,"— Sem meta",IF(C15&gt;=G15,"✓ Meta atingida","Em andamento"))</f>
        <v/>
      </c>
      <c r="KC15" s="13" t="n">
        <v>14</v>
      </c>
      <c r="KD15" s="14">
        <f>IF(14&lt;=$Z$3,DATE(Configurações!$B$3,2,14),"")</f>
        <v/>
      </c>
      <c r="KE15" s="13">
        <f>SUM($DV$67:$DV$79)</f>
        <v/>
      </c>
      <c r="KF15" s="13">
        <f>SUM($DQ$67:$DQ$79)</f>
        <v/>
      </c>
    </row>
    <row r="16" ht="18" customHeight="1">
      <c r="A16" s="31" t="n">
        <v>3</v>
      </c>
      <c r="B16" s="32">
        <f>INDEX($A$67:$A$79,MATCH(LARGE($KA$67:$KA$79,3),$KA$67:$KA$79,0))</f>
        <v/>
      </c>
      <c r="C16" s="33">
        <f>INDEX($JU$67:$JU$79,MATCH(LARGE($KA$67:$KA$79,3),$KA$67:$KA$79,0))</f>
        <v/>
      </c>
      <c r="D16" s="34">
        <f>INDEX($JV$67:$JV$79,MATCH(LARGE($KA$67:$KA$79,3),$KA$67:$KA$79,0))</f>
        <v/>
      </c>
      <c r="E16" s="33">
        <f>INDEX($JW$67:$JW$79,MATCH(LARGE($KA$67:$KA$79,3),$KA$67:$KA$79,0))</f>
        <v/>
      </c>
      <c r="F16" s="33">
        <f>INDEX($JX$67:$JX$79,MATCH(LARGE($KA$67:$KA$79,3),$KA$67:$KA$79,0))</f>
        <v/>
      </c>
      <c r="G16" s="33">
        <f>INDEX($JY$67:$JY$79,MATCH(LARGE($KA$67:$KA$79,3),$KA$67:$KA$79,0))</f>
        <v/>
      </c>
      <c r="H16" s="35">
        <f>IF(G16=0,"— Sem meta",IF(C16&gt;=G16,"✓ Meta atingida","Em andamento"))</f>
        <v/>
      </c>
      <c r="KC16" s="13" t="n">
        <v>15</v>
      </c>
      <c r="KD16" s="14">
        <f>IF(15&lt;=$Z$3,DATE(Configurações!$B$3,2,15),"")</f>
        <v/>
      </c>
      <c r="KE16" s="13">
        <f>SUM($EE$67:$EE$79)</f>
        <v/>
      </c>
      <c r="KF16" s="13">
        <f>SUM($DZ$67:$DZ$79)</f>
        <v/>
      </c>
    </row>
    <row r="17" ht="18" customHeight="1">
      <c r="A17" s="36" t="n">
        <v>4</v>
      </c>
      <c r="B17" s="37">
        <f>INDEX($A$67:$A$79,MATCH(LARGE($KA$67:$KA$79,4),$KA$67:$KA$79,0))</f>
        <v/>
      </c>
      <c r="C17" s="38">
        <f>INDEX($JU$67:$JU$79,MATCH(LARGE($KA$67:$KA$79,4),$KA$67:$KA$79,0))</f>
        <v/>
      </c>
      <c r="D17" s="39">
        <f>INDEX($JV$67:$JV$79,MATCH(LARGE($KA$67:$KA$79,4),$KA$67:$KA$79,0))</f>
        <v/>
      </c>
      <c r="E17" s="38">
        <f>INDEX($JW$67:$JW$79,MATCH(LARGE($KA$67:$KA$79,4),$KA$67:$KA$79,0))</f>
        <v/>
      </c>
      <c r="F17" s="38">
        <f>INDEX($JX$67:$JX$79,MATCH(LARGE($KA$67:$KA$79,4),$KA$67:$KA$79,0))</f>
        <v/>
      </c>
      <c r="G17" s="38">
        <f>INDEX($JY$67:$JY$79,MATCH(LARGE($KA$67:$KA$79,4),$KA$67:$KA$79,0))</f>
        <v/>
      </c>
      <c r="H17" s="40">
        <f>IF(G17=0,"— Sem meta",IF(C17&gt;=G17,"✓ Meta atingida","Em andamento"))</f>
        <v/>
      </c>
      <c r="KC17" s="13" t="n">
        <v>16</v>
      </c>
      <c r="KD17" s="14">
        <f>IF(16&lt;=$Z$3,DATE(Configurações!$B$3,2,16),"")</f>
        <v/>
      </c>
      <c r="KE17" s="13">
        <f>SUM($EN$67:$EN$79)</f>
        <v/>
      </c>
      <c r="KF17" s="13">
        <f>SUM($EI$67:$EI$79)</f>
        <v/>
      </c>
    </row>
    <row r="18" ht="18" customHeight="1">
      <c r="A18" s="36" t="n">
        <v>5</v>
      </c>
      <c r="B18" s="37">
        <f>INDEX($A$67:$A$79,MATCH(LARGE($KA$67:$KA$79,5),$KA$67:$KA$79,0))</f>
        <v/>
      </c>
      <c r="C18" s="38">
        <f>INDEX($JU$67:$JU$79,MATCH(LARGE($KA$67:$KA$79,5),$KA$67:$KA$79,0))</f>
        <v/>
      </c>
      <c r="D18" s="39">
        <f>INDEX($JV$67:$JV$79,MATCH(LARGE($KA$67:$KA$79,5),$KA$67:$KA$79,0))</f>
        <v/>
      </c>
      <c r="E18" s="38">
        <f>INDEX($JW$67:$JW$79,MATCH(LARGE($KA$67:$KA$79,5),$KA$67:$KA$79,0))</f>
        <v/>
      </c>
      <c r="F18" s="38">
        <f>INDEX($JX$67:$JX$79,MATCH(LARGE($KA$67:$KA$79,5),$KA$67:$KA$79,0))</f>
        <v/>
      </c>
      <c r="G18" s="38">
        <f>INDEX($JY$67:$JY$79,MATCH(LARGE($KA$67:$KA$79,5),$KA$67:$KA$79,0))</f>
        <v/>
      </c>
      <c r="H18" s="40">
        <f>IF(G18=0,"— Sem meta",IF(C18&gt;=G18,"✓ Meta atingida","Em andamento"))</f>
        <v/>
      </c>
      <c r="KC18" s="13" t="n">
        <v>17</v>
      </c>
      <c r="KD18" s="14">
        <f>IF(17&lt;=$Z$3,DATE(Configurações!$B$3,2,17),"")</f>
        <v/>
      </c>
      <c r="KE18" s="13">
        <f>SUM($EW$67:$EW$79)</f>
        <v/>
      </c>
      <c r="KF18" s="13">
        <f>SUM($ER$67:$ER$79)</f>
        <v/>
      </c>
    </row>
    <row r="19" ht="18" customHeight="1">
      <c r="A19" s="41" t="n">
        <v>6</v>
      </c>
      <c r="B19" s="42">
        <f>INDEX($A$67:$A$79,MATCH(LARGE($KA$67:$KA$79,6),$KA$67:$KA$79,0))</f>
        <v/>
      </c>
      <c r="C19" s="43">
        <f>INDEX($JU$67:$JU$79,MATCH(LARGE($KA$67:$KA$79,6),$KA$67:$KA$79,0))</f>
        <v/>
      </c>
      <c r="D19" s="44">
        <f>INDEX($JV$67:$JV$79,MATCH(LARGE($KA$67:$KA$79,6),$KA$67:$KA$79,0))</f>
        <v/>
      </c>
      <c r="E19" s="43">
        <f>INDEX($JW$67:$JW$79,MATCH(LARGE($KA$67:$KA$79,6),$KA$67:$KA$79,0))</f>
        <v/>
      </c>
      <c r="F19" s="43">
        <f>INDEX($JX$67:$JX$79,MATCH(LARGE($KA$67:$KA$79,6),$KA$67:$KA$79,0))</f>
        <v/>
      </c>
      <c r="G19" s="43">
        <f>INDEX($JY$67:$JY$79,MATCH(LARGE($KA$67:$KA$79,6),$KA$67:$KA$79,0))</f>
        <v/>
      </c>
      <c r="H19" s="45">
        <f>IF(G19=0,"— Sem meta",IF(C19&gt;=G19,"✓ Meta atingida","Em andamento"))</f>
        <v/>
      </c>
      <c r="KC19" s="13" t="n">
        <v>18</v>
      </c>
      <c r="KD19" s="14">
        <f>IF(18&lt;=$Z$3,DATE(Configurações!$B$3,2,18),"")</f>
        <v/>
      </c>
      <c r="KE19" s="13">
        <f>SUM($FF$67:$FF$79)</f>
        <v/>
      </c>
      <c r="KF19" s="13">
        <f>SUM($FA$67:$FA$79)</f>
        <v/>
      </c>
    </row>
    <row r="20" ht="18" customHeight="1">
      <c r="A20" s="46" t="n">
        <v>7</v>
      </c>
      <c r="B20" s="47">
        <f>INDEX($A$67:$A$79,MATCH(LARGE($KA$67:$KA$79,7),$KA$67:$KA$79,0))</f>
        <v/>
      </c>
      <c r="C20" s="48">
        <f>INDEX($JU$67:$JU$79,MATCH(LARGE($KA$67:$KA$79,7),$KA$67:$KA$79,0))</f>
        <v/>
      </c>
      <c r="D20" s="49">
        <f>INDEX($JV$67:$JV$79,MATCH(LARGE($KA$67:$KA$79,7),$KA$67:$KA$79,0))</f>
        <v/>
      </c>
      <c r="E20" s="48">
        <f>INDEX($JW$67:$JW$79,MATCH(LARGE($KA$67:$KA$79,7),$KA$67:$KA$79,0))</f>
        <v/>
      </c>
      <c r="F20" s="48">
        <f>INDEX($JX$67:$JX$79,MATCH(LARGE($KA$67:$KA$79,7),$KA$67:$KA$79,0))</f>
        <v/>
      </c>
      <c r="G20" s="48">
        <f>INDEX($JY$67:$JY$79,MATCH(LARGE($KA$67:$KA$79,7),$KA$67:$KA$79,0))</f>
        <v/>
      </c>
      <c r="H20" s="50">
        <f>IF(G20=0,"— Sem meta",IF(C20&gt;=G20,"✓ Meta atingida","Em andamento"))</f>
        <v/>
      </c>
      <c r="KC20" s="13" t="n">
        <v>19</v>
      </c>
      <c r="KD20" s="14">
        <f>IF(19&lt;=$Z$3,DATE(Configurações!$B$3,2,19),"")</f>
        <v/>
      </c>
      <c r="KE20" s="13">
        <f>SUM($FO$67:$FO$79)</f>
        <v/>
      </c>
      <c r="KF20" s="13">
        <f>SUM($FJ$67:$FJ$79)</f>
        <v/>
      </c>
    </row>
    <row r="21" ht="18" customHeight="1">
      <c r="A21" s="41" t="n">
        <v>8</v>
      </c>
      <c r="B21" s="42">
        <f>INDEX($A$67:$A$79,MATCH(LARGE($KA$67:$KA$79,8),$KA$67:$KA$79,0))</f>
        <v/>
      </c>
      <c r="C21" s="43">
        <f>INDEX($JU$67:$JU$79,MATCH(LARGE($KA$67:$KA$79,8),$KA$67:$KA$79,0))</f>
        <v/>
      </c>
      <c r="D21" s="44">
        <f>INDEX($JV$67:$JV$79,MATCH(LARGE($KA$67:$KA$79,8),$KA$67:$KA$79,0))</f>
        <v/>
      </c>
      <c r="E21" s="43">
        <f>INDEX($JW$67:$JW$79,MATCH(LARGE($KA$67:$KA$79,8),$KA$67:$KA$79,0))</f>
        <v/>
      </c>
      <c r="F21" s="43">
        <f>INDEX($JX$67:$JX$79,MATCH(LARGE($KA$67:$KA$79,8),$KA$67:$KA$79,0))</f>
        <v/>
      </c>
      <c r="G21" s="43">
        <f>INDEX($JY$67:$JY$79,MATCH(LARGE($KA$67:$KA$79,8),$KA$67:$KA$79,0))</f>
        <v/>
      </c>
      <c r="H21" s="45">
        <f>IF(G21=0,"— Sem meta",IF(C21&gt;=G21,"✓ Meta atingida","Em andamento"))</f>
        <v/>
      </c>
      <c r="KC21" s="13" t="n">
        <v>20</v>
      </c>
      <c r="KD21" s="14">
        <f>IF(20&lt;=$Z$3,DATE(Configurações!$B$3,2,20),"")</f>
        <v/>
      </c>
      <c r="KE21" s="13">
        <f>SUM($FX$67:$FX$79)</f>
        <v/>
      </c>
      <c r="KF21" s="13">
        <f>SUM($FS$67:$FS$79)</f>
        <v/>
      </c>
    </row>
    <row r="22" ht="18" customHeight="1">
      <c r="A22" s="46" t="n">
        <v>9</v>
      </c>
      <c r="B22" s="47">
        <f>INDEX($A$67:$A$79,MATCH(LARGE($KA$67:$KA$79,9),$KA$67:$KA$79,0))</f>
        <v/>
      </c>
      <c r="C22" s="48">
        <f>INDEX($JU$67:$JU$79,MATCH(LARGE($KA$67:$KA$79,9),$KA$67:$KA$79,0))</f>
        <v/>
      </c>
      <c r="D22" s="49">
        <f>INDEX($JV$67:$JV$79,MATCH(LARGE($KA$67:$KA$79,9),$KA$67:$KA$79,0))</f>
        <v/>
      </c>
      <c r="E22" s="48">
        <f>INDEX($JW$67:$JW$79,MATCH(LARGE($KA$67:$KA$79,9),$KA$67:$KA$79,0))</f>
        <v/>
      </c>
      <c r="F22" s="48">
        <f>INDEX($JX$67:$JX$79,MATCH(LARGE($KA$67:$KA$79,9),$KA$67:$KA$79,0))</f>
        <v/>
      </c>
      <c r="G22" s="48">
        <f>INDEX($JY$67:$JY$79,MATCH(LARGE($KA$67:$KA$79,9),$KA$67:$KA$79,0))</f>
        <v/>
      </c>
      <c r="H22" s="50">
        <f>IF(G22=0,"— Sem meta",IF(C22&gt;=G22,"✓ Meta atingida","Em andamento"))</f>
        <v/>
      </c>
      <c r="KC22" s="13" t="n">
        <v>21</v>
      </c>
      <c r="KD22" s="14">
        <f>IF(21&lt;=$Z$3,DATE(Configurações!$B$3,2,21),"")</f>
        <v/>
      </c>
      <c r="KE22" s="13">
        <f>SUM($GG$67:$GG$79)</f>
        <v/>
      </c>
      <c r="KF22" s="13">
        <f>SUM($GB$67:$GB$79)</f>
        <v/>
      </c>
    </row>
    <row r="23" ht="18" customHeight="1">
      <c r="A23" s="41" t="n">
        <v>10</v>
      </c>
      <c r="B23" s="42">
        <f>INDEX($A$67:$A$79,MATCH(LARGE($KA$67:$KA$79,10),$KA$67:$KA$79,0))</f>
        <v/>
      </c>
      <c r="C23" s="43">
        <f>INDEX($JU$67:$JU$79,MATCH(LARGE($KA$67:$KA$79,10),$KA$67:$KA$79,0))</f>
        <v/>
      </c>
      <c r="D23" s="44">
        <f>INDEX($JV$67:$JV$79,MATCH(LARGE($KA$67:$KA$79,10),$KA$67:$KA$79,0))</f>
        <v/>
      </c>
      <c r="E23" s="43">
        <f>INDEX($JW$67:$JW$79,MATCH(LARGE($KA$67:$KA$79,10),$KA$67:$KA$79,0))</f>
        <v/>
      </c>
      <c r="F23" s="43">
        <f>INDEX($JX$67:$JX$79,MATCH(LARGE($KA$67:$KA$79,10),$KA$67:$KA$79,0))</f>
        <v/>
      </c>
      <c r="G23" s="43">
        <f>INDEX($JY$67:$JY$79,MATCH(LARGE($KA$67:$KA$79,10),$KA$67:$KA$79,0))</f>
        <v/>
      </c>
      <c r="H23" s="45">
        <f>IF(G23=0,"— Sem meta",IF(C23&gt;=G23,"✓ Meta atingida","Em andamento"))</f>
        <v/>
      </c>
      <c r="KC23" s="13" t="n">
        <v>22</v>
      </c>
      <c r="KD23" s="14">
        <f>IF(22&lt;=$Z$3,DATE(Configurações!$B$3,2,22),"")</f>
        <v/>
      </c>
      <c r="KE23" s="13">
        <f>SUM($GP$67:$GP$79)</f>
        <v/>
      </c>
      <c r="KF23" s="13">
        <f>SUM($GK$67:$GK$79)</f>
        <v/>
      </c>
    </row>
    <row r="24" ht="18" customHeight="1">
      <c r="A24" s="46" t="n">
        <v>11</v>
      </c>
      <c r="B24" s="47">
        <f>INDEX($A$67:$A$79,MATCH(LARGE($KA$67:$KA$79,11),$KA$67:$KA$79,0))</f>
        <v/>
      </c>
      <c r="C24" s="48">
        <f>INDEX($JU$67:$JU$79,MATCH(LARGE($KA$67:$KA$79,11),$KA$67:$KA$79,0))</f>
        <v/>
      </c>
      <c r="D24" s="49">
        <f>INDEX($JV$67:$JV$79,MATCH(LARGE($KA$67:$KA$79,11),$KA$67:$KA$79,0))</f>
        <v/>
      </c>
      <c r="E24" s="48">
        <f>INDEX($JW$67:$JW$79,MATCH(LARGE($KA$67:$KA$79,11),$KA$67:$KA$79,0))</f>
        <v/>
      </c>
      <c r="F24" s="48">
        <f>INDEX($JX$67:$JX$79,MATCH(LARGE($KA$67:$KA$79,11),$KA$67:$KA$79,0))</f>
        <v/>
      </c>
      <c r="G24" s="48">
        <f>INDEX($JY$67:$JY$79,MATCH(LARGE($KA$67:$KA$79,11),$KA$67:$KA$79,0))</f>
        <v/>
      </c>
      <c r="H24" s="50">
        <f>IF(G24=0,"— Sem meta",IF(C24&gt;=G24,"✓ Meta atingida","Em andamento"))</f>
        <v/>
      </c>
      <c r="KC24" s="13" t="n">
        <v>23</v>
      </c>
      <c r="KD24" s="14">
        <f>IF(23&lt;=$Z$3,DATE(Configurações!$B$3,2,23),"")</f>
        <v/>
      </c>
      <c r="KE24" s="13">
        <f>SUM($GY$67:$GY$79)</f>
        <v/>
      </c>
      <c r="KF24" s="13">
        <f>SUM($GT$67:$GT$79)</f>
        <v/>
      </c>
    </row>
    <row r="25" ht="18" customHeight="1">
      <c r="A25" s="41" t="n">
        <v>12</v>
      </c>
      <c r="B25" s="42">
        <f>INDEX($A$67:$A$79,MATCH(LARGE($KA$67:$KA$79,12),$KA$67:$KA$79,0))</f>
        <v/>
      </c>
      <c r="C25" s="43">
        <f>INDEX($JU$67:$JU$79,MATCH(LARGE($KA$67:$KA$79,12),$KA$67:$KA$79,0))</f>
        <v/>
      </c>
      <c r="D25" s="44">
        <f>INDEX($JV$67:$JV$79,MATCH(LARGE($KA$67:$KA$79,12),$KA$67:$KA$79,0))</f>
        <v/>
      </c>
      <c r="E25" s="43">
        <f>INDEX($JW$67:$JW$79,MATCH(LARGE($KA$67:$KA$79,12),$KA$67:$KA$79,0))</f>
        <v/>
      </c>
      <c r="F25" s="43">
        <f>INDEX($JX$67:$JX$79,MATCH(LARGE($KA$67:$KA$79,12),$KA$67:$KA$79,0))</f>
        <v/>
      </c>
      <c r="G25" s="43">
        <f>INDEX($JY$67:$JY$79,MATCH(LARGE($KA$67:$KA$79,12),$KA$67:$KA$79,0))</f>
        <v/>
      </c>
      <c r="H25" s="45">
        <f>IF(G25=0,"— Sem meta",IF(C25&gt;=G25,"✓ Meta atingida","Em andamento"))</f>
        <v/>
      </c>
      <c r="KC25" s="13" t="n">
        <v>24</v>
      </c>
      <c r="KD25" s="14">
        <f>IF(24&lt;=$Z$3,DATE(Configurações!$B$3,2,24),"")</f>
        <v/>
      </c>
      <c r="KE25" s="13">
        <f>SUM($HH$67:$HH$79)</f>
        <v/>
      </c>
      <c r="KF25" s="13">
        <f>SUM($HC$67:$HC$79)</f>
        <v/>
      </c>
    </row>
    <row r="26" ht="18" customHeight="1">
      <c r="A26" s="46" t="n">
        <v>13</v>
      </c>
      <c r="B26" s="47">
        <f>INDEX($A$67:$A$79,MATCH(LARGE($KA$67:$KA$79,13),$KA$67:$KA$79,0))</f>
        <v/>
      </c>
      <c r="C26" s="48">
        <f>INDEX($JU$67:$JU$79,MATCH(LARGE($KA$67:$KA$79,13),$KA$67:$KA$79,0))</f>
        <v/>
      </c>
      <c r="D26" s="49">
        <f>INDEX($JV$67:$JV$79,MATCH(LARGE($KA$67:$KA$79,13),$KA$67:$KA$79,0))</f>
        <v/>
      </c>
      <c r="E26" s="48">
        <f>INDEX($JW$67:$JW$79,MATCH(LARGE($KA$67:$KA$79,13),$KA$67:$KA$79,0))</f>
        <v/>
      </c>
      <c r="F26" s="48">
        <f>INDEX($JX$67:$JX$79,MATCH(LARGE($KA$67:$KA$79,13),$KA$67:$KA$79,0))</f>
        <v/>
      </c>
      <c r="G26" s="48">
        <f>INDEX($JY$67:$JY$79,MATCH(LARGE($KA$67:$KA$79,13),$KA$67:$KA$79,0))</f>
        <v/>
      </c>
      <c r="H26" s="50">
        <f>IF(G26=0,"— Sem meta",IF(C26&gt;=G26,"✓ Meta atingida","Em andamento"))</f>
        <v/>
      </c>
      <c r="KC26" s="13" t="n">
        <v>25</v>
      </c>
      <c r="KD26" s="14">
        <f>IF(25&lt;=$Z$3,DATE(Configurações!$B$3,2,25),"")</f>
        <v/>
      </c>
      <c r="KE26" s="13">
        <f>SUM($HQ$67:$HQ$79)</f>
        <v/>
      </c>
      <c r="KF26" s="13">
        <f>SUM($HL$67:$HL$79)</f>
        <v/>
      </c>
    </row>
    <row r="27">
      <c r="KC27" s="13" t="n">
        <v>26</v>
      </c>
      <c r="KD27" s="14">
        <f>IF(26&lt;=$Z$3,DATE(Configurações!$B$3,2,26),"")</f>
        <v/>
      </c>
      <c r="KE27" s="13">
        <f>SUM($HZ$67:$HZ$79)</f>
        <v/>
      </c>
      <c r="KF27" s="13">
        <f>SUM($HU$67:$HU$79)</f>
        <v/>
      </c>
    </row>
    <row r="28">
      <c r="KC28" s="13" t="n">
        <v>27</v>
      </c>
      <c r="KD28" s="14">
        <f>IF(27&lt;=$Z$3,DATE(Configurações!$B$3,2,27),"")</f>
        <v/>
      </c>
      <c r="KE28" s="13">
        <f>SUM($II$67:$II$79)</f>
        <v/>
      </c>
      <c r="KF28" s="13">
        <f>SUM($ID$67:$ID$79)</f>
        <v/>
      </c>
    </row>
    <row r="29">
      <c r="KC29" s="13" t="n">
        <v>28</v>
      </c>
      <c r="KD29" s="14">
        <f>IF(28&lt;=$Z$3,DATE(Configurações!$B$3,2,28),"")</f>
        <v/>
      </c>
      <c r="KE29" s="13">
        <f>SUM($IR$67:$IR$79)</f>
        <v/>
      </c>
      <c r="KF29" s="13">
        <f>SUM($IM$67:$IM$79)</f>
        <v/>
      </c>
    </row>
    <row r="30">
      <c r="KC30" s="13" t="n">
        <v>29</v>
      </c>
      <c r="KD30" s="14">
        <f>IF(29&lt;=$Z$3,DATE(Configurações!$B$3,2,29),"")</f>
        <v/>
      </c>
      <c r="KE30" s="13">
        <f>SUM($JA$67:$JA$79)</f>
        <v/>
      </c>
      <c r="KF30" s="13">
        <f>SUM($IV$67:$IV$79)</f>
        <v/>
      </c>
    </row>
    <row r="31">
      <c r="KC31" s="13" t="n">
        <v>30</v>
      </c>
      <c r="KD31" s="14">
        <f>IF(30&lt;=$Z$3,DATE(Configurações!$B$3,2,30),"")</f>
        <v/>
      </c>
      <c r="KE31" s="13">
        <f>SUM($JJ$67:$JJ$79)</f>
        <v/>
      </c>
      <c r="KF31" s="13">
        <f>SUM($JE$67:$JE$79)</f>
        <v/>
      </c>
    </row>
    <row r="32">
      <c r="KC32" s="13" t="n">
        <v>31</v>
      </c>
      <c r="KD32" s="14">
        <f>IF(31&lt;=$Z$3,DATE(Configurações!$B$3,2,31),"")</f>
        <v/>
      </c>
      <c r="KE32" s="13">
        <f>SUM($JS$67:$JS$79)</f>
        <v/>
      </c>
      <c r="KF32" s="13">
        <f>SUM($JN$67:$JN$79)</f>
        <v/>
      </c>
    </row>
    <row r="64" ht="22" customHeight="1">
      <c r="A64" s="51" t="inlineStr">
        <is>
          <t>📋  LANÇAMENTOS DIÁRIOS POR ASSESSOR (role para a direita)</t>
        </is>
      </c>
    </row>
    <row r="65" ht="20" customHeight="1">
      <c r="A65" s="52" t="inlineStr">
        <is>
          <t>Assessor</t>
        </is>
      </c>
      <c r="B65" s="18">
        <f>"Dia 1 — "&amp;IF(1&lt;=$Z$3,TEXT(DATE(Configurações!$B$3,2,1),"dd/mm")&amp;" ("&amp;CHOOSE(WEEKDAY(DATE(Configurações!$B$3,2,1)),"Dom","Seg","Ter","Qua","Qui","Sex","Sáb")&amp;")","—")</f>
        <v/>
      </c>
      <c r="K65" s="18">
        <f>"Dia 2 — "&amp;IF(2&lt;=$Z$3,TEXT(DATE(Configurações!$B$3,2,2),"dd/mm")&amp;" ("&amp;CHOOSE(WEEKDAY(DATE(Configurações!$B$3,2,2)),"Dom","Seg","Ter","Qua","Qui","Sex","Sáb")&amp;")","—")</f>
        <v/>
      </c>
      <c r="T65" s="18">
        <f>"Dia 3 — "&amp;IF(3&lt;=$Z$3,TEXT(DATE(Configurações!$B$3,2,3),"dd/mm")&amp;" ("&amp;CHOOSE(WEEKDAY(DATE(Configurações!$B$3,2,3)),"Dom","Seg","Ter","Qua","Qui","Sex","Sáb")&amp;")","—")</f>
        <v/>
      </c>
      <c r="AC65" s="18">
        <f>"Dia 4 — "&amp;IF(4&lt;=$Z$3,TEXT(DATE(Configurações!$B$3,2,4),"dd/mm")&amp;" ("&amp;CHOOSE(WEEKDAY(DATE(Configurações!$B$3,2,4)),"Dom","Seg","Ter","Qua","Qui","Sex","Sáb")&amp;")","—")</f>
        <v/>
      </c>
      <c r="AL65" s="18">
        <f>"Dia 5 — "&amp;IF(5&lt;=$Z$3,TEXT(DATE(Configurações!$B$3,2,5),"dd/mm")&amp;" ("&amp;CHOOSE(WEEKDAY(DATE(Configurações!$B$3,2,5)),"Dom","Seg","Ter","Qua","Qui","Sex","Sáb")&amp;")","—")</f>
        <v/>
      </c>
      <c r="AU65" s="18">
        <f>"Dia 6 — "&amp;IF(6&lt;=$Z$3,TEXT(DATE(Configurações!$B$3,2,6),"dd/mm")&amp;" ("&amp;CHOOSE(WEEKDAY(DATE(Configurações!$B$3,2,6)),"Dom","Seg","Ter","Qua","Qui","Sex","Sáb")&amp;")","—")</f>
        <v/>
      </c>
      <c r="BD65" s="18">
        <f>"Dia 7 — "&amp;IF(7&lt;=$Z$3,TEXT(DATE(Configurações!$B$3,2,7),"dd/mm")&amp;" ("&amp;CHOOSE(WEEKDAY(DATE(Configurações!$B$3,2,7)),"Dom","Seg","Ter","Qua","Qui","Sex","Sáb")&amp;")","—")</f>
        <v/>
      </c>
      <c r="BM65" s="18">
        <f>"Dia 8 — "&amp;IF(8&lt;=$Z$3,TEXT(DATE(Configurações!$B$3,2,8),"dd/mm")&amp;" ("&amp;CHOOSE(WEEKDAY(DATE(Configurações!$B$3,2,8)),"Dom","Seg","Ter","Qua","Qui","Sex","Sáb")&amp;")","—")</f>
        <v/>
      </c>
      <c r="BV65" s="18">
        <f>"Dia 9 — "&amp;IF(9&lt;=$Z$3,TEXT(DATE(Configurações!$B$3,2,9),"dd/mm")&amp;" ("&amp;CHOOSE(WEEKDAY(DATE(Configurações!$B$3,2,9)),"Dom","Seg","Ter","Qua","Qui","Sex","Sáb")&amp;")","—")</f>
        <v/>
      </c>
      <c r="CE65" s="18">
        <f>"Dia 10 — "&amp;IF(10&lt;=$Z$3,TEXT(DATE(Configurações!$B$3,2,10),"dd/mm")&amp;" ("&amp;CHOOSE(WEEKDAY(DATE(Configurações!$B$3,2,10)),"Dom","Seg","Ter","Qua","Qui","Sex","Sáb")&amp;")","—")</f>
        <v/>
      </c>
      <c r="CN65" s="18">
        <f>"Dia 11 — "&amp;IF(11&lt;=$Z$3,TEXT(DATE(Configurações!$B$3,2,11),"dd/mm")&amp;" ("&amp;CHOOSE(WEEKDAY(DATE(Configurações!$B$3,2,11)),"Dom","Seg","Ter","Qua","Qui","Sex","Sáb")&amp;")","—")</f>
        <v/>
      </c>
      <c r="CW65" s="18">
        <f>"Dia 12 — "&amp;IF(12&lt;=$Z$3,TEXT(DATE(Configurações!$B$3,2,12),"dd/mm")&amp;" ("&amp;CHOOSE(WEEKDAY(DATE(Configurações!$B$3,2,12)),"Dom","Seg","Ter","Qua","Qui","Sex","Sáb")&amp;")","—")</f>
        <v/>
      </c>
      <c r="DF65" s="18">
        <f>"Dia 13 — "&amp;IF(13&lt;=$Z$3,TEXT(DATE(Configurações!$B$3,2,13),"dd/mm")&amp;" ("&amp;CHOOSE(WEEKDAY(DATE(Configurações!$B$3,2,13)),"Dom","Seg","Ter","Qua","Qui","Sex","Sáb")&amp;")","—")</f>
        <v/>
      </c>
      <c r="DO65" s="18">
        <f>"Dia 14 — "&amp;IF(14&lt;=$Z$3,TEXT(DATE(Configurações!$B$3,2,14),"dd/mm")&amp;" ("&amp;CHOOSE(WEEKDAY(DATE(Configurações!$B$3,2,14)),"Dom","Seg","Ter","Qua","Qui","Sex","Sáb")&amp;")","—")</f>
        <v/>
      </c>
      <c r="DX65" s="18">
        <f>"Dia 15 — "&amp;IF(15&lt;=$Z$3,TEXT(DATE(Configurações!$B$3,2,15),"dd/mm")&amp;" ("&amp;CHOOSE(WEEKDAY(DATE(Configurações!$B$3,2,15)),"Dom","Seg","Ter","Qua","Qui","Sex","Sáb")&amp;")","—")</f>
        <v/>
      </c>
      <c r="EG65" s="18">
        <f>"Dia 16 — "&amp;IF(16&lt;=$Z$3,TEXT(DATE(Configurações!$B$3,2,16),"dd/mm")&amp;" ("&amp;CHOOSE(WEEKDAY(DATE(Configurações!$B$3,2,16)),"Dom","Seg","Ter","Qua","Qui","Sex","Sáb")&amp;")","—")</f>
        <v/>
      </c>
      <c r="EP65" s="18">
        <f>"Dia 17 — "&amp;IF(17&lt;=$Z$3,TEXT(DATE(Configurações!$B$3,2,17),"dd/mm")&amp;" ("&amp;CHOOSE(WEEKDAY(DATE(Configurações!$B$3,2,17)),"Dom","Seg","Ter","Qua","Qui","Sex","Sáb")&amp;")","—")</f>
        <v/>
      </c>
      <c r="EY65" s="18">
        <f>"Dia 18 — "&amp;IF(18&lt;=$Z$3,TEXT(DATE(Configurações!$B$3,2,18),"dd/mm")&amp;" ("&amp;CHOOSE(WEEKDAY(DATE(Configurações!$B$3,2,18)),"Dom","Seg","Ter","Qua","Qui","Sex","Sáb")&amp;")","—")</f>
        <v/>
      </c>
      <c r="FH65" s="18">
        <f>"Dia 19 — "&amp;IF(19&lt;=$Z$3,TEXT(DATE(Configurações!$B$3,2,19),"dd/mm")&amp;" ("&amp;CHOOSE(WEEKDAY(DATE(Configurações!$B$3,2,19)),"Dom","Seg","Ter","Qua","Qui","Sex","Sáb")&amp;")","—")</f>
        <v/>
      </c>
      <c r="FQ65" s="18">
        <f>"Dia 20 — "&amp;IF(20&lt;=$Z$3,TEXT(DATE(Configurações!$B$3,2,20),"dd/mm")&amp;" ("&amp;CHOOSE(WEEKDAY(DATE(Configurações!$B$3,2,20)),"Dom","Seg","Ter","Qua","Qui","Sex","Sáb")&amp;")","—")</f>
        <v/>
      </c>
      <c r="FZ65" s="18">
        <f>"Dia 21 — "&amp;IF(21&lt;=$Z$3,TEXT(DATE(Configurações!$B$3,2,21),"dd/mm")&amp;" ("&amp;CHOOSE(WEEKDAY(DATE(Configurações!$B$3,2,21)),"Dom","Seg","Ter","Qua","Qui","Sex","Sáb")&amp;")","—")</f>
        <v/>
      </c>
      <c r="GI65" s="18">
        <f>"Dia 22 — "&amp;IF(22&lt;=$Z$3,TEXT(DATE(Configurações!$B$3,2,22),"dd/mm")&amp;" ("&amp;CHOOSE(WEEKDAY(DATE(Configurações!$B$3,2,22)),"Dom","Seg","Ter","Qua","Qui","Sex","Sáb")&amp;")","—")</f>
        <v/>
      </c>
      <c r="GR65" s="18">
        <f>"Dia 23 — "&amp;IF(23&lt;=$Z$3,TEXT(DATE(Configurações!$B$3,2,23),"dd/mm")&amp;" ("&amp;CHOOSE(WEEKDAY(DATE(Configurações!$B$3,2,23)),"Dom","Seg","Ter","Qua","Qui","Sex","Sáb")&amp;")","—")</f>
        <v/>
      </c>
      <c r="HA65" s="18">
        <f>"Dia 24 — "&amp;IF(24&lt;=$Z$3,TEXT(DATE(Configurações!$B$3,2,24),"dd/mm")&amp;" ("&amp;CHOOSE(WEEKDAY(DATE(Configurações!$B$3,2,24)),"Dom","Seg","Ter","Qua","Qui","Sex","Sáb")&amp;")","—")</f>
        <v/>
      </c>
      <c r="HJ65" s="18">
        <f>"Dia 25 — "&amp;IF(25&lt;=$Z$3,TEXT(DATE(Configurações!$B$3,2,25),"dd/mm")&amp;" ("&amp;CHOOSE(WEEKDAY(DATE(Configurações!$B$3,2,25)),"Dom","Seg","Ter","Qua","Qui","Sex","Sáb")&amp;")","—")</f>
        <v/>
      </c>
      <c r="HS65" s="18">
        <f>"Dia 26 — "&amp;IF(26&lt;=$Z$3,TEXT(DATE(Configurações!$B$3,2,26),"dd/mm")&amp;" ("&amp;CHOOSE(WEEKDAY(DATE(Configurações!$B$3,2,26)),"Dom","Seg","Ter","Qua","Qui","Sex","Sáb")&amp;")","—")</f>
        <v/>
      </c>
      <c r="IB65" s="18">
        <f>"Dia 27 — "&amp;IF(27&lt;=$Z$3,TEXT(DATE(Configurações!$B$3,2,27),"dd/mm")&amp;" ("&amp;CHOOSE(WEEKDAY(DATE(Configurações!$B$3,2,27)),"Dom","Seg","Ter","Qua","Qui","Sex","Sáb")&amp;")","—")</f>
        <v/>
      </c>
      <c r="IK65" s="18">
        <f>"Dia 28 — "&amp;IF(28&lt;=$Z$3,TEXT(DATE(Configurações!$B$3,2,28),"dd/mm")&amp;" ("&amp;CHOOSE(WEEKDAY(DATE(Configurações!$B$3,2,28)),"Dom","Seg","Ter","Qua","Qui","Sex","Sáb")&amp;")","—")</f>
        <v/>
      </c>
      <c r="IT65" s="18">
        <f>"Dia 29 — "&amp;IF(29&lt;=$Z$3,TEXT(DATE(Configurações!$B$3,2,29),"dd/mm")&amp;" ("&amp;CHOOSE(WEEKDAY(DATE(Configurações!$B$3,2,29)),"Dom","Seg","Ter","Qua","Qui","Sex","Sáb")&amp;")","—")</f>
        <v/>
      </c>
      <c r="JC65" s="18">
        <f>"Dia 30 — "&amp;IF(30&lt;=$Z$3,TEXT(DATE(Configurações!$B$3,2,30),"dd/mm")&amp;" ("&amp;CHOOSE(WEEKDAY(DATE(Configurações!$B$3,2,30)),"Dom","Seg","Ter","Qua","Qui","Sex","Sáb")&amp;")","—")</f>
        <v/>
      </c>
      <c r="JL65" s="18">
        <f>"Dia 31 — "&amp;IF(31&lt;=$Z$3,TEXT(DATE(Configurações!$B$3,2,31),"dd/mm")&amp;" ("&amp;CHOOSE(WEEKDAY(DATE(Configurações!$B$3,2,31)),"Dom","Seg","Ter","Qua","Qui","Sex","Sáb")&amp;")","—")</f>
        <v/>
      </c>
      <c r="JU65" s="53" t="inlineStr">
        <is>
          <t>Produção Total (Mês)</t>
        </is>
      </c>
      <c r="JV65" s="53" t="inlineStr">
        <is>
          <t>Captação Líquida (Mês)</t>
        </is>
      </c>
      <c r="JW65" s="53" t="inlineStr">
        <is>
          <t>Saldo Pulso Atual</t>
        </is>
      </c>
      <c r="JX65" s="53" t="inlineStr">
        <is>
          <t>Média Diária</t>
        </is>
      </c>
      <c r="JY65" s="53" t="inlineStr">
        <is>
          <t>Meta Mensal</t>
        </is>
      </c>
      <c r="JZ65" s="53" t="inlineStr">
        <is>
          <t>Status Meta</t>
        </is>
      </c>
      <c r="KA65" s="53" t="inlineStr"/>
    </row>
    <row r="66" ht="26" customHeight="1">
      <c r="B66" s="54" t="inlineStr">
        <is>
          <t>Saldo Pulso</t>
        </is>
      </c>
      <c r="C66" s="54" t="inlineStr">
        <is>
          <t>Saldo Anterior</t>
        </is>
      </c>
      <c r="D66" s="54" t="inlineStr">
        <is>
          <t>Captação Líq.</t>
        </is>
      </c>
      <c r="E66" s="54" t="inlineStr">
        <is>
          <t>COE</t>
        </is>
      </c>
      <c r="F66" s="54" t="inlineStr">
        <is>
          <t>Previdência</t>
        </is>
      </c>
      <c r="G66" s="54" t="inlineStr">
        <is>
          <t>Créd. Privado</t>
        </is>
      </c>
      <c r="H66" s="54" t="inlineStr">
        <is>
          <t>Tít. Públicos</t>
        </is>
      </c>
      <c r="I66" s="54" t="inlineStr">
        <is>
          <t>Produção Tot.</t>
        </is>
      </c>
      <c r="J66" s="54" t="inlineStr">
        <is>
          <t>Obs.</t>
        </is>
      </c>
      <c r="K66" s="54" t="inlineStr">
        <is>
          <t>Saldo Pulso</t>
        </is>
      </c>
      <c r="L66" s="54" t="inlineStr">
        <is>
          <t>Saldo Anterior</t>
        </is>
      </c>
      <c r="M66" s="54" t="inlineStr">
        <is>
          <t>Captação Líq.</t>
        </is>
      </c>
      <c r="N66" s="54" t="inlineStr">
        <is>
          <t>COE</t>
        </is>
      </c>
      <c r="O66" s="54" t="inlineStr">
        <is>
          <t>Previdência</t>
        </is>
      </c>
      <c r="P66" s="54" t="inlineStr">
        <is>
          <t>Créd. Privado</t>
        </is>
      </c>
      <c r="Q66" s="54" t="inlineStr">
        <is>
          <t>Tít. Públicos</t>
        </is>
      </c>
      <c r="R66" s="54" t="inlineStr">
        <is>
          <t>Produção Tot.</t>
        </is>
      </c>
      <c r="S66" s="54" t="inlineStr">
        <is>
          <t>Obs.</t>
        </is>
      </c>
      <c r="T66" s="54" t="inlineStr">
        <is>
          <t>Saldo Pulso</t>
        </is>
      </c>
      <c r="U66" s="54" t="inlineStr">
        <is>
          <t>Saldo Anterior</t>
        </is>
      </c>
      <c r="V66" s="54" t="inlineStr">
        <is>
          <t>Captação Líq.</t>
        </is>
      </c>
      <c r="W66" s="54" t="inlineStr">
        <is>
          <t>COE</t>
        </is>
      </c>
      <c r="X66" s="54" t="inlineStr">
        <is>
          <t>Previdência</t>
        </is>
      </c>
      <c r="Y66" s="54" t="inlineStr">
        <is>
          <t>Créd. Privado</t>
        </is>
      </c>
      <c r="Z66" s="54" t="inlineStr">
        <is>
          <t>Tít. Públicos</t>
        </is>
      </c>
      <c r="AA66" s="54" t="inlineStr">
        <is>
          <t>Produção Tot.</t>
        </is>
      </c>
      <c r="AB66" s="54" t="inlineStr">
        <is>
          <t>Obs.</t>
        </is>
      </c>
      <c r="AC66" s="54" t="inlineStr">
        <is>
          <t>Saldo Pulso</t>
        </is>
      </c>
      <c r="AD66" s="54" t="inlineStr">
        <is>
          <t>Saldo Anterior</t>
        </is>
      </c>
      <c r="AE66" s="54" t="inlineStr">
        <is>
          <t>Captação Líq.</t>
        </is>
      </c>
      <c r="AF66" s="54" t="inlineStr">
        <is>
          <t>COE</t>
        </is>
      </c>
      <c r="AG66" s="54" t="inlineStr">
        <is>
          <t>Previdência</t>
        </is>
      </c>
      <c r="AH66" s="54" t="inlineStr">
        <is>
          <t>Créd. Privado</t>
        </is>
      </c>
      <c r="AI66" s="54" t="inlineStr">
        <is>
          <t>Tít. Públicos</t>
        </is>
      </c>
      <c r="AJ66" s="54" t="inlineStr">
        <is>
          <t>Produção Tot.</t>
        </is>
      </c>
      <c r="AK66" s="54" t="inlineStr">
        <is>
          <t>Obs.</t>
        </is>
      </c>
      <c r="AL66" s="54" t="inlineStr">
        <is>
          <t>Saldo Pulso</t>
        </is>
      </c>
      <c r="AM66" s="54" t="inlineStr">
        <is>
          <t>Saldo Anterior</t>
        </is>
      </c>
      <c r="AN66" s="54" t="inlineStr">
        <is>
          <t>Captação Líq.</t>
        </is>
      </c>
      <c r="AO66" s="54" t="inlineStr">
        <is>
          <t>COE</t>
        </is>
      </c>
      <c r="AP66" s="54" t="inlineStr">
        <is>
          <t>Previdência</t>
        </is>
      </c>
      <c r="AQ66" s="54" t="inlineStr">
        <is>
          <t>Créd. Privado</t>
        </is>
      </c>
      <c r="AR66" s="54" t="inlineStr">
        <is>
          <t>Tít. Públicos</t>
        </is>
      </c>
      <c r="AS66" s="54" t="inlineStr">
        <is>
          <t>Produção Tot.</t>
        </is>
      </c>
      <c r="AT66" s="54" t="inlineStr">
        <is>
          <t>Obs.</t>
        </is>
      </c>
      <c r="AU66" s="54" t="inlineStr">
        <is>
          <t>Saldo Pulso</t>
        </is>
      </c>
      <c r="AV66" s="54" t="inlineStr">
        <is>
          <t>Saldo Anterior</t>
        </is>
      </c>
      <c r="AW66" s="54" t="inlineStr">
        <is>
          <t>Captação Líq.</t>
        </is>
      </c>
      <c r="AX66" s="54" t="inlineStr">
        <is>
          <t>COE</t>
        </is>
      </c>
      <c r="AY66" s="54" t="inlineStr">
        <is>
          <t>Previdência</t>
        </is>
      </c>
      <c r="AZ66" s="54" t="inlineStr">
        <is>
          <t>Créd. Privado</t>
        </is>
      </c>
      <c r="BA66" s="54" t="inlineStr">
        <is>
          <t>Tít. Públicos</t>
        </is>
      </c>
      <c r="BB66" s="54" t="inlineStr">
        <is>
          <t>Produção Tot.</t>
        </is>
      </c>
      <c r="BC66" s="54" t="inlineStr">
        <is>
          <t>Obs.</t>
        </is>
      </c>
      <c r="BD66" s="54" t="inlineStr">
        <is>
          <t>Saldo Pulso</t>
        </is>
      </c>
      <c r="BE66" s="54" t="inlineStr">
        <is>
          <t>Saldo Anterior</t>
        </is>
      </c>
      <c r="BF66" s="54" t="inlineStr">
        <is>
          <t>Captação Líq.</t>
        </is>
      </c>
      <c r="BG66" s="54" t="inlineStr">
        <is>
          <t>COE</t>
        </is>
      </c>
      <c r="BH66" s="54" t="inlineStr">
        <is>
          <t>Previdência</t>
        </is>
      </c>
      <c r="BI66" s="54" t="inlineStr">
        <is>
          <t>Créd. Privado</t>
        </is>
      </c>
      <c r="BJ66" s="54" t="inlineStr">
        <is>
          <t>Tít. Públicos</t>
        </is>
      </c>
      <c r="BK66" s="54" t="inlineStr">
        <is>
          <t>Produção Tot.</t>
        </is>
      </c>
      <c r="BL66" s="54" t="inlineStr">
        <is>
          <t>Obs.</t>
        </is>
      </c>
      <c r="BM66" s="54" t="inlineStr">
        <is>
          <t>Saldo Pulso</t>
        </is>
      </c>
      <c r="BN66" s="54" t="inlineStr">
        <is>
          <t>Saldo Anterior</t>
        </is>
      </c>
      <c r="BO66" s="54" t="inlineStr">
        <is>
          <t>Captação Líq.</t>
        </is>
      </c>
      <c r="BP66" s="54" t="inlineStr">
        <is>
          <t>COE</t>
        </is>
      </c>
      <c r="BQ66" s="54" t="inlineStr">
        <is>
          <t>Previdência</t>
        </is>
      </c>
      <c r="BR66" s="54" t="inlineStr">
        <is>
          <t>Créd. Privado</t>
        </is>
      </c>
      <c r="BS66" s="54" t="inlineStr">
        <is>
          <t>Tít. Públicos</t>
        </is>
      </c>
      <c r="BT66" s="54" t="inlineStr">
        <is>
          <t>Produção Tot.</t>
        </is>
      </c>
      <c r="BU66" s="54" t="inlineStr">
        <is>
          <t>Obs.</t>
        </is>
      </c>
      <c r="BV66" s="54" t="inlineStr">
        <is>
          <t>Saldo Pulso</t>
        </is>
      </c>
      <c r="BW66" s="54" t="inlineStr">
        <is>
          <t>Saldo Anterior</t>
        </is>
      </c>
      <c r="BX66" s="54" t="inlineStr">
        <is>
          <t>Captação Líq.</t>
        </is>
      </c>
      <c r="BY66" s="54" t="inlineStr">
        <is>
          <t>COE</t>
        </is>
      </c>
      <c r="BZ66" s="54" t="inlineStr">
        <is>
          <t>Previdência</t>
        </is>
      </c>
      <c r="CA66" s="54" t="inlineStr">
        <is>
          <t>Créd. Privado</t>
        </is>
      </c>
      <c r="CB66" s="54" t="inlineStr">
        <is>
          <t>Tít. Públicos</t>
        </is>
      </c>
      <c r="CC66" s="54" t="inlineStr">
        <is>
          <t>Produção Tot.</t>
        </is>
      </c>
      <c r="CD66" s="54" t="inlineStr">
        <is>
          <t>Obs.</t>
        </is>
      </c>
      <c r="CE66" s="54" t="inlineStr">
        <is>
          <t>Saldo Pulso</t>
        </is>
      </c>
      <c r="CF66" s="54" t="inlineStr">
        <is>
          <t>Saldo Anterior</t>
        </is>
      </c>
      <c r="CG66" s="54" t="inlineStr">
        <is>
          <t>Captação Líq.</t>
        </is>
      </c>
      <c r="CH66" s="54" t="inlineStr">
        <is>
          <t>COE</t>
        </is>
      </c>
      <c r="CI66" s="54" t="inlineStr">
        <is>
          <t>Previdência</t>
        </is>
      </c>
      <c r="CJ66" s="54" t="inlineStr">
        <is>
          <t>Créd. Privado</t>
        </is>
      </c>
      <c r="CK66" s="54" t="inlineStr">
        <is>
          <t>Tít. Públicos</t>
        </is>
      </c>
      <c r="CL66" s="54" t="inlineStr">
        <is>
          <t>Produção Tot.</t>
        </is>
      </c>
      <c r="CM66" s="54" t="inlineStr">
        <is>
          <t>Obs.</t>
        </is>
      </c>
      <c r="CN66" s="54" t="inlineStr">
        <is>
          <t>Saldo Pulso</t>
        </is>
      </c>
      <c r="CO66" s="54" t="inlineStr">
        <is>
          <t>Saldo Anterior</t>
        </is>
      </c>
      <c r="CP66" s="54" t="inlineStr">
        <is>
          <t>Captação Líq.</t>
        </is>
      </c>
      <c r="CQ66" s="54" t="inlineStr">
        <is>
          <t>COE</t>
        </is>
      </c>
      <c r="CR66" s="54" t="inlineStr">
        <is>
          <t>Previdência</t>
        </is>
      </c>
      <c r="CS66" s="54" t="inlineStr">
        <is>
          <t>Créd. Privado</t>
        </is>
      </c>
      <c r="CT66" s="54" t="inlineStr">
        <is>
          <t>Tít. Públicos</t>
        </is>
      </c>
      <c r="CU66" s="54" t="inlineStr">
        <is>
          <t>Produção Tot.</t>
        </is>
      </c>
      <c r="CV66" s="54" t="inlineStr">
        <is>
          <t>Obs.</t>
        </is>
      </c>
      <c r="CW66" s="54" t="inlineStr">
        <is>
          <t>Saldo Pulso</t>
        </is>
      </c>
      <c r="CX66" s="54" t="inlineStr">
        <is>
          <t>Saldo Anterior</t>
        </is>
      </c>
      <c r="CY66" s="54" t="inlineStr">
        <is>
          <t>Captação Líq.</t>
        </is>
      </c>
      <c r="CZ66" s="54" t="inlineStr">
        <is>
          <t>COE</t>
        </is>
      </c>
      <c r="DA66" s="54" t="inlineStr">
        <is>
          <t>Previdência</t>
        </is>
      </c>
      <c r="DB66" s="54" t="inlineStr">
        <is>
          <t>Créd. Privado</t>
        </is>
      </c>
      <c r="DC66" s="54" t="inlineStr">
        <is>
          <t>Tít. Públicos</t>
        </is>
      </c>
      <c r="DD66" s="54" t="inlineStr">
        <is>
          <t>Produção Tot.</t>
        </is>
      </c>
      <c r="DE66" s="54" t="inlineStr">
        <is>
          <t>Obs.</t>
        </is>
      </c>
      <c r="DF66" s="54" t="inlineStr">
        <is>
          <t>Saldo Pulso</t>
        </is>
      </c>
      <c r="DG66" s="54" t="inlineStr">
        <is>
          <t>Saldo Anterior</t>
        </is>
      </c>
      <c r="DH66" s="54" t="inlineStr">
        <is>
          <t>Captação Líq.</t>
        </is>
      </c>
      <c r="DI66" s="54" t="inlineStr">
        <is>
          <t>COE</t>
        </is>
      </c>
      <c r="DJ66" s="54" t="inlineStr">
        <is>
          <t>Previdência</t>
        </is>
      </c>
      <c r="DK66" s="54" t="inlineStr">
        <is>
          <t>Créd. Privado</t>
        </is>
      </c>
      <c r="DL66" s="54" t="inlineStr">
        <is>
          <t>Tít. Públicos</t>
        </is>
      </c>
      <c r="DM66" s="54" t="inlineStr">
        <is>
          <t>Produção Tot.</t>
        </is>
      </c>
      <c r="DN66" s="54" t="inlineStr">
        <is>
          <t>Obs.</t>
        </is>
      </c>
      <c r="DO66" s="54" t="inlineStr">
        <is>
          <t>Saldo Pulso</t>
        </is>
      </c>
      <c r="DP66" s="54" t="inlineStr">
        <is>
          <t>Saldo Anterior</t>
        </is>
      </c>
      <c r="DQ66" s="54" t="inlineStr">
        <is>
          <t>Captação Líq.</t>
        </is>
      </c>
      <c r="DR66" s="54" t="inlineStr">
        <is>
          <t>COE</t>
        </is>
      </c>
      <c r="DS66" s="54" t="inlineStr">
        <is>
          <t>Previdência</t>
        </is>
      </c>
      <c r="DT66" s="54" t="inlineStr">
        <is>
          <t>Créd. Privado</t>
        </is>
      </c>
      <c r="DU66" s="54" t="inlineStr">
        <is>
          <t>Tít. Públicos</t>
        </is>
      </c>
      <c r="DV66" s="54" t="inlineStr">
        <is>
          <t>Produção Tot.</t>
        </is>
      </c>
      <c r="DW66" s="54" t="inlineStr">
        <is>
          <t>Obs.</t>
        </is>
      </c>
      <c r="DX66" s="54" t="inlineStr">
        <is>
          <t>Saldo Pulso</t>
        </is>
      </c>
      <c r="DY66" s="54" t="inlineStr">
        <is>
          <t>Saldo Anterior</t>
        </is>
      </c>
      <c r="DZ66" s="54" t="inlineStr">
        <is>
          <t>Captação Líq.</t>
        </is>
      </c>
      <c r="EA66" s="54" t="inlineStr">
        <is>
          <t>COE</t>
        </is>
      </c>
      <c r="EB66" s="54" t="inlineStr">
        <is>
          <t>Previdência</t>
        </is>
      </c>
      <c r="EC66" s="54" t="inlineStr">
        <is>
          <t>Créd. Privado</t>
        </is>
      </c>
      <c r="ED66" s="54" t="inlineStr">
        <is>
          <t>Tít. Públicos</t>
        </is>
      </c>
      <c r="EE66" s="54" t="inlineStr">
        <is>
          <t>Produção Tot.</t>
        </is>
      </c>
      <c r="EF66" s="54" t="inlineStr">
        <is>
          <t>Obs.</t>
        </is>
      </c>
      <c r="EG66" s="54" t="inlineStr">
        <is>
          <t>Saldo Pulso</t>
        </is>
      </c>
      <c r="EH66" s="54" t="inlineStr">
        <is>
          <t>Saldo Anterior</t>
        </is>
      </c>
      <c r="EI66" s="54" t="inlineStr">
        <is>
          <t>Captação Líq.</t>
        </is>
      </c>
      <c r="EJ66" s="54" t="inlineStr">
        <is>
          <t>COE</t>
        </is>
      </c>
      <c r="EK66" s="54" t="inlineStr">
        <is>
          <t>Previdência</t>
        </is>
      </c>
      <c r="EL66" s="54" t="inlineStr">
        <is>
          <t>Créd. Privado</t>
        </is>
      </c>
      <c r="EM66" s="54" t="inlineStr">
        <is>
          <t>Tít. Públicos</t>
        </is>
      </c>
      <c r="EN66" s="54" t="inlineStr">
        <is>
          <t>Produção Tot.</t>
        </is>
      </c>
      <c r="EO66" s="54" t="inlineStr">
        <is>
          <t>Obs.</t>
        </is>
      </c>
      <c r="EP66" s="54" t="inlineStr">
        <is>
          <t>Saldo Pulso</t>
        </is>
      </c>
      <c r="EQ66" s="54" t="inlineStr">
        <is>
          <t>Saldo Anterior</t>
        </is>
      </c>
      <c r="ER66" s="54" t="inlineStr">
        <is>
          <t>Captação Líq.</t>
        </is>
      </c>
      <c r="ES66" s="54" t="inlineStr">
        <is>
          <t>COE</t>
        </is>
      </c>
      <c r="ET66" s="54" t="inlineStr">
        <is>
          <t>Previdência</t>
        </is>
      </c>
      <c r="EU66" s="54" t="inlineStr">
        <is>
          <t>Créd. Privado</t>
        </is>
      </c>
      <c r="EV66" s="54" t="inlineStr">
        <is>
          <t>Tít. Públicos</t>
        </is>
      </c>
      <c r="EW66" s="54" t="inlineStr">
        <is>
          <t>Produção Tot.</t>
        </is>
      </c>
      <c r="EX66" s="54" t="inlineStr">
        <is>
          <t>Obs.</t>
        </is>
      </c>
      <c r="EY66" s="54" t="inlineStr">
        <is>
          <t>Saldo Pulso</t>
        </is>
      </c>
      <c r="EZ66" s="54" t="inlineStr">
        <is>
          <t>Saldo Anterior</t>
        </is>
      </c>
      <c r="FA66" s="54" t="inlineStr">
        <is>
          <t>Captação Líq.</t>
        </is>
      </c>
      <c r="FB66" s="54" t="inlineStr">
        <is>
          <t>COE</t>
        </is>
      </c>
      <c r="FC66" s="54" t="inlineStr">
        <is>
          <t>Previdência</t>
        </is>
      </c>
      <c r="FD66" s="54" t="inlineStr">
        <is>
          <t>Créd. Privado</t>
        </is>
      </c>
      <c r="FE66" s="54" t="inlineStr">
        <is>
          <t>Tít. Públicos</t>
        </is>
      </c>
      <c r="FF66" s="54" t="inlineStr">
        <is>
          <t>Produção Tot.</t>
        </is>
      </c>
      <c r="FG66" s="54" t="inlineStr">
        <is>
          <t>Obs.</t>
        </is>
      </c>
      <c r="FH66" s="54" t="inlineStr">
        <is>
          <t>Saldo Pulso</t>
        </is>
      </c>
      <c r="FI66" s="54" t="inlineStr">
        <is>
          <t>Saldo Anterior</t>
        </is>
      </c>
      <c r="FJ66" s="54" t="inlineStr">
        <is>
          <t>Captação Líq.</t>
        </is>
      </c>
      <c r="FK66" s="54" t="inlineStr">
        <is>
          <t>COE</t>
        </is>
      </c>
      <c r="FL66" s="54" t="inlineStr">
        <is>
          <t>Previdência</t>
        </is>
      </c>
      <c r="FM66" s="54" t="inlineStr">
        <is>
          <t>Créd. Privado</t>
        </is>
      </c>
      <c r="FN66" s="54" t="inlineStr">
        <is>
          <t>Tít. Públicos</t>
        </is>
      </c>
      <c r="FO66" s="54" t="inlineStr">
        <is>
          <t>Produção Tot.</t>
        </is>
      </c>
      <c r="FP66" s="54" t="inlineStr">
        <is>
          <t>Obs.</t>
        </is>
      </c>
      <c r="FQ66" s="54" t="inlineStr">
        <is>
          <t>Saldo Pulso</t>
        </is>
      </c>
      <c r="FR66" s="54" t="inlineStr">
        <is>
          <t>Saldo Anterior</t>
        </is>
      </c>
      <c r="FS66" s="54" t="inlineStr">
        <is>
          <t>Captação Líq.</t>
        </is>
      </c>
      <c r="FT66" s="54" t="inlineStr">
        <is>
          <t>COE</t>
        </is>
      </c>
      <c r="FU66" s="54" t="inlineStr">
        <is>
          <t>Previdência</t>
        </is>
      </c>
      <c r="FV66" s="54" t="inlineStr">
        <is>
          <t>Créd. Privado</t>
        </is>
      </c>
      <c r="FW66" s="54" t="inlineStr">
        <is>
          <t>Tít. Públicos</t>
        </is>
      </c>
      <c r="FX66" s="54" t="inlineStr">
        <is>
          <t>Produção Tot.</t>
        </is>
      </c>
      <c r="FY66" s="54" t="inlineStr">
        <is>
          <t>Obs.</t>
        </is>
      </c>
      <c r="FZ66" s="54" t="inlineStr">
        <is>
          <t>Saldo Pulso</t>
        </is>
      </c>
      <c r="GA66" s="54" t="inlineStr">
        <is>
          <t>Saldo Anterior</t>
        </is>
      </c>
      <c r="GB66" s="54" t="inlineStr">
        <is>
          <t>Captação Líq.</t>
        </is>
      </c>
      <c r="GC66" s="54" t="inlineStr">
        <is>
          <t>COE</t>
        </is>
      </c>
      <c r="GD66" s="54" t="inlineStr">
        <is>
          <t>Previdência</t>
        </is>
      </c>
      <c r="GE66" s="54" t="inlineStr">
        <is>
          <t>Créd. Privado</t>
        </is>
      </c>
      <c r="GF66" s="54" t="inlineStr">
        <is>
          <t>Tít. Públicos</t>
        </is>
      </c>
      <c r="GG66" s="54" t="inlineStr">
        <is>
          <t>Produção Tot.</t>
        </is>
      </c>
      <c r="GH66" s="54" t="inlineStr">
        <is>
          <t>Obs.</t>
        </is>
      </c>
      <c r="GI66" s="54" t="inlineStr">
        <is>
          <t>Saldo Pulso</t>
        </is>
      </c>
      <c r="GJ66" s="54" t="inlineStr">
        <is>
          <t>Saldo Anterior</t>
        </is>
      </c>
      <c r="GK66" s="54" t="inlineStr">
        <is>
          <t>Captação Líq.</t>
        </is>
      </c>
      <c r="GL66" s="54" t="inlineStr">
        <is>
          <t>COE</t>
        </is>
      </c>
      <c r="GM66" s="54" t="inlineStr">
        <is>
          <t>Previdência</t>
        </is>
      </c>
      <c r="GN66" s="54" t="inlineStr">
        <is>
          <t>Créd. Privado</t>
        </is>
      </c>
      <c r="GO66" s="54" t="inlineStr">
        <is>
          <t>Tít. Públicos</t>
        </is>
      </c>
      <c r="GP66" s="54" t="inlineStr">
        <is>
          <t>Produção Tot.</t>
        </is>
      </c>
      <c r="GQ66" s="54" t="inlineStr">
        <is>
          <t>Obs.</t>
        </is>
      </c>
      <c r="GR66" s="54" t="inlineStr">
        <is>
          <t>Saldo Pulso</t>
        </is>
      </c>
      <c r="GS66" s="54" t="inlineStr">
        <is>
          <t>Saldo Anterior</t>
        </is>
      </c>
      <c r="GT66" s="54" t="inlineStr">
        <is>
          <t>Captação Líq.</t>
        </is>
      </c>
      <c r="GU66" s="54" t="inlineStr">
        <is>
          <t>COE</t>
        </is>
      </c>
      <c r="GV66" s="54" t="inlineStr">
        <is>
          <t>Previdência</t>
        </is>
      </c>
      <c r="GW66" s="54" t="inlineStr">
        <is>
          <t>Créd. Privado</t>
        </is>
      </c>
      <c r="GX66" s="54" t="inlineStr">
        <is>
          <t>Tít. Públicos</t>
        </is>
      </c>
      <c r="GY66" s="54" t="inlineStr">
        <is>
          <t>Produção Tot.</t>
        </is>
      </c>
      <c r="GZ66" s="54" t="inlineStr">
        <is>
          <t>Obs.</t>
        </is>
      </c>
      <c r="HA66" s="54" t="inlineStr">
        <is>
          <t>Saldo Pulso</t>
        </is>
      </c>
      <c r="HB66" s="54" t="inlineStr">
        <is>
          <t>Saldo Anterior</t>
        </is>
      </c>
      <c r="HC66" s="54" t="inlineStr">
        <is>
          <t>Captação Líq.</t>
        </is>
      </c>
      <c r="HD66" s="54" t="inlineStr">
        <is>
          <t>COE</t>
        </is>
      </c>
      <c r="HE66" s="54" t="inlineStr">
        <is>
          <t>Previdência</t>
        </is>
      </c>
      <c r="HF66" s="54" t="inlineStr">
        <is>
          <t>Créd. Privado</t>
        </is>
      </c>
      <c r="HG66" s="54" t="inlineStr">
        <is>
          <t>Tít. Públicos</t>
        </is>
      </c>
      <c r="HH66" s="54" t="inlineStr">
        <is>
          <t>Produção Tot.</t>
        </is>
      </c>
      <c r="HI66" s="54" t="inlineStr">
        <is>
          <t>Obs.</t>
        </is>
      </c>
      <c r="HJ66" s="54" t="inlineStr">
        <is>
          <t>Saldo Pulso</t>
        </is>
      </c>
      <c r="HK66" s="54" t="inlineStr">
        <is>
          <t>Saldo Anterior</t>
        </is>
      </c>
      <c r="HL66" s="54" t="inlineStr">
        <is>
          <t>Captação Líq.</t>
        </is>
      </c>
      <c r="HM66" s="54" t="inlineStr">
        <is>
          <t>COE</t>
        </is>
      </c>
      <c r="HN66" s="54" t="inlineStr">
        <is>
          <t>Previdência</t>
        </is>
      </c>
      <c r="HO66" s="54" t="inlineStr">
        <is>
          <t>Créd. Privado</t>
        </is>
      </c>
      <c r="HP66" s="54" t="inlineStr">
        <is>
          <t>Tít. Públicos</t>
        </is>
      </c>
      <c r="HQ66" s="54" t="inlineStr">
        <is>
          <t>Produção Tot.</t>
        </is>
      </c>
      <c r="HR66" s="54" t="inlineStr">
        <is>
          <t>Obs.</t>
        </is>
      </c>
      <c r="HS66" s="54" t="inlineStr">
        <is>
          <t>Saldo Pulso</t>
        </is>
      </c>
      <c r="HT66" s="54" t="inlineStr">
        <is>
          <t>Saldo Anterior</t>
        </is>
      </c>
      <c r="HU66" s="54" t="inlineStr">
        <is>
          <t>Captação Líq.</t>
        </is>
      </c>
      <c r="HV66" s="54" t="inlineStr">
        <is>
          <t>COE</t>
        </is>
      </c>
      <c r="HW66" s="54" t="inlineStr">
        <is>
          <t>Previdência</t>
        </is>
      </c>
      <c r="HX66" s="54" t="inlineStr">
        <is>
          <t>Créd. Privado</t>
        </is>
      </c>
      <c r="HY66" s="54" t="inlineStr">
        <is>
          <t>Tít. Públicos</t>
        </is>
      </c>
      <c r="HZ66" s="54" t="inlineStr">
        <is>
          <t>Produção Tot.</t>
        </is>
      </c>
      <c r="IA66" s="54" t="inlineStr">
        <is>
          <t>Obs.</t>
        </is>
      </c>
      <c r="IB66" s="54" t="inlineStr">
        <is>
          <t>Saldo Pulso</t>
        </is>
      </c>
      <c r="IC66" s="54" t="inlineStr">
        <is>
          <t>Saldo Anterior</t>
        </is>
      </c>
      <c r="ID66" s="54" t="inlineStr">
        <is>
          <t>Captação Líq.</t>
        </is>
      </c>
      <c r="IE66" s="54" t="inlineStr">
        <is>
          <t>COE</t>
        </is>
      </c>
      <c r="IF66" s="54" t="inlineStr">
        <is>
          <t>Previdência</t>
        </is>
      </c>
      <c r="IG66" s="54" t="inlineStr">
        <is>
          <t>Créd. Privado</t>
        </is>
      </c>
      <c r="IH66" s="54" t="inlineStr">
        <is>
          <t>Tít. Públicos</t>
        </is>
      </c>
      <c r="II66" s="54" t="inlineStr">
        <is>
          <t>Produção Tot.</t>
        </is>
      </c>
      <c r="IJ66" s="54" t="inlineStr">
        <is>
          <t>Obs.</t>
        </is>
      </c>
      <c r="IK66" s="54" t="inlineStr">
        <is>
          <t>Saldo Pulso</t>
        </is>
      </c>
      <c r="IL66" s="54" t="inlineStr">
        <is>
          <t>Saldo Anterior</t>
        </is>
      </c>
      <c r="IM66" s="54" t="inlineStr">
        <is>
          <t>Captação Líq.</t>
        </is>
      </c>
      <c r="IN66" s="54" t="inlineStr">
        <is>
          <t>COE</t>
        </is>
      </c>
      <c r="IO66" s="54" t="inlineStr">
        <is>
          <t>Previdência</t>
        </is>
      </c>
      <c r="IP66" s="54" t="inlineStr">
        <is>
          <t>Créd. Privado</t>
        </is>
      </c>
      <c r="IQ66" s="54" t="inlineStr">
        <is>
          <t>Tít. Públicos</t>
        </is>
      </c>
      <c r="IR66" s="54" t="inlineStr">
        <is>
          <t>Produção Tot.</t>
        </is>
      </c>
      <c r="IS66" s="54" t="inlineStr">
        <is>
          <t>Obs.</t>
        </is>
      </c>
      <c r="IT66" s="54" t="inlineStr">
        <is>
          <t>Saldo Pulso</t>
        </is>
      </c>
      <c r="IU66" s="54" t="inlineStr">
        <is>
          <t>Saldo Anterior</t>
        </is>
      </c>
      <c r="IV66" s="54" t="inlineStr">
        <is>
          <t>Captação Líq.</t>
        </is>
      </c>
      <c r="IW66" s="54" t="inlineStr">
        <is>
          <t>COE</t>
        </is>
      </c>
      <c r="IX66" s="54" t="inlineStr">
        <is>
          <t>Previdência</t>
        </is>
      </c>
      <c r="IY66" s="54" t="inlineStr">
        <is>
          <t>Créd. Privado</t>
        </is>
      </c>
      <c r="IZ66" s="54" t="inlineStr">
        <is>
          <t>Tít. Públicos</t>
        </is>
      </c>
      <c r="JA66" s="54" t="inlineStr">
        <is>
          <t>Produção Tot.</t>
        </is>
      </c>
      <c r="JB66" s="54" t="inlineStr">
        <is>
          <t>Obs.</t>
        </is>
      </c>
      <c r="JC66" s="54" t="inlineStr">
        <is>
          <t>Saldo Pulso</t>
        </is>
      </c>
      <c r="JD66" s="54" t="inlineStr">
        <is>
          <t>Saldo Anterior</t>
        </is>
      </c>
      <c r="JE66" s="54" t="inlineStr">
        <is>
          <t>Captação Líq.</t>
        </is>
      </c>
      <c r="JF66" s="54" t="inlineStr">
        <is>
          <t>COE</t>
        </is>
      </c>
      <c r="JG66" s="54" t="inlineStr">
        <is>
          <t>Previdência</t>
        </is>
      </c>
      <c r="JH66" s="54" t="inlineStr">
        <is>
          <t>Créd. Privado</t>
        </is>
      </c>
      <c r="JI66" s="54" t="inlineStr">
        <is>
          <t>Tít. Públicos</t>
        </is>
      </c>
      <c r="JJ66" s="54" t="inlineStr">
        <is>
          <t>Produção Tot.</t>
        </is>
      </c>
      <c r="JK66" s="54" t="inlineStr">
        <is>
          <t>Obs.</t>
        </is>
      </c>
      <c r="JL66" s="54" t="inlineStr">
        <is>
          <t>Saldo Pulso</t>
        </is>
      </c>
      <c r="JM66" s="54" t="inlineStr">
        <is>
          <t>Saldo Anterior</t>
        </is>
      </c>
      <c r="JN66" s="54" t="inlineStr">
        <is>
          <t>Captação Líq.</t>
        </is>
      </c>
      <c r="JO66" s="54" t="inlineStr">
        <is>
          <t>COE</t>
        </is>
      </c>
      <c r="JP66" s="54" t="inlineStr">
        <is>
          <t>Previdência</t>
        </is>
      </c>
      <c r="JQ66" s="54" t="inlineStr">
        <is>
          <t>Créd. Privado</t>
        </is>
      </c>
      <c r="JR66" s="54" t="inlineStr">
        <is>
          <t>Tít. Públicos</t>
        </is>
      </c>
      <c r="JS66" s="54" t="inlineStr">
        <is>
          <t>Produção Tot.</t>
        </is>
      </c>
      <c r="JT66" s="54" t="inlineStr">
        <is>
          <t>Obs.</t>
        </is>
      </c>
      <c r="JU66" s="55" t="n"/>
      <c r="JV66" s="55" t="n"/>
      <c r="JW66" s="55" t="n"/>
      <c r="JX66" s="55" t="n"/>
      <c r="JY66" s="55" t="n"/>
      <c r="JZ66" s="55" t="n"/>
      <c r="KA66" s="55" t="n"/>
    </row>
    <row r="67" ht="20" customHeight="1">
      <c r="A67" s="56">
        <f>IF(Configurações!$B$7="","Assessor 1",Configurações!$B$7)</f>
        <v/>
      </c>
      <c r="B67" s="57" t="n"/>
      <c r="C67" s="58">
        <f>'Janeiro'!$JW67</f>
        <v/>
      </c>
      <c r="D67" s="59" t="n"/>
      <c r="E67" s="57" t="n"/>
      <c r="F67" s="57" t="n"/>
      <c r="G67" s="57" t="n"/>
      <c r="H67" s="57" t="n"/>
      <c r="I67" s="60">
        <f>SUM(E67:H67)</f>
        <v/>
      </c>
      <c r="J67" s="61" t="n"/>
      <c r="K67" s="57" t="n"/>
      <c r="L67" s="58">
        <f>B67</f>
        <v/>
      </c>
      <c r="M67" s="59" t="n"/>
      <c r="N67" s="57" t="n"/>
      <c r="O67" s="57" t="n"/>
      <c r="P67" s="57" t="n"/>
      <c r="Q67" s="57" t="n"/>
      <c r="R67" s="60">
        <f>SUM(N67:Q67)</f>
        <v/>
      </c>
      <c r="S67" s="61" t="n"/>
      <c r="T67" s="57" t="n"/>
      <c r="U67" s="58">
        <f>K67</f>
        <v/>
      </c>
      <c r="V67" s="59" t="n"/>
      <c r="W67" s="57" t="n"/>
      <c r="X67" s="57" t="n"/>
      <c r="Y67" s="57" t="n"/>
      <c r="Z67" s="57" t="n"/>
      <c r="AA67" s="60">
        <f>SUM(W67:Z67)</f>
        <v/>
      </c>
      <c r="AB67" s="61" t="n"/>
      <c r="AC67" s="57" t="n"/>
      <c r="AD67" s="58">
        <f>T67</f>
        <v/>
      </c>
      <c r="AE67" s="59" t="n"/>
      <c r="AF67" s="57" t="n"/>
      <c r="AG67" s="57" t="n"/>
      <c r="AH67" s="57" t="n"/>
      <c r="AI67" s="57" t="n"/>
      <c r="AJ67" s="60">
        <f>SUM(AF67:AI67)</f>
        <v/>
      </c>
      <c r="AK67" s="61" t="n"/>
      <c r="AL67" s="57" t="n"/>
      <c r="AM67" s="58">
        <f>AC67</f>
        <v/>
      </c>
      <c r="AN67" s="59" t="n"/>
      <c r="AO67" s="57" t="n"/>
      <c r="AP67" s="57" t="n"/>
      <c r="AQ67" s="57" t="n"/>
      <c r="AR67" s="57" t="n"/>
      <c r="AS67" s="60">
        <f>SUM(AO67:AR67)</f>
        <v/>
      </c>
      <c r="AT67" s="61" t="n"/>
      <c r="AU67" s="57" t="n"/>
      <c r="AV67" s="58">
        <f>AL67</f>
        <v/>
      </c>
      <c r="AW67" s="59" t="n"/>
      <c r="AX67" s="57" t="n"/>
      <c r="AY67" s="57" t="n"/>
      <c r="AZ67" s="57" t="n"/>
      <c r="BA67" s="57" t="n"/>
      <c r="BB67" s="60">
        <f>SUM(AX67:BA67)</f>
        <v/>
      </c>
      <c r="BC67" s="61" t="n"/>
      <c r="BD67" s="57" t="n"/>
      <c r="BE67" s="58">
        <f>AU67</f>
        <v/>
      </c>
      <c r="BF67" s="59" t="n"/>
      <c r="BG67" s="57" t="n"/>
      <c r="BH67" s="57" t="n"/>
      <c r="BI67" s="57" t="n"/>
      <c r="BJ67" s="57" t="n"/>
      <c r="BK67" s="60">
        <f>SUM(BG67:BJ67)</f>
        <v/>
      </c>
      <c r="BL67" s="61" t="n"/>
      <c r="BM67" s="57" t="n"/>
      <c r="BN67" s="58">
        <f>BD67</f>
        <v/>
      </c>
      <c r="BO67" s="59" t="n"/>
      <c r="BP67" s="57" t="n"/>
      <c r="BQ67" s="57" t="n"/>
      <c r="BR67" s="57" t="n"/>
      <c r="BS67" s="57" t="n"/>
      <c r="BT67" s="60">
        <f>SUM(BP67:BS67)</f>
        <v/>
      </c>
      <c r="BU67" s="61" t="n"/>
      <c r="BV67" s="57" t="n"/>
      <c r="BW67" s="58">
        <f>BM67</f>
        <v/>
      </c>
      <c r="BX67" s="59" t="n"/>
      <c r="BY67" s="57" t="n"/>
      <c r="BZ67" s="57" t="n"/>
      <c r="CA67" s="57" t="n"/>
      <c r="CB67" s="57" t="n"/>
      <c r="CC67" s="60">
        <f>SUM(BY67:CB67)</f>
        <v/>
      </c>
      <c r="CD67" s="61" t="n"/>
      <c r="CE67" s="57" t="n"/>
      <c r="CF67" s="58">
        <f>BV67</f>
        <v/>
      </c>
      <c r="CG67" s="59" t="n"/>
      <c r="CH67" s="57" t="n"/>
      <c r="CI67" s="57" t="n"/>
      <c r="CJ67" s="57" t="n"/>
      <c r="CK67" s="57" t="n"/>
      <c r="CL67" s="60">
        <f>SUM(CH67:CK67)</f>
        <v/>
      </c>
      <c r="CM67" s="61" t="n"/>
      <c r="CN67" s="57" t="n"/>
      <c r="CO67" s="58">
        <f>CE67</f>
        <v/>
      </c>
      <c r="CP67" s="59" t="n"/>
      <c r="CQ67" s="57" t="n"/>
      <c r="CR67" s="57" t="n"/>
      <c r="CS67" s="57" t="n"/>
      <c r="CT67" s="57" t="n"/>
      <c r="CU67" s="60">
        <f>SUM(CQ67:CT67)</f>
        <v/>
      </c>
      <c r="CV67" s="61" t="n"/>
      <c r="CW67" s="57" t="n"/>
      <c r="CX67" s="58">
        <f>CN67</f>
        <v/>
      </c>
      <c r="CY67" s="59" t="n"/>
      <c r="CZ67" s="57" t="n"/>
      <c r="DA67" s="57" t="n"/>
      <c r="DB67" s="57" t="n"/>
      <c r="DC67" s="57" t="n"/>
      <c r="DD67" s="60">
        <f>SUM(CZ67:DC67)</f>
        <v/>
      </c>
      <c r="DE67" s="61" t="n"/>
      <c r="DF67" s="57" t="n"/>
      <c r="DG67" s="58">
        <f>CW67</f>
        <v/>
      </c>
      <c r="DH67" s="59" t="n"/>
      <c r="DI67" s="57" t="n"/>
      <c r="DJ67" s="57" t="n"/>
      <c r="DK67" s="57" t="n"/>
      <c r="DL67" s="57" t="n"/>
      <c r="DM67" s="60">
        <f>SUM(DI67:DL67)</f>
        <v/>
      </c>
      <c r="DN67" s="61" t="n"/>
      <c r="DO67" s="57" t="n"/>
      <c r="DP67" s="58">
        <f>DF67</f>
        <v/>
      </c>
      <c r="DQ67" s="59" t="n"/>
      <c r="DR67" s="57" t="n"/>
      <c r="DS67" s="57" t="n"/>
      <c r="DT67" s="57" t="n"/>
      <c r="DU67" s="57" t="n"/>
      <c r="DV67" s="60">
        <f>SUM(DR67:DU67)</f>
        <v/>
      </c>
      <c r="DW67" s="61" t="n"/>
      <c r="DX67" s="57" t="n"/>
      <c r="DY67" s="58">
        <f>DO67</f>
        <v/>
      </c>
      <c r="DZ67" s="59" t="n"/>
      <c r="EA67" s="57" t="n"/>
      <c r="EB67" s="57" t="n"/>
      <c r="EC67" s="57" t="n"/>
      <c r="ED67" s="57" t="n"/>
      <c r="EE67" s="60">
        <f>SUM(EA67:ED67)</f>
        <v/>
      </c>
      <c r="EF67" s="61" t="n"/>
      <c r="EG67" s="57" t="n"/>
      <c r="EH67" s="58">
        <f>DX67</f>
        <v/>
      </c>
      <c r="EI67" s="59" t="n"/>
      <c r="EJ67" s="57" t="n"/>
      <c r="EK67" s="57" t="n"/>
      <c r="EL67" s="57" t="n"/>
      <c r="EM67" s="57" t="n"/>
      <c r="EN67" s="60">
        <f>SUM(EJ67:EM67)</f>
        <v/>
      </c>
      <c r="EO67" s="61" t="n"/>
      <c r="EP67" s="57" t="n"/>
      <c r="EQ67" s="58">
        <f>EG67</f>
        <v/>
      </c>
      <c r="ER67" s="59" t="n"/>
      <c r="ES67" s="57" t="n"/>
      <c r="ET67" s="57" t="n"/>
      <c r="EU67" s="57" t="n"/>
      <c r="EV67" s="57" t="n"/>
      <c r="EW67" s="60">
        <f>SUM(ES67:EV67)</f>
        <v/>
      </c>
      <c r="EX67" s="61" t="n"/>
      <c r="EY67" s="57" t="n"/>
      <c r="EZ67" s="58">
        <f>EP67</f>
        <v/>
      </c>
      <c r="FA67" s="59" t="n"/>
      <c r="FB67" s="57" t="n"/>
      <c r="FC67" s="57" t="n"/>
      <c r="FD67" s="57" t="n"/>
      <c r="FE67" s="57" t="n"/>
      <c r="FF67" s="60">
        <f>SUM(FB67:FE67)</f>
        <v/>
      </c>
      <c r="FG67" s="61" t="n"/>
      <c r="FH67" s="57" t="n"/>
      <c r="FI67" s="58">
        <f>EY67</f>
        <v/>
      </c>
      <c r="FJ67" s="59" t="n"/>
      <c r="FK67" s="57" t="n"/>
      <c r="FL67" s="57" t="n"/>
      <c r="FM67" s="57" t="n"/>
      <c r="FN67" s="57" t="n"/>
      <c r="FO67" s="60">
        <f>SUM(FK67:FN67)</f>
        <v/>
      </c>
      <c r="FP67" s="61" t="n"/>
      <c r="FQ67" s="57" t="n"/>
      <c r="FR67" s="58">
        <f>FH67</f>
        <v/>
      </c>
      <c r="FS67" s="59" t="n"/>
      <c r="FT67" s="57" t="n"/>
      <c r="FU67" s="57" t="n"/>
      <c r="FV67" s="57" t="n"/>
      <c r="FW67" s="57" t="n"/>
      <c r="FX67" s="60">
        <f>SUM(FT67:FW67)</f>
        <v/>
      </c>
      <c r="FY67" s="61" t="n"/>
      <c r="FZ67" s="57" t="n"/>
      <c r="GA67" s="58">
        <f>FQ67</f>
        <v/>
      </c>
      <c r="GB67" s="59" t="n"/>
      <c r="GC67" s="57" t="n"/>
      <c r="GD67" s="57" t="n"/>
      <c r="GE67" s="57" t="n"/>
      <c r="GF67" s="57" t="n"/>
      <c r="GG67" s="60">
        <f>SUM(GC67:GF67)</f>
        <v/>
      </c>
      <c r="GH67" s="61" t="n"/>
      <c r="GI67" s="57" t="n"/>
      <c r="GJ67" s="58">
        <f>FZ67</f>
        <v/>
      </c>
      <c r="GK67" s="59" t="n"/>
      <c r="GL67" s="57" t="n"/>
      <c r="GM67" s="57" t="n"/>
      <c r="GN67" s="57" t="n"/>
      <c r="GO67" s="57" t="n"/>
      <c r="GP67" s="60">
        <f>SUM(GL67:GO67)</f>
        <v/>
      </c>
      <c r="GQ67" s="61" t="n"/>
      <c r="GR67" s="57" t="n"/>
      <c r="GS67" s="58">
        <f>GI67</f>
        <v/>
      </c>
      <c r="GT67" s="59" t="n"/>
      <c r="GU67" s="57" t="n"/>
      <c r="GV67" s="57" t="n"/>
      <c r="GW67" s="57" t="n"/>
      <c r="GX67" s="57" t="n"/>
      <c r="GY67" s="60">
        <f>SUM(GU67:GX67)</f>
        <v/>
      </c>
      <c r="GZ67" s="61" t="n"/>
      <c r="HA67" s="57" t="n"/>
      <c r="HB67" s="58">
        <f>GR67</f>
        <v/>
      </c>
      <c r="HC67" s="59" t="n"/>
      <c r="HD67" s="57" t="n"/>
      <c r="HE67" s="57" t="n"/>
      <c r="HF67" s="57" t="n"/>
      <c r="HG67" s="57" t="n"/>
      <c r="HH67" s="60">
        <f>SUM(HD67:HG67)</f>
        <v/>
      </c>
      <c r="HI67" s="61" t="n"/>
      <c r="HJ67" s="57" t="n"/>
      <c r="HK67" s="58">
        <f>HA67</f>
        <v/>
      </c>
      <c r="HL67" s="59" t="n"/>
      <c r="HM67" s="57" t="n"/>
      <c r="HN67" s="57" t="n"/>
      <c r="HO67" s="57" t="n"/>
      <c r="HP67" s="57" t="n"/>
      <c r="HQ67" s="60">
        <f>SUM(HM67:HP67)</f>
        <v/>
      </c>
      <c r="HR67" s="61" t="n"/>
      <c r="HS67" s="57" t="n"/>
      <c r="HT67" s="58">
        <f>HJ67</f>
        <v/>
      </c>
      <c r="HU67" s="59" t="n"/>
      <c r="HV67" s="57" t="n"/>
      <c r="HW67" s="57" t="n"/>
      <c r="HX67" s="57" t="n"/>
      <c r="HY67" s="57" t="n"/>
      <c r="HZ67" s="60">
        <f>SUM(HV67:HY67)</f>
        <v/>
      </c>
      <c r="IA67" s="61" t="n"/>
      <c r="IB67" s="57" t="n"/>
      <c r="IC67" s="58">
        <f>HS67</f>
        <v/>
      </c>
      <c r="ID67" s="59" t="n"/>
      <c r="IE67" s="57" t="n"/>
      <c r="IF67" s="57" t="n"/>
      <c r="IG67" s="57" t="n"/>
      <c r="IH67" s="57" t="n"/>
      <c r="II67" s="60">
        <f>SUM(IE67:IH67)</f>
        <v/>
      </c>
      <c r="IJ67" s="61" t="n"/>
      <c r="IK67" s="57" t="n"/>
      <c r="IL67" s="58">
        <f>IB67</f>
        <v/>
      </c>
      <c r="IM67" s="59" t="n"/>
      <c r="IN67" s="57" t="n"/>
      <c r="IO67" s="57" t="n"/>
      <c r="IP67" s="57" t="n"/>
      <c r="IQ67" s="57" t="n"/>
      <c r="IR67" s="60">
        <f>SUM(IN67:IQ67)</f>
        <v/>
      </c>
      <c r="IS67" s="61" t="n"/>
      <c r="IT67" s="57" t="n"/>
      <c r="IU67" s="58">
        <f>IK67</f>
        <v/>
      </c>
      <c r="IV67" s="59" t="n"/>
      <c r="IW67" s="57" t="n"/>
      <c r="IX67" s="57" t="n"/>
      <c r="IY67" s="57" t="n"/>
      <c r="IZ67" s="57" t="n"/>
      <c r="JA67" s="60">
        <f>SUM(IW67:IZ67)</f>
        <v/>
      </c>
      <c r="JB67" s="61" t="n"/>
      <c r="JC67" s="57" t="n"/>
      <c r="JD67" s="58">
        <f>IT67</f>
        <v/>
      </c>
      <c r="JE67" s="59" t="n"/>
      <c r="JF67" s="57" t="n"/>
      <c r="JG67" s="57" t="n"/>
      <c r="JH67" s="57" t="n"/>
      <c r="JI67" s="57" t="n"/>
      <c r="JJ67" s="60">
        <f>SUM(JF67:JI67)</f>
        <v/>
      </c>
      <c r="JK67" s="61" t="n"/>
      <c r="JL67" s="57" t="n"/>
      <c r="JM67" s="58">
        <f>JC67</f>
        <v/>
      </c>
      <c r="JN67" s="59" t="n"/>
      <c r="JO67" s="57" t="n"/>
      <c r="JP67" s="57" t="n"/>
      <c r="JQ67" s="57" t="n"/>
      <c r="JR67" s="57" t="n"/>
      <c r="JS67" s="60">
        <f>SUM(JO67:JR67)</f>
        <v/>
      </c>
      <c r="JT67" s="61" t="n"/>
      <c r="JU67" s="62">
        <f>I67+R67+AA67+AJ67+AS67+BB67+BK67+BT67+CC67+CL67+CU67+DD67+DM67+DV67+EE67+EN67+EW67+FF67+FO67+FX67+GG67+GP67+GY67+HH67+HQ67+HZ67+II67+IR67+JA67+JJ67+JS67</f>
        <v/>
      </c>
      <c r="JV67" s="63">
        <f>D67+M67+V67+AE67+AN67+AW67+BF67+BO67+BX67+CG67+CP67+CY67+DH67+DQ67+DZ67+EI67+ER67+FA67+FJ67+FS67+GB67+GK67+GT67+HC67+HL67+HU67+ID67+IM67+IV67+JE67+JN67</f>
        <v/>
      </c>
      <c r="JW67" s="62">
        <f>CHOOSE($Z$3,B67, K67, T67, AC67, AL67, AU67, BD67, BM67, BV67, CE67, CN67, CW67, DF67, DO67, DX67, EG67, EP67, EY67, FH67, FQ67, FZ67, GI67, GR67, HA67, HJ67, HS67, IB67, IK67, IT67, JC67, JL67)</f>
        <v/>
      </c>
      <c r="JX67" s="62">
        <f>IFERROR(JU67/$Z$3,0)</f>
        <v/>
      </c>
      <c r="JY67" s="62">
        <f>Configurações!$C$7</f>
        <v/>
      </c>
      <c r="JZ67" s="64">
        <f>IF(JY67=0,"— Sem meta",IF(JU67&gt;=JY67,"✓ Atingida","Em andamento"))</f>
        <v/>
      </c>
      <c r="KA67" s="65">
        <f>JU67+(13*0.0000001)</f>
        <v/>
      </c>
    </row>
    <row r="68" ht="20" customHeight="1">
      <c r="A68" s="56">
        <f>IF(Configurações!$B$8="","Assessor 2",Configurações!$B$8)</f>
        <v/>
      </c>
      <c r="B68" s="57" t="n"/>
      <c r="C68" s="66">
        <f>'Janeiro'!$JW68</f>
        <v/>
      </c>
      <c r="D68" s="59" t="n"/>
      <c r="E68" s="57" t="n"/>
      <c r="F68" s="57" t="n"/>
      <c r="G68" s="57" t="n"/>
      <c r="H68" s="57" t="n"/>
      <c r="I68" s="67">
        <f>SUM(E68:H68)</f>
        <v/>
      </c>
      <c r="J68" s="61" t="n"/>
      <c r="K68" s="57" t="n"/>
      <c r="L68" s="66">
        <f>B68</f>
        <v/>
      </c>
      <c r="M68" s="59" t="n"/>
      <c r="N68" s="57" t="n"/>
      <c r="O68" s="57" t="n"/>
      <c r="P68" s="57" t="n"/>
      <c r="Q68" s="57" t="n"/>
      <c r="R68" s="67">
        <f>SUM(N68:Q68)</f>
        <v/>
      </c>
      <c r="S68" s="61" t="n"/>
      <c r="T68" s="57" t="n"/>
      <c r="U68" s="66">
        <f>K68</f>
        <v/>
      </c>
      <c r="V68" s="59" t="n"/>
      <c r="W68" s="57" t="n"/>
      <c r="X68" s="57" t="n"/>
      <c r="Y68" s="57" t="n"/>
      <c r="Z68" s="57" t="n"/>
      <c r="AA68" s="67">
        <f>SUM(W68:Z68)</f>
        <v/>
      </c>
      <c r="AB68" s="61" t="n"/>
      <c r="AC68" s="57" t="n"/>
      <c r="AD68" s="66">
        <f>T68</f>
        <v/>
      </c>
      <c r="AE68" s="59" t="n"/>
      <c r="AF68" s="57" t="n"/>
      <c r="AG68" s="57" t="n"/>
      <c r="AH68" s="57" t="n"/>
      <c r="AI68" s="57" t="n"/>
      <c r="AJ68" s="67">
        <f>SUM(AF68:AI68)</f>
        <v/>
      </c>
      <c r="AK68" s="61" t="n"/>
      <c r="AL68" s="57" t="n"/>
      <c r="AM68" s="66">
        <f>AC68</f>
        <v/>
      </c>
      <c r="AN68" s="59" t="n"/>
      <c r="AO68" s="57" t="n"/>
      <c r="AP68" s="57" t="n"/>
      <c r="AQ68" s="57" t="n"/>
      <c r="AR68" s="57" t="n"/>
      <c r="AS68" s="67">
        <f>SUM(AO68:AR68)</f>
        <v/>
      </c>
      <c r="AT68" s="61" t="n"/>
      <c r="AU68" s="57" t="n"/>
      <c r="AV68" s="66">
        <f>AL68</f>
        <v/>
      </c>
      <c r="AW68" s="59" t="n"/>
      <c r="AX68" s="57" t="n"/>
      <c r="AY68" s="57" t="n"/>
      <c r="AZ68" s="57" t="n"/>
      <c r="BA68" s="57" t="n"/>
      <c r="BB68" s="67">
        <f>SUM(AX68:BA68)</f>
        <v/>
      </c>
      <c r="BC68" s="61" t="n"/>
      <c r="BD68" s="57" t="n"/>
      <c r="BE68" s="66">
        <f>AU68</f>
        <v/>
      </c>
      <c r="BF68" s="59" t="n"/>
      <c r="BG68" s="57" t="n"/>
      <c r="BH68" s="57" t="n"/>
      <c r="BI68" s="57" t="n"/>
      <c r="BJ68" s="57" t="n"/>
      <c r="BK68" s="67">
        <f>SUM(BG68:BJ68)</f>
        <v/>
      </c>
      <c r="BL68" s="61" t="n"/>
      <c r="BM68" s="57" t="n"/>
      <c r="BN68" s="66">
        <f>BD68</f>
        <v/>
      </c>
      <c r="BO68" s="59" t="n"/>
      <c r="BP68" s="57" t="n"/>
      <c r="BQ68" s="57" t="n"/>
      <c r="BR68" s="57" t="n"/>
      <c r="BS68" s="57" t="n"/>
      <c r="BT68" s="67">
        <f>SUM(BP68:BS68)</f>
        <v/>
      </c>
      <c r="BU68" s="61" t="n"/>
      <c r="BV68" s="57" t="n"/>
      <c r="BW68" s="66">
        <f>BM68</f>
        <v/>
      </c>
      <c r="BX68" s="59" t="n"/>
      <c r="BY68" s="57" t="n"/>
      <c r="BZ68" s="57" t="n"/>
      <c r="CA68" s="57" t="n"/>
      <c r="CB68" s="57" t="n"/>
      <c r="CC68" s="67">
        <f>SUM(BY68:CB68)</f>
        <v/>
      </c>
      <c r="CD68" s="61" t="n"/>
      <c r="CE68" s="57" t="n"/>
      <c r="CF68" s="66">
        <f>BV68</f>
        <v/>
      </c>
      <c r="CG68" s="59" t="n"/>
      <c r="CH68" s="57" t="n"/>
      <c r="CI68" s="57" t="n"/>
      <c r="CJ68" s="57" t="n"/>
      <c r="CK68" s="57" t="n"/>
      <c r="CL68" s="67">
        <f>SUM(CH68:CK68)</f>
        <v/>
      </c>
      <c r="CM68" s="61" t="n"/>
      <c r="CN68" s="57" t="n"/>
      <c r="CO68" s="66">
        <f>CE68</f>
        <v/>
      </c>
      <c r="CP68" s="59" t="n"/>
      <c r="CQ68" s="57" t="n"/>
      <c r="CR68" s="57" t="n"/>
      <c r="CS68" s="57" t="n"/>
      <c r="CT68" s="57" t="n"/>
      <c r="CU68" s="67">
        <f>SUM(CQ68:CT68)</f>
        <v/>
      </c>
      <c r="CV68" s="61" t="n"/>
      <c r="CW68" s="57" t="n"/>
      <c r="CX68" s="66">
        <f>CN68</f>
        <v/>
      </c>
      <c r="CY68" s="59" t="n"/>
      <c r="CZ68" s="57" t="n"/>
      <c r="DA68" s="57" t="n"/>
      <c r="DB68" s="57" t="n"/>
      <c r="DC68" s="57" t="n"/>
      <c r="DD68" s="67">
        <f>SUM(CZ68:DC68)</f>
        <v/>
      </c>
      <c r="DE68" s="61" t="n"/>
      <c r="DF68" s="57" t="n"/>
      <c r="DG68" s="66">
        <f>CW68</f>
        <v/>
      </c>
      <c r="DH68" s="59" t="n"/>
      <c r="DI68" s="57" t="n"/>
      <c r="DJ68" s="57" t="n"/>
      <c r="DK68" s="57" t="n"/>
      <c r="DL68" s="57" t="n"/>
      <c r="DM68" s="67">
        <f>SUM(DI68:DL68)</f>
        <v/>
      </c>
      <c r="DN68" s="61" t="n"/>
      <c r="DO68" s="57" t="n"/>
      <c r="DP68" s="66">
        <f>DF68</f>
        <v/>
      </c>
      <c r="DQ68" s="59" t="n"/>
      <c r="DR68" s="57" t="n"/>
      <c r="DS68" s="57" t="n"/>
      <c r="DT68" s="57" t="n"/>
      <c r="DU68" s="57" t="n"/>
      <c r="DV68" s="67">
        <f>SUM(DR68:DU68)</f>
        <v/>
      </c>
      <c r="DW68" s="61" t="n"/>
      <c r="DX68" s="57" t="n"/>
      <c r="DY68" s="66">
        <f>DO68</f>
        <v/>
      </c>
      <c r="DZ68" s="59" t="n"/>
      <c r="EA68" s="57" t="n"/>
      <c r="EB68" s="57" t="n"/>
      <c r="EC68" s="57" t="n"/>
      <c r="ED68" s="57" t="n"/>
      <c r="EE68" s="67">
        <f>SUM(EA68:ED68)</f>
        <v/>
      </c>
      <c r="EF68" s="61" t="n"/>
      <c r="EG68" s="57" t="n"/>
      <c r="EH68" s="66">
        <f>DX68</f>
        <v/>
      </c>
      <c r="EI68" s="59" t="n"/>
      <c r="EJ68" s="57" t="n"/>
      <c r="EK68" s="57" t="n"/>
      <c r="EL68" s="57" t="n"/>
      <c r="EM68" s="57" t="n"/>
      <c r="EN68" s="67">
        <f>SUM(EJ68:EM68)</f>
        <v/>
      </c>
      <c r="EO68" s="61" t="n"/>
      <c r="EP68" s="57" t="n"/>
      <c r="EQ68" s="66">
        <f>EG68</f>
        <v/>
      </c>
      <c r="ER68" s="59" t="n"/>
      <c r="ES68" s="57" t="n"/>
      <c r="ET68" s="57" t="n"/>
      <c r="EU68" s="57" t="n"/>
      <c r="EV68" s="57" t="n"/>
      <c r="EW68" s="67">
        <f>SUM(ES68:EV68)</f>
        <v/>
      </c>
      <c r="EX68" s="61" t="n"/>
      <c r="EY68" s="57" t="n"/>
      <c r="EZ68" s="66">
        <f>EP68</f>
        <v/>
      </c>
      <c r="FA68" s="59" t="n"/>
      <c r="FB68" s="57" t="n"/>
      <c r="FC68" s="57" t="n"/>
      <c r="FD68" s="57" t="n"/>
      <c r="FE68" s="57" t="n"/>
      <c r="FF68" s="67">
        <f>SUM(FB68:FE68)</f>
        <v/>
      </c>
      <c r="FG68" s="61" t="n"/>
      <c r="FH68" s="57" t="n"/>
      <c r="FI68" s="66">
        <f>EY68</f>
        <v/>
      </c>
      <c r="FJ68" s="59" t="n"/>
      <c r="FK68" s="57" t="n"/>
      <c r="FL68" s="57" t="n"/>
      <c r="FM68" s="57" t="n"/>
      <c r="FN68" s="57" t="n"/>
      <c r="FO68" s="67">
        <f>SUM(FK68:FN68)</f>
        <v/>
      </c>
      <c r="FP68" s="61" t="n"/>
      <c r="FQ68" s="57" t="n"/>
      <c r="FR68" s="66">
        <f>FH68</f>
        <v/>
      </c>
      <c r="FS68" s="59" t="n"/>
      <c r="FT68" s="57" t="n"/>
      <c r="FU68" s="57" t="n"/>
      <c r="FV68" s="57" t="n"/>
      <c r="FW68" s="57" t="n"/>
      <c r="FX68" s="67">
        <f>SUM(FT68:FW68)</f>
        <v/>
      </c>
      <c r="FY68" s="61" t="n"/>
      <c r="FZ68" s="57" t="n"/>
      <c r="GA68" s="66">
        <f>FQ68</f>
        <v/>
      </c>
      <c r="GB68" s="59" t="n"/>
      <c r="GC68" s="57" t="n"/>
      <c r="GD68" s="57" t="n"/>
      <c r="GE68" s="57" t="n"/>
      <c r="GF68" s="57" t="n"/>
      <c r="GG68" s="67">
        <f>SUM(GC68:GF68)</f>
        <v/>
      </c>
      <c r="GH68" s="61" t="n"/>
      <c r="GI68" s="57" t="n"/>
      <c r="GJ68" s="66">
        <f>FZ68</f>
        <v/>
      </c>
      <c r="GK68" s="59" t="n"/>
      <c r="GL68" s="57" t="n"/>
      <c r="GM68" s="57" t="n"/>
      <c r="GN68" s="57" t="n"/>
      <c r="GO68" s="57" t="n"/>
      <c r="GP68" s="67">
        <f>SUM(GL68:GO68)</f>
        <v/>
      </c>
      <c r="GQ68" s="61" t="n"/>
      <c r="GR68" s="57" t="n"/>
      <c r="GS68" s="66">
        <f>GI68</f>
        <v/>
      </c>
      <c r="GT68" s="59" t="n"/>
      <c r="GU68" s="57" t="n"/>
      <c r="GV68" s="57" t="n"/>
      <c r="GW68" s="57" t="n"/>
      <c r="GX68" s="57" t="n"/>
      <c r="GY68" s="67">
        <f>SUM(GU68:GX68)</f>
        <v/>
      </c>
      <c r="GZ68" s="61" t="n"/>
      <c r="HA68" s="57" t="n"/>
      <c r="HB68" s="66">
        <f>GR68</f>
        <v/>
      </c>
      <c r="HC68" s="59" t="n"/>
      <c r="HD68" s="57" t="n"/>
      <c r="HE68" s="57" t="n"/>
      <c r="HF68" s="57" t="n"/>
      <c r="HG68" s="57" t="n"/>
      <c r="HH68" s="67">
        <f>SUM(HD68:HG68)</f>
        <v/>
      </c>
      <c r="HI68" s="61" t="n"/>
      <c r="HJ68" s="57" t="n"/>
      <c r="HK68" s="66">
        <f>HA68</f>
        <v/>
      </c>
      <c r="HL68" s="59" t="n"/>
      <c r="HM68" s="57" t="n"/>
      <c r="HN68" s="57" t="n"/>
      <c r="HO68" s="57" t="n"/>
      <c r="HP68" s="57" t="n"/>
      <c r="HQ68" s="67">
        <f>SUM(HM68:HP68)</f>
        <v/>
      </c>
      <c r="HR68" s="61" t="n"/>
      <c r="HS68" s="57" t="n"/>
      <c r="HT68" s="66">
        <f>HJ68</f>
        <v/>
      </c>
      <c r="HU68" s="59" t="n"/>
      <c r="HV68" s="57" t="n"/>
      <c r="HW68" s="57" t="n"/>
      <c r="HX68" s="57" t="n"/>
      <c r="HY68" s="57" t="n"/>
      <c r="HZ68" s="67">
        <f>SUM(HV68:HY68)</f>
        <v/>
      </c>
      <c r="IA68" s="61" t="n"/>
      <c r="IB68" s="57" t="n"/>
      <c r="IC68" s="66">
        <f>HS68</f>
        <v/>
      </c>
      <c r="ID68" s="59" t="n"/>
      <c r="IE68" s="57" t="n"/>
      <c r="IF68" s="57" t="n"/>
      <c r="IG68" s="57" t="n"/>
      <c r="IH68" s="57" t="n"/>
      <c r="II68" s="67">
        <f>SUM(IE68:IH68)</f>
        <v/>
      </c>
      <c r="IJ68" s="61" t="n"/>
      <c r="IK68" s="57" t="n"/>
      <c r="IL68" s="66">
        <f>IB68</f>
        <v/>
      </c>
      <c r="IM68" s="59" t="n"/>
      <c r="IN68" s="57" t="n"/>
      <c r="IO68" s="57" t="n"/>
      <c r="IP68" s="57" t="n"/>
      <c r="IQ68" s="57" t="n"/>
      <c r="IR68" s="67">
        <f>SUM(IN68:IQ68)</f>
        <v/>
      </c>
      <c r="IS68" s="61" t="n"/>
      <c r="IT68" s="57" t="n"/>
      <c r="IU68" s="66">
        <f>IK68</f>
        <v/>
      </c>
      <c r="IV68" s="59" t="n"/>
      <c r="IW68" s="57" t="n"/>
      <c r="IX68" s="57" t="n"/>
      <c r="IY68" s="57" t="n"/>
      <c r="IZ68" s="57" t="n"/>
      <c r="JA68" s="67">
        <f>SUM(IW68:IZ68)</f>
        <v/>
      </c>
      <c r="JB68" s="61" t="n"/>
      <c r="JC68" s="57" t="n"/>
      <c r="JD68" s="66">
        <f>IT68</f>
        <v/>
      </c>
      <c r="JE68" s="59" t="n"/>
      <c r="JF68" s="57" t="n"/>
      <c r="JG68" s="57" t="n"/>
      <c r="JH68" s="57" t="n"/>
      <c r="JI68" s="57" t="n"/>
      <c r="JJ68" s="67">
        <f>SUM(JF68:JI68)</f>
        <v/>
      </c>
      <c r="JK68" s="61" t="n"/>
      <c r="JL68" s="57" t="n"/>
      <c r="JM68" s="66">
        <f>JC68</f>
        <v/>
      </c>
      <c r="JN68" s="59" t="n"/>
      <c r="JO68" s="57" t="n"/>
      <c r="JP68" s="57" t="n"/>
      <c r="JQ68" s="57" t="n"/>
      <c r="JR68" s="57" t="n"/>
      <c r="JS68" s="67">
        <f>SUM(JO68:JR68)</f>
        <v/>
      </c>
      <c r="JT68" s="61" t="n"/>
      <c r="JU68" s="62">
        <f>I68+R68+AA68+AJ68+AS68+BB68+BK68+BT68+CC68+CL68+CU68+DD68+DM68+DV68+EE68+EN68+EW68+FF68+FO68+FX68+GG68+GP68+GY68+HH68+HQ68+HZ68+II68+IR68+JA68+JJ68+JS68</f>
        <v/>
      </c>
      <c r="JV68" s="63">
        <f>D68+M68+V68+AE68+AN68+AW68+BF68+BO68+BX68+CG68+CP68+CY68+DH68+DQ68+DZ68+EI68+ER68+FA68+FJ68+FS68+GB68+GK68+GT68+HC68+HL68+HU68+ID68+IM68+IV68+JE68+JN68</f>
        <v/>
      </c>
      <c r="JW68" s="62">
        <f>CHOOSE($Z$3,B68, K68, T68, AC68, AL68, AU68, BD68, BM68, BV68, CE68, CN68, CW68, DF68, DO68, DX68, EG68, EP68, EY68, FH68, FQ68, FZ68, GI68, GR68, HA68, HJ68, HS68, IB68, IK68, IT68, JC68, JL68)</f>
        <v/>
      </c>
      <c r="JX68" s="62">
        <f>IFERROR(JU68/$Z$3,0)</f>
        <v/>
      </c>
      <c r="JY68" s="62">
        <f>Configurações!$C$8</f>
        <v/>
      </c>
      <c r="JZ68" s="64">
        <f>IF(JY68=0,"— Sem meta",IF(JU68&gt;=JY68,"✓ Atingida","Em andamento"))</f>
        <v/>
      </c>
      <c r="KA68" s="65">
        <f>JU68+(12*0.0000001)</f>
        <v/>
      </c>
    </row>
    <row r="69" ht="20" customHeight="1">
      <c r="A69" s="56">
        <f>IF(Configurações!$B$9="","Assessor 3",Configurações!$B$9)</f>
        <v/>
      </c>
      <c r="B69" s="57" t="n"/>
      <c r="C69" s="58">
        <f>'Janeiro'!$JW69</f>
        <v/>
      </c>
      <c r="D69" s="59" t="n"/>
      <c r="E69" s="57" t="n"/>
      <c r="F69" s="57" t="n"/>
      <c r="G69" s="57" t="n"/>
      <c r="H69" s="57" t="n"/>
      <c r="I69" s="60">
        <f>SUM(E69:H69)</f>
        <v/>
      </c>
      <c r="J69" s="61" t="n"/>
      <c r="K69" s="57" t="n"/>
      <c r="L69" s="58">
        <f>B69</f>
        <v/>
      </c>
      <c r="M69" s="59" t="n"/>
      <c r="N69" s="57" t="n"/>
      <c r="O69" s="57" t="n"/>
      <c r="P69" s="57" t="n"/>
      <c r="Q69" s="57" t="n"/>
      <c r="R69" s="60">
        <f>SUM(N69:Q69)</f>
        <v/>
      </c>
      <c r="S69" s="61" t="n"/>
      <c r="T69" s="57" t="n"/>
      <c r="U69" s="58">
        <f>K69</f>
        <v/>
      </c>
      <c r="V69" s="59" t="n"/>
      <c r="W69" s="57" t="n"/>
      <c r="X69" s="57" t="n"/>
      <c r="Y69" s="57" t="n"/>
      <c r="Z69" s="57" t="n"/>
      <c r="AA69" s="60">
        <f>SUM(W69:Z69)</f>
        <v/>
      </c>
      <c r="AB69" s="61" t="n"/>
      <c r="AC69" s="57" t="n"/>
      <c r="AD69" s="58">
        <f>T69</f>
        <v/>
      </c>
      <c r="AE69" s="59" t="n"/>
      <c r="AF69" s="57" t="n"/>
      <c r="AG69" s="57" t="n"/>
      <c r="AH69" s="57" t="n"/>
      <c r="AI69" s="57" t="n"/>
      <c r="AJ69" s="60">
        <f>SUM(AF69:AI69)</f>
        <v/>
      </c>
      <c r="AK69" s="61" t="n"/>
      <c r="AL69" s="57" t="n"/>
      <c r="AM69" s="58">
        <f>AC69</f>
        <v/>
      </c>
      <c r="AN69" s="59" t="n"/>
      <c r="AO69" s="57" t="n"/>
      <c r="AP69" s="57" t="n"/>
      <c r="AQ69" s="57" t="n"/>
      <c r="AR69" s="57" t="n"/>
      <c r="AS69" s="60">
        <f>SUM(AO69:AR69)</f>
        <v/>
      </c>
      <c r="AT69" s="61" t="n"/>
      <c r="AU69" s="57" t="n"/>
      <c r="AV69" s="58">
        <f>AL69</f>
        <v/>
      </c>
      <c r="AW69" s="59" t="n"/>
      <c r="AX69" s="57" t="n"/>
      <c r="AY69" s="57" t="n"/>
      <c r="AZ69" s="57" t="n"/>
      <c r="BA69" s="57" t="n"/>
      <c r="BB69" s="60">
        <f>SUM(AX69:BA69)</f>
        <v/>
      </c>
      <c r="BC69" s="61" t="n"/>
      <c r="BD69" s="57" t="n"/>
      <c r="BE69" s="58">
        <f>AU69</f>
        <v/>
      </c>
      <c r="BF69" s="59" t="n"/>
      <c r="BG69" s="57" t="n"/>
      <c r="BH69" s="57" t="n"/>
      <c r="BI69" s="57" t="n"/>
      <c r="BJ69" s="57" t="n"/>
      <c r="BK69" s="60">
        <f>SUM(BG69:BJ69)</f>
        <v/>
      </c>
      <c r="BL69" s="61" t="n"/>
      <c r="BM69" s="57" t="n"/>
      <c r="BN69" s="58">
        <f>BD69</f>
        <v/>
      </c>
      <c r="BO69" s="59" t="n"/>
      <c r="BP69" s="57" t="n"/>
      <c r="BQ69" s="57" t="n"/>
      <c r="BR69" s="57" t="n"/>
      <c r="BS69" s="57" t="n"/>
      <c r="BT69" s="60">
        <f>SUM(BP69:BS69)</f>
        <v/>
      </c>
      <c r="BU69" s="61" t="n"/>
      <c r="BV69" s="57" t="n"/>
      <c r="BW69" s="58">
        <f>BM69</f>
        <v/>
      </c>
      <c r="BX69" s="59" t="n"/>
      <c r="BY69" s="57" t="n"/>
      <c r="BZ69" s="57" t="n"/>
      <c r="CA69" s="57" t="n"/>
      <c r="CB69" s="57" t="n"/>
      <c r="CC69" s="60">
        <f>SUM(BY69:CB69)</f>
        <v/>
      </c>
      <c r="CD69" s="61" t="n"/>
      <c r="CE69" s="57" t="n"/>
      <c r="CF69" s="58">
        <f>BV69</f>
        <v/>
      </c>
      <c r="CG69" s="59" t="n"/>
      <c r="CH69" s="57" t="n"/>
      <c r="CI69" s="57" t="n"/>
      <c r="CJ69" s="57" t="n"/>
      <c r="CK69" s="57" t="n"/>
      <c r="CL69" s="60">
        <f>SUM(CH69:CK69)</f>
        <v/>
      </c>
      <c r="CM69" s="61" t="n"/>
      <c r="CN69" s="57" t="n"/>
      <c r="CO69" s="58">
        <f>CE69</f>
        <v/>
      </c>
      <c r="CP69" s="59" t="n"/>
      <c r="CQ69" s="57" t="n"/>
      <c r="CR69" s="57" t="n"/>
      <c r="CS69" s="57" t="n"/>
      <c r="CT69" s="57" t="n"/>
      <c r="CU69" s="60">
        <f>SUM(CQ69:CT69)</f>
        <v/>
      </c>
      <c r="CV69" s="61" t="n"/>
      <c r="CW69" s="57" t="n"/>
      <c r="CX69" s="58">
        <f>CN69</f>
        <v/>
      </c>
      <c r="CY69" s="59" t="n"/>
      <c r="CZ69" s="57" t="n"/>
      <c r="DA69" s="57" t="n"/>
      <c r="DB69" s="57" t="n"/>
      <c r="DC69" s="57" t="n"/>
      <c r="DD69" s="60">
        <f>SUM(CZ69:DC69)</f>
        <v/>
      </c>
      <c r="DE69" s="61" t="n"/>
      <c r="DF69" s="57" t="n"/>
      <c r="DG69" s="58">
        <f>CW69</f>
        <v/>
      </c>
      <c r="DH69" s="59" t="n"/>
      <c r="DI69" s="57" t="n"/>
      <c r="DJ69" s="57" t="n"/>
      <c r="DK69" s="57" t="n"/>
      <c r="DL69" s="57" t="n"/>
      <c r="DM69" s="60">
        <f>SUM(DI69:DL69)</f>
        <v/>
      </c>
      <c r="DN69" s="61" t="n"/>
      <c r="DO69" s="57" t="n"/>
      <c r="DP69" s="58">
        <f>DF69</f>
        <v/>
      </c>
      <c r="DQ69" s="59" t="n"/>
      <c r="DR69" s="57" t="n"/>
      <c r="DS69" s="57" t="n"/>
      <c r="DT69" s="57" t="n"/>
      <c r="DU69" s="57" t="n"/>
      <c r="DV69" s="60">
        <f>SUM(DR69:DU69)</f>
        <v/>
      </c>
      <c r="DW69" s="61" t="n"/>
      <c r="DX69" s="57" t="n"/>
      <c r="DY69" s="58">
        <f>DO69</f>
        <v/>
      </c>
      <c r="DZ69" s="59" t="n"/>
      <c r="EA69" s="57" t="n"/>
      <c r="EB69" s="57" t="n"/>
      <c r="EC69" s="57" t="n"/>
      <c r="ED69" s="57" t="n"/>
      <c r="EE69" s="60">
        <f>SUM(EA69:ED69)</f>
        <v/>
      </c>
      <c r="EF69" s="61" t="n"/>
      <c r="EG69" s="57" t="n"/>
      <c r="EH69" s="58">
        <f>DX69</f>
        <v/>
      </c>
      <c r="EI69" s="59" t="n"/>
      <c r="EJ69" s="57" t="n"/>
      <c r="EK69" s="57" t="n"/>
      <c r="EL69" s="57" t="n"/>
      <c r="EM69" s="57" t="n"/>
      <c r="EN69" s="60">
        <f>SUM(EJ69:EM69)</f>
        <v/>
      </c>
      <c r="EO69" s="61" t="n"/>
      <c r="EP69" s="57" t="n"/>
      <c r="EQ69" s="58">
        <f>EG69</f>
        <v/>
      </c>
      <c r="ER69" s="59" t="n"/>
      <c r="ES69" s="57" t="n"/>
      <c r="ET69" s="57" t="n"/>
      <c r="EU69" s="57" t="n"/>
      <c r="EV69" s="57" t="n"/>
      <c r="EW69" s="60">
        <f>SUM(ES69:EV69)</f>
        <v/>
      </c>
      <c r="EX69" s="61" t="n"/>
      <c r="EY69" s="57" t="n"/>
      <c r="EZ69" s="58">
        <f>EP69</f>
        <v/>
      </c>
      <c r="FA69" s="59" t="n"/>
      <c r="FB69" s="57" t="n"/>
      <c r="FC69" s="57" t="n"/>
      <c r="FD69" s="57" t="n"/>
      <c r="FE69" s="57" t="n"/>
      <c r="FF69" s="60">
        <f>SUM(FB69:FE69)</f>
        <v/>
      </c>
      <c r="FG69" s="61" t="n"/>
      <c r="FH69" s="57" t="n"/>
      <c r="FI69" s="58">
        <f>EY69</f>
        <v/>
      </c>
      <c r="FJ69" s="59" t="n"/>
      <c r="FK69" s="57" t="n"/>
      <c r="FL69" s="57" t="n"/>
      <c r="FM69" s="57" t="n"/>
      <c r="FN69" s="57" t="n"/>
      <c r="FO69" s="60">
        <f>SUM(FK69:FN69)</f>
        <v/>
      </c>
      <c r="FP69" s="61" t="n"/>
      <c r="FQ69" s="57" t="n"/>
      <c r="FR69" s="58">
        <f>FH69</f>
        <v/>
      </c>
      <c r="FS69" s="59" t="n"/>
      <c r="FT69" s="57" t="n"/>
      <c r="FU69" s="57" t="n"/>
      <c r="FV69" s="57" t="n"/>
      <c r="FW69" s="57" t="n"/>
      <c r="FX69" s="60">
        <f>SUM(FT69:FW69)</f>
        <v/>
      </c>
      <c r="FY69" s="61" t="n"/>
      <c r="FZ69" s="57" t="n"/>
      <c r="GA69" s="58">
        <f>FQ69</f>
        <v/>
      </c>
      <c r="GB69" s="59" t="n"/>
      <c r="GC69" s="57" t="n"/>
      <c r="GD69" s="57" t="n"/>
      <c r="GE69" s="57" t="n"/>
      <c r="GF69" s="57" t="n"/>
      <c r="GG69" s="60">
        <f>SUM(GC69:GF69)</f>
        <v/>
      </c>
      <c r="GH69" s="61" t="n"/>
      <c r="GI69" s="57" t="n"/>
      <c r="GJ69" s="58">
        <f>FZ69</f>
        <v/>
      </c>
      <c r="GK69" s="59" t="n"/>
      <c r="GL69" s="57" t="n"/>
      <c r="GM69" s="57" t="n"/>
      <c r="GN69" s="57" t="n"/>
      <c r="GO69" s="57" t="n"/>
      <c r="GP69" s="60">
        <f>SUM(GL69:GO69)</f>
        <v/>
      </c>
      <c r="GQ69" s="61" t="n"/>
      <c r="GR69" s="57" t="n"/>
      <c r="GS69" s="58">
        <f>GI69</f>
        <v/>
      </c>
      <c r="GT69" s="59" t="n"/>
      <c r="GU69" s="57" t="n"/>
      <c r="GV69" s="57" t="n"/>
      <c r="GW69" s="57" t="n"/>
      <c r="GX69" s="57" t="n"/>
      <c r="GY69" s="60">
        <f>SUM(GU69:GX69)</f>
        <v/>
      </c>
      <c r="GZ69" s="61" t="n"/>
      <c r="HA69" s="57" t="n"/>
      <c r="HB69" s="58">
        <f>GR69</f>
        <v/>
      </c>
      <c r="HC69" s="59" t="n"/>
      <c r="HD69" s="57" t="n"/>
      <c r="HE69" s="57" t="n"/>
      <c r="HF69" s="57" t="n"/>
      <c r="HG69" s="57" t="n"/>
      <c r="HH69" s="60">
        <f>SUM(HD69:HG69)</f>
        <v/>
      </c>
      <c r="HI69" s="61" t="n"/>
      <c r="HJ69" s="57" t="n"/>
      <c r="HK69" s="58">
        <f>HA69</f>
        <v/>
      </c>
      <c r="HL69" s="59" t="n"/>
      <c r="HM69" s="57" t="n"/>
      <c r="HN69" s="57" t="n"/>
      <c r="HO69" s="57" t="n"/>
      <c r="HP69" s="57" t="n"/>
      <c r="HQ69" s="60">
        <f>SUM(HM69:HP69)</f>
        <v/>
      </c>
      <c r="HR69" s="61" t="n"/>
      <c r="HS69" s="57" t="n"/>
      <c r="HT69" s="58">
        <f>HJ69</f>
        <v/>
      </c>
      <c r="HU69" s="59" t="n"/>
      <c r="HV69" s="57" t="n"/>
      <c r="HW69" s="57" t="n"/>
      <c r="HX69" s="57" t="n"/>
      <c r="HY69" s="57" t="n"/>
      <c r="HZ69" s="60">
        <f>SUM(HV69:HY69)</f>
        <v/>
      </c>
      <c r="IA69" s="61" t="n"/>
      <c r="IB69" s="57" t="n"/>
      <c r="IC69" s="58">
        <f>HS69</f>
        <v/>
      </c>
      <c r="ID69" s="59" t="n"/>
      <c r="IE69" s="57" t="n"/>
      <c r="IF69" s="57" t="n"/>
      <c r="IG69" s="57" t="n"/>
      <c r="IH69" s="57" t="n"/>
      <c r="II69" s="60">
        <f>SUM(IE69:IH69)</f>
        <v/>
      </c>
      <c r="IJ69" s="61" t="n"/>
      <c r="IK69" s="57" t="n"/>
      <c r="IL69" s="58">
        <f>IB69</f>
        <v/>
      </c>
      <c r="IM69" s="59" t="n"/>
      <c r="IN69" s="57" t="n"/>
      <c r="IO69" s="57" t="n"/>
      <c r="IP69" s="57" t="n"/>
      <c r="IQ69" s="57" t="n"/>
      <c r="IR69" s="60">
        <f>SUM(IN69:IQ69)</f>
        <v/>
      </c>
      <c r="IS69" s="61" t="n"/>
      <c r="IT69" s="57" t="n"/>
      <c r="IU69" s="58">
        <f>IK69</f>
        <v/>
      </c>
      <c r="IV69" s="59" t="n"/>
      <c r="IW69" s="57" t="n"/>
      <c r="IX69" s="57" t="n"/>
      <c r="IY69" s="57" t="n"/>
      <c r="IZ69" s="57" t="n"/>
      <c r="JA69" s="60">
        <f>SUM(IW69:IZ69)</f>
        <v/>
      </c>
      <c r="JB69" s="61" t="n"/>
      <c r="JC69" s="57" t="n"/>
      <c r="JD69" s="58">
        <f>IT69</f>
        <v/>
      </c>
      <c r="JE69" s="59" t="n"/>
      <c r="JF69" s="57" t="n"/>
      <c r="JG69" s="57" t="n"/>
      <c r="JH69" s="57" t="n"/>
      <c r="JI69" s="57" t="n"/>
      <c r="JJ69" s="60">
        <f>SUM(JF69:JI69)</f>
        <v/>
      </c>
      <c r="JK69" s="61" t="n"/>
      <c r="JL69" s="57" t="n"/>
      <c r="JM69" s="58">
        <f>JC69</f>
        <v/>
      </c>
      <c r="JN69" s="59" t="n"/>
      <c r="JO69" s="57" t="n"/>
      <c r="JP69" s="57" t="n"/>
      <c r="JQ69" s="57" t="n"/>
      <c r="JR69" s="57" t="n"/>
      <c r="JS69" s="60">
        <f>SUM(JO69:JR69)</f>
        <v/>
      </c>
      <c r="JT69" s="61" t="n"/>
      <c r="JU69" s="62">
        <f>I69+R69+AA69+AJ69+AS69+BB69+BK69+BT69+CC69+CL69+CU69+DD69+DM69+DV69+EE69+EN69+EW69+FF69+FO69+FX69+GG69+GP69+GY69+HH69+HQ69+HZ69+II69+IR69+JA69+JJ69+JS69</f>
        <v/>
      </c>
      <c r="JV69" s="63">
        <f>D69+M69+V69+AE69+AN69+AW69+BF69+BO69+BX69+CG69+CP69+CY69+DH69+DQ69+DZ69+EI69+ER69+FA69+FJ69+FS69+GB69+GK69+GT69+HC69+HL69+HU69+ID69+IM69+IV69+JE69+JN69</f>
        <v/>
      </c>
      <c r="JW69" s="62">
        <f>CHOOSE($Z$3,B69, K69, T69, AC69, AL69, AU69, BD69, BM69, BV69, CE69, CN69, CW69, DF69, DO69, DX69, EG69, EP69, EY69, FH69, FQ69, FZ69, GI69, GR69, HA69, HJ69, HS69, IB69, IK69, IT69, JC69, JL69)</f>
        <v/>
      </c>
      <c r="JX69" s="62">
        <f>IFERROR(JU69/$Z$3,0)</f>
        <v/>
      </c>
      <c r="JY69" s="62">
        <f>Configurações!$C$9</f>
        <v/>
      </c>
      <c r="JZ69" s="64">
        <f>IF(JY69=0,"— Sem meta",IF(JU69&gt;=JY69,"✓ Atingida","Em andamento"))</f>
        <v/>
      </c>
      <c r="KA69" s="65">
        <f>JU69+(11*0.0000001)</f>
        <v/>
      </c>
    </row>
    <row r="70" ht="20" customHeight="1">
      <c r="A70" s="56">
        <f>IF(Configurações!$B$10="","Assessor 4",Configurações!$B$10)</f>
        <v/>
      </c>
      <c r="B70" s="57" t="n"/>
      <c r="C70" s="66">
        <f>'Janeiro'!$JW70</f>
        <v/>
      </c>
      <c r="D70" s="59" t="n"/>
      <c r="E70" s="57" t="n"/>
      <c r="F70" s="57" t="n"/>
      <c r="G70" s="57" t="n"/>
      <c r="H70" s="57" t="n"/>
      <c r="I70" s="67">
        <f>SUM(E70:H70)</f>
        <v/>
      </c>
      <c r="J70" s="61" t="n"/>
      <c r="K70" s="57" t="n"/>
      <c r="L70" s="66">
        <f>B70</f>
        <v/>
      </c>
      <c r="M70" s="59" t="n"/>
      <c r="N70" s="57" t="n"/>
      <c r="O70" s="57" t="n"/>
      <c r="P70" s="57" t="n"/>
      <c r="Q70" s="57" t="n"/>
      <c r="R70" s="67">
        <f>SUM(N70:Q70)</f>
        <v/>
      </c>
      <c r="S70" s="61" t="n"/>
      <c r="T70" s="57" t="n"/>
      <c r="U70" s="66">
        <f>K70</f>
        <v/>
      </c>
      <c r="V70" s="59" t="n"/>
      <c r="W70" s="57" t="n"/>
      <c r="X70" s="57" t="n"/>
      <c r="Y70" s="57" t="n"/>
      <c r="Z70" s="57" t="n"/>
      <c r="AA70" s="67">
        <f>SUM(W70:Z70)</f>
        <v/>
      </c>
      <c r="AB70" s="61" t="n"/>
      <c r="AC70" s="57" t="n"/>
      <c r="AD70" s="66">
        <f>T70</f>
        <v/>
      </c>
      <c r="AE70" s="59" t="n"/>
      <c r="AF70" s="57" t="n"/>
      <c r="AG70" s="57" t="n"/>
      <c r="AH70" s="57" t="n"/>
      <c r="AI70" s="57" t="n"/>
      <c r="AJ70" s="67">
        <f>SUM(AF70:AI70)</f>
        <v/>
      </c>
      <c r="AK70" s="61" t="n"/>
      <c r="AL70" s="57" t="n"/>
      <c r="AM70" s="66">
        <f>AC70</f>
        <v/>
      </c>
      <c r="AN70" s="59" t="n"/>
      <c r="AO70" s="57" t="n"/>
      <c r="AP70" s="57" t="n"/>
      <c r="AQ70" s="57" t="n"/>
      <c r="AR70" s="57" t="n"/>
      <c r="AS70" s="67">
        <f>SUM(AO70:AR70)</f>
        <v/>
      </c>
      <c r="AT70" s="61" t="n"/>
      <c r="AU70" s="57" t="n"/>
      <c r="AV70" s="66">
        <f>AL70</f>
        <v/>
      </c>
      <c r="AW70" s="59" t="n"/>
      <c r="AX70" s="57" t="n"/>
      <c r="AY70" s="57" t="n"/>
      <c r="AZ70" s="57" t="n"/>
      <c r="BA70" s="57" t="n"/>
      <c r="BB70" s="67">
        <f>SUM(AX70:BA70)</f>
        <v/>
      </c>
      <c r="BC70" s="61" t="n"/>
      <c r="BD70" s="57" t="n"/>
      <c r="BE70" s="66">
        <f>AU70</f>
        <v/>
      </c>
      <c r="BF70" s="59" t="n"/>
      <c r="BG70" s="57" t="n"/>
      <c r="BH70" s="57" t="n"/>
      <c r="BI70" s="57" t="n"/>
      <c r="BJ70" s="57" t="n"/>
      <c r="BK70" s="67">
        <f>SUM(BG70:BJ70)</f>
        <v/>
      </c>
      <c r="BL70" s="61" t="n"/>
      <c r="BM70" s="57" t="n"/>
      <c r="BN70" s="66">
        <f>BD70</f>
        <v/>
      </c>
      <c r="BO70" s="59" t="n"/>
      <c r="BP70" s="57" t="n"/>
      <c r="BQ70" s="57" t="n"/>
      <c r="BR70" s="57" t="n"/>
      <c r="BS70" s="57" t="n"/>
      <c r="BT70" s="67">
        <f>SUM(BP70:BS70)</f>
        <v/>
      </c>
      <c r="BU70" s="61" t="n"/>
      <c r="BV70" s="57" t="n"/>
      <c r="BW70" s="66">
        <f>BM70</f>
        <v/>
      </c>
      <c r="BX70" s="59" t="n"/>
      <c r="BY70" s="57" t="n"/>
      <c r="BZ70" s="57" t="n"/>
      <c r="CA70" s="57" t="n"/>
      <c r="CB70" s="57" t="n"/>
      <c r="CC70" s="67">
        <f>SUM(BY70:CB70)</f>
        <v/>
      </c>
      <c r="CD70" s="61" t="n"/>
      <c r="CE70" s="57" t="n"/>
      <c r="CF70" s="66">
        <f>BV70</f>
        <v/>
      </c>
      <c r="CG70" s="59" t="n"/>
      <c r="CH70" s="57" t="n"/>
      <c r="CI70" s="57" t="n"/>
      <c r="CJ70" s="57" t="n"/>
      <c r="CK70" s="57" t="n"/>
      <c r="CL70" s="67">
        <f>SUM(CH70:CK70)</f>
        <v/>
      </c>
      <c r="CM70" s="61" t="n"/>
      <c r="CN70" s="57" t="n"/>
      <c r="CO70" s="66">
        <f>CE70</f>
        <v/>
      </c>
      <c r="CP70" s="59" t="n"/>
      <c r="CQ70" s="57" t="n"/>
      <c r="CR70" s="57" t="n"/>
      <c r="CS70" s="57" t="n"/>
      <c r="CT70" s="57" t="n"/>
      <c r="CU70" s="67">
        <f>SUM(CQ70:CT70)</f>
        <v/>
      </c>
      <c r="CV70" s="61" t="n"/>
      <c r="CW70" s="57" t="n"/>
      <c r="CX70" s="66">
        <f>CN70</f>
        <v/>
      </c>
      <c r="CY70" s="59" t="n"/>
      <c r="CZ70" s="57" t="n"/>
      <c r="DA70" s="57" t="n"/>
      <c r="DB70" s="57" t="n"/>
      <c r="DC70" s="57" t="n"/>
      <c r="DD70" s="67">
        <f>SUM(CZ70:DC70)</f>
        <v/>
      </c>
      <c r="DE70" s="61" t="n"/>
      <c r="DF70" s="57" t="n"/>
      <c r="DG70" s="66">
        <f>CW70</f>
        <v/>
      </c>
      <c r="DH70" s="59" t="n"/>
      <c r="DI70" s="57" t="n"/>
      <c r="DJ70" s="57" t="n"/>
      <c r="DK70" s="57" t="n"/>
      <c r="DL70" s="57" t="n"/>
      <c r="DM70" s="67">
        <f>SUM(DI70:DL70)</f>
        <v/>
      </c>
      <c r="DN70" s="61" t="n"/>
      <c r="DO70" s="57" t="n"/>
      <c r="DP70" s="66">
        <f>DF70</f>
        <v/>
      </c>
      <c r="DQ70" s="59" t="n"/>
      <c r="DR70" s="57" t="n"/>
      <c r="DS70" s="57" t="n"/>
      <c r="DT70" s="57" t="n"/>
      <c r="DU70" s="57" t="n"/>
      <c r="DV70" s="67">
        <f>SUM(DR70:DU70)</f>
        <v/>
      </c>
      <c r="DW70" s="61" t="n"/>
      <c r="DX70" s="57" t="n"/>
      <c r="DY70" s="66">
        <f>DO70</f>
        <v/>
      </c>
      <c r="DZ70" s="59" t="n"/>
      <c r="EA70" s="57" t="n"/>
      <c r="EB70" s="57" t="n"/>
      <c r="EC70" s="57" t="n"/>
      <c r="ED70" s="57" t="n"/>
      <c r="EE70" s="67">
        <f>SUM(EA70:ED70)</f>
        <v/>
      </c>
      <c r="EF70" s="61" t="n"/>
      <c r="EG70" s="57" t="n"/>
      <c r="EH70" s="66">
        <f>DX70</f>
        <v/>
      </c>
      <c r="EI70" s="59" t="n"/>
      <c r="EJ70" s="57" t="n"/>
      <c r="EK70" s="57" t="n"/>
      <c r="EL70" s="57" t="n"/>
      <c r="EM70" s="57" t="n"/>
      <c r="EN70" s="67">
        <f>SUM(EJ70:EM70)</f>
        <v/>
      </c>
      <c r="EO70" s="61" t="n"/>
      <c r="EP70" s="57" t="n"/>
      <c r="EQ70" s="66">
        <f>EG70</f>
        <v/>
      </c>
      <c r="ER70" s="59" t="n"/>
      <c r="ES70" s="57" t="n"/>
      <c r="ET70" s="57" t="n"/>
      <c r="EU70" s="57" t="n"/>
      <c r="EV70" s="57" t="n"/>
      <c r="EW70" s="67">
        <f>SUM(ES70:EV70)</f>
        <v/>
      </c>
      <c r="EX70" s="61" t="n"/>
      <c r="EY70" s="57" t="n"/>
      <c r="EZ70" s="66">
        <f>EP70</f>
        <v/>
      </c>
      <c r="FA70" s="59" t="n"/>
      <c r="FB70" s="57" t="n"/>
      <c r="FC70" s="57" t="n"/>
      <c r="FD70" s="57" t="n"/>
      <c r="FE70" s="57" t="n"/>
      <c r="FF70" s="67">
        <f>SUM(FB70:FE70)</f>
        <v/>
      </c>
      <c r="FG70" s="61" t="n"/>
      <c r="FH70" s="57" t="n"/>
      <c r="FI70" s="66">
        <f>EY70</f>
        <v/>
      </c>
      <c r="FJ70" s="59" t="n"/>
      <c r="FK70" s="57" t="n"/>
      <c r="FL70" s="57" t="n"/>
      <c r="FM70" s="57" t="n"/>
      <c r="FN70" s="57" t="n"/>
      <c r="FO70" s="67">
        <f>SUM(FK70:FN70)</f>
        <v/>
      </c>
      <c r="FP70" s="61" t="n"/>
      <c r="FQ70" s="57" t="n"/>
      <c r="FR70" s="66">
        <f>FH70</f>
        <v/>
      </c>
      <c r="FS70" s="59" t="n"/>
      <c r="FT70" s="57" t="n"/>
      <c r="FU70" s="57" t="n"/>
      <c r="FV70" s="57" t="n"/>
      <c r="FW70" s="57" t="n"/>
      <c r="FX70" s="67">
        <f>SUM(FT70:FW70)</f>
        <v/>
      </c>
      <c r="FY70" s="61" t="n"/>
      <c r="FZ70" s="57" t="n"/>
      <c r="GA70" s="66">
        <f>FQ70</f>
        <v/>
      </c>
      <c r="GB70" s="59" t="n"/>
      <c r="GC70" s="57" t="n"/>
      <c r="GD70" s="57" t="n"/>
      <c r="GE70" s="57" t="n"/>
      <c r="GF70" s="57" t="n"/>
      <c r="GG70" s="67">
        <f>SUM(GC70:GF70)</f>
        <v/>
      </c>
      <c r="GH70" s="61" t="n"/>
      <c r="GI70" s="57" t="n"/>
      <c r="GJ70" s="66">
        <f>FZ70</f>
        <v/>
      </c>
      <c r="GK70" s="59" t="n"/>
      <c r="GL70" s="57" t="n"/>
      <c r="GM70" s="57" t="n"/>
      <c r="GN70" s="57" t="n"/>
      <c r="GO70" s="57" t="n"/>
      <c r="GP70" s="67">
        <f>SUM(GL70:GO70)</f>
        <v/>
      </c>
      <c r="GQ70" s="61" t="n"/>
      <c r="GR70" s="57" t="n"/>
      <c r="GS70" s="66">
        <f>GI70</f>
        <v/>
      </c>
      <c r="GT70" s="59" t="n"/>
      <c r="GU70" s="57" t="n"/>
      <c r="GV70" s="57" t="n"/>
      <c r="GW70" s="57" t="n"/>
      <c r="GX70" s="57" t="n"/>
      <c r="GY70" s="67">
        <f>SUM(GU70:GX70)</f>
        <v/>
      </c>
      <c r="GZ70" s="61" t="n"/>
      <c r="HA70" s="57" t="n"/>
      <c r="HB70" s="66">
        <f>GR70</f>
        <v/>
      </c>
      <c r="HC70" s="59" t="n"/>
      <c r="HD70" s="57" t="n"/>
      <c r="HE70" s="57" t="n"/>
      <c r="HF70" s="57" t="n"/>
      <c r="HG70" s="57" t="n"/>
      <c r="HH70" s="67">
        <f>SUM(HD70:HG70)</f>
        <v/>
      </c>
      <c r="HI70" s="61" t="n"/>
      <c r="HJ70" s="57" t="n"/>
      <c r="HK70" s="66">
        <f>HA70</f>
        <v/>
      </c>
      <c r="HL70" s="59" t="n"/>
      <c r="HM70" s="57" t="n"/>
      <c r="HN70" s="57" t="n"/>
      <c r="HO70" s="57" t="n"/>
      <c r="HP70" s="57" t="n"/>
      <c r="HQ70" s="67">
        <f>SUM(HM70:HP70)</f>
        <v/>
      </c>
      <c r="HR70" s="61" t="n"/>
      <c r="HS70" s="57" t="n"/>
      <c r="HT70" s="66">
        <f>HJ70</f>
        <v/>
      </c>
      <c r="HU70" s="59" t="n"/>
      <c r="HV70" s="57" t="n"/>
      <c r="HW70" s="57" t="n"/>
      <c r="HX70" s="57" t="n"/>
      <c r="HY70" s="57" t="n"/>
      <c r="HZ70" s="67">
        <f>SUM(HV70:HY70)</f>
        <v/>
      </c>
      <c r="IA70" s="61" t="n"/>
      <c r="IB70" s="57" t="n"/>
      <c r="IC70" s="66">
        <f>HS70</f>
        <v/>
      </c>
      <c r="ID70" s="59" t="n"/>
      <c r="IE70" s="57" t="n"/>
      <c r="IF70" s="57" t="n"/>
      <c r="IG70" s="57" t="n"/>
      <c r="IH70" s="57" t="n"/>
      <c r="II70" s="67">
        <f>SUM(IE70:IH70)</f>
        <v/>
      </c>
      <c r="IJ70" s="61" t="n"/>
      <c r="IK70" s="57" t="n"/>
      <c r="IL70" s="66">
        <f>IB70</f>
        <v/>
      </c>
      <c r="IM70" s="59" t="n"/>
      <c r="IN70" s="57" t="n"/>
      <c r="IO70" s="57" t="n"/>
      <c r="IP70" s="57" t="n"/>
      <c r="IQ70" s="57" t="n"/>
      <c r="IR70" s="67">
        <f>SUM(IN70:IQ70)</f>
        <v/>
      </c>
      <c r="IS70" s="61" t="n"/>
      <c r="IT70" s="57" t="n"/>
      <c r="IU70" s="66">
        <f>IK70</f>
        <v/>
      </c>
      <c r="IV70" s="59" t="n"/>
      <c r="IW70" s="57" t="n"/>
      <c r="IX70" s="57" t="n"/>
      <c r="IY70" s="57" t="n"/>
      <c r="IZ70" s="57" t="n"/>
      <c r="JA70" s="67">
        <f>SUM(IW70:IZ70)</f>
        <v/>
      </c>
      <c r="JB70" s="61" t="n"/>
      <c r="JC70" s="57" t="n"/>
      <c r="JD70" s="66">
        <f>IT70</f>
        <v/>
      </c>
      <c r="JE70" s="59" t="n"/>
      <c r="JF70" s="57" t="n"/>
      <c r="JG70" s="57" t="n"/>
      <c r="JH70" s="57" t="n"/>
      <c r="JI70" s="57" t="n"/>
      <c r="JJ70" s="67">
        <f>SUM(JF70:JI70)</f>
        <v/>
      </c>
      <c r="JK70" s="61" t="n"/>
      <c r="JL70" s="57" t="n"/>
      <c r="JM70" s="66">
        <f>JC70</f>
        <v/>
      </c>
      <c r="JN70" s="59" t="n"/>
      <c r="JO70" s="57" t="n"/>
      <c r="JP70" s="57" t="n"/>
      <c r="JQ70" s="57" t="n"/>
      <c r="JR70" s="57" t="n"/>
      <c r="JS70" s="67">
        <f>SUM(JO70:JR70)</f>
        <v/>
      </c>
      <c r="JT70" s="61" t="n"/>
      <c r="JU70" s="62">
        <f>I70+R70+AA70+AJ70+AS70+BB70+BK70+BT70+CC70+CL70+CU70+DD70+DM70+DV70+EE70+EN70+EW70+FF70+FO70+FX70+GG70+GP70+GY70+HH70+HQ70+HZ70+II70+IR70+JA70+JJ70+JS70</f>
        <v/>
      </c>
      <c r="JV70" s="63">
        <f>D70+M70+V70+AE70+AN70+AW70+BF70+BO70+BX70+CG70+CP70+CY70+DH70+DQ70+DZ70+EI70+ER70+FA70+FJ70+FS70+GB70+GK70+GT70+HC70+HL70+HU70+ID70+IM70+IV70+JE70+JN70</f>
        <v/>
      </c>
      <c r="JW70" s="62">
        <f>CHOOSE($Z$3,B70, K70, T70, AC70, AL70, AU70, BD70, BM70, BV70, CE70, CN70, CW70, DF70, DO70, DX70, EG70, EP70, EY70, FH70, FQ70, FZ70, GI70, GR70, HA70, HJ70, HS70, IB70, IK70, IT70, JC70, JL70)</f>
        <v/>
      </c>
      <c r="JX70" s="62">
        <f>IFERROR(JU70/$Z$3,0)</f>
        <v/>
      </c>
      <c r="JY70" s="62">
        <f>Configurações!$C$10</f>
        <v/>
      </c>
      <c r="JZ70" s="64">
        <f>IF(JY70=0,"— Sem meta",IF(JU70&gt;=JY70,"✓ Atingida","Em andamento"))</f>
        <v/>
      </c>
      <c r="KA70" s="65">
        <f>JU70+(10*0.0000001)</f>
        <v/>
      </c>
    </row>
    <row r="71" ht="20" customHeight="1">
      <c r="A71" s="56">
        <f>IF(Configurações!$B$11="","Assessor 5",Configurações!$B$11)</f>
        <v/>
      </c>
      <c r="B71" s="57" t="n"/>
      <c r="C71" s="58">
        <f>'Janeiro'!$JW71</f>
        <v/>
      </c>
      <c r="D71" s="59" t="n"/>
      <c r="E71" s="57" t="n"/>
      <c r="F71" s="57" t="n"/>
      <c r="G71" s="57" t="n"/>
      <c r="H71" s="57" t="n"/>
      <c r="I71" s="60">
        <f>SUM(E71:H71)</f>
        <v/>
      </c>
      <c r="J71" s="61" t="n"/>
      <c r="K71" s="57" t="n"/>
      <c r="L71" s="58">
        <f>B71</f>
        <v/>
      </c>
      <c r="M71" s="59" t="n"/>
      <c r="N71" s="57" t="n"/>
      <c r="O71" s="57" t="n"/>
      <c r="P71" s="57" t="n"/>
      <c r="Q71" s="57" t="n"/>
      <c r="R71" s="60">
        <f>SUM(N71:Q71)</f>
        <v/>
      </c>
      <c r="S71" s="61" t="n"/>
      <c r="T71" s="57" t="n"/>
      <c r="U71" s="58">
        <f>K71</f>
        <v/>
      </c>
      <c r="V71" s="59" t="n"/>
      <c r="W71" s="57" t="n"/>
      <c r="X71" s="57" t="n"/>
      <c r="Y71" s="57" t="n"/>
      <c r="Z71" s="57" t="n"/>
      <c r="AA71" s="60">
        <f>SUM(W71:Z71)</f>
        <v/>
      </c>
      <c r="AB71" s="61" t="n"/>
      <c r="AC71" s="57" t="n"/>
      <c r="AD71" s="58">
        <f>T71</f>
        <v/>
      </c>
      <c r="AE71" s="59" t="n"/>
      <c r="AF71" s="57" t="n"/>
      <c r="AG71" s="57" t="n"/>
      <c r="AH71" s="57" t="n"/>
      <c r="AI71" s="57" t="n"/>
      <c r="AJ71" s="60">
        <f>SUM(AF71:AI71)</f>
        <v/>
      </c>
      <c r="AK71" s="61" t="n"/>
      <c r="AL71" s="57" t="n"/>
      <c r="AM71" s="58">
        <f>AC71</f>
        <v/>
      </c>
      <c r="AN71" s="59" t="n"/>
      <c r="AO71" s="57" t="n"/>
      <c r="AP71" s="57" t="n"/>
      <c r="AQ71" s="57" t="n"/>
      <c r="AR71" s="57" t="n"/>
      <c r="AS71" s="60">
        <f>SUM(AO71:AR71)</f>
        <v/>
      </c>
      <c r="AT71" s="61" t="n"/>
      <c r="AU71" s="57" t="n"/>
      <c r="AV71" s="58">
        <f>AL71</f>
        <v/>
      </c>
      <c r="AW71" s="59" t="n"/>
      <c r="AX71" s="57" t="n"/>
      <c r="AY71" s="57" t="n"/>
      <c r="AZ71" s="57" t="n"/>
      <c r="BA71" s="57" t="n"/>
      <c r="BB71" s="60">
        <f>SUM(AX71:BA71)</f>
        <v/>
      </c>
      <c r="BC71" s="61" t="n"/>
      <c r="BD71" s="57" t="n"/>
      <c r="BE71" s="58">
        <f>AU71</f>
        <v/>
      </c>
      <c r="BF71" s="59" t="n"/>
      <c r="BG71" s="57" t="n"/>
      <c r="BH71" s="57" t="n"/>
      <c r="BI71" s="57" t="n"/>
      <c r="BJ71" s="57" t="n"/>
      <c r="BK71" s="60">
        <f>SUM(BG71:BJ71)</f>
        <v/>
      </c>
      <c r="BL71" s="61" t="n"/>
      <c r="BM71" s="57" t="n"/>
      <c r="BN71" s="58">
        <f>BD71</f>
        <v/>
      </c>
      <c r="BO71" s="59" t="n"/>
      <c r="BP71" s="57" t="n"/>
      <c r="BQ71" s="57" t="n"/>
      <c r="BR71" s="57" t="n"/>
      <c r="BS71" s="57" t="n"/>
      <c r="BT71" s="60">
        <f>SUM(BP71:BS71)</f>
        <v/>
      </c>
      <c r="BU71" s="61" t="n"/>
      <c r="BV71" s="57" t="n"/>
      <c r="BW71" s="58">
        <f>BM71</f>
        <v/>
      </c>
      <c r="BX71" s="59" t="n"/>
      <c r="BY71" s="57" t="n"/>
      <c r="BZ71" s="57" t="n"/>
      <c r="CA71" s="57" t="n"/>
      <c r="CB71" s="57" t="n"/>
      <c r="CC71" s="60">
        <f>SUM(BY71:CB71)</f>
        <v/>
      </c>
      <c r="CD71" s="61" t="n"/>
      <c r="CE71" s="57" t="n"/>
      <c r="CF71" s="58">
        <f>BV71</f>
        <v/>
      </c>
      <c r="CG71" s="59" t="n"/>
      <c r="CH71" s="57" t="n"/>
      <c r="CI71" s="57" t="n"/>
      <c r="CJ71" s="57" t="n"/>
      <c r="CK71" s="57" t="n"/>
      <c r="CL71" s="60">
        <f>SUM(CH71:CK71)</f>
        <v/>
      </c>
      <c r="CM71" s="61" t="n"/>
      <c r="CN71" s="57" t="n"/>
      <c r="CO71" s="58">
        <f>CE71</f>
        <v/>
      </c>
      <c r="CP71" s="59" t="n"/>
      <c r="CQ71" s="57" t="n"/>
      <c r="CR71" s="57" t="n"/>
      <c r="CS71" s="57" t="n"/>
      <c r="CT71" s="57" t="n"/>
      <c r="CU71" s="60">
        <f>SUM(CQ71:CT71)</f>
        <v/>
      </c>
      <c r="CV71" s="61" t="n"/>
      <c r="CW71" s="57" t="n"/>
      <c r="CX71" s="58">
        <f>CN71</f>
        <v/>
      </c>
      <c r="CY71" s="59" t="n"/>
      <c r="CZ71" s="57" t="n"/>
      <c r="DA71" s="57" t="n"/>
      <c r="DB71" s="57" t="n"/>
      <c r="DC71" s="57" t="n"/>
      <c r="DD71" s="60">
        <f>SUM(CZ71:DC71)</f>
        <v/>
      </c>
      <c r="DE71" s="61" t="n"/>
      <c r="DF71" s="57" t="n"/>
      <c r="DG71" s="58">
        <f>CW71</f>
        <v/>
      </c>
      <c r="DH71" s="59" t="n"/>
      <c r="DI71" s="57" t="n"/>
      <c r="DJ71" s="57" t="n"/>
      <c r="DK71" s="57" t="n"/>
      <c r="DL71" s="57" t="n"/>
      <c r="DM71" s="60">
        <f>SUM(DI71:DL71)</f>
        <v/>
      </c>
      <c r="DN71" s="61" t="n"/>
      <c r="DO71" s="57" t="n"/>
      <c r="DP71" s="58">
        <f>DF71</f>
        <v/>
      </c>
      <c r="DQ71" s="59" t="n"/>
      <c r="DR71" s="57" t="n"/>
      <c r="DS71" s="57" t="n"/>
      <c r="DT71" s="57" t="n"/>
      <c r="DU71" s="57" t="n"/>
      <c r="DV71" s="60">
        <f>SUM(DR71:DU71)</f>
        <v/>
      </c>
      <c r="DW71" s="61" t="n"/>
      <c r="DX71" s="57" t="n"/>
      <c r="DY71" s="58">
        <f>DO71</f>
        <v/>
      </c>
      <c r="DZ71" s="59" t="n"/>
      <c r="EA71" s="57" t="n"/>
      <c r="EB71" s="57" t="n"/>
      <c r="EC71" s="57" t="n"/>
      <c r="ED71" s="57" t="n"/>
      <c r="EE71" s="60">
        <f>SUM(EA71:ED71)</f>
        <v/>
      </c>
      <c r="EF71" s="61" t="n"/>
      <c r="EG71" s="57" t="n"/>
      <c r="EH71" s="58">
        <f>DX71</f>
        <v/>
      </c>
      <c r="EI71" s="59" t="n"/>
      <c r="EJ71" s="57" t="n"/>
      <c r="EK71" s="57" t="n"/>
      <c r="EL71" s="57" t="n"/>
      <c r="EM71" s="57" t="n"/>
      <c r="EN71" s="60">
        <f>SUM(EJ71:EM71)</f>
        <v/>
      </c>
      <c r="EO71" s="61" t="n"/>
      <c r="EP71" s="57" t="n"/>
      <c r="EQ71" s="58">
        <f>EG71</f>
        <v/>
      </c>
      <c r="ER71" s="59" t="n"/>
      <c r="ES71" s="57" t="n"/>
      <c r="ET71" s="57" t="n"/>
      <c r="EU71" s="57" t="n"/>
      <c r="EV71" s="57" t="n"/>
      <c r="EW71" s="60">
        <f>SUM(ES71:EV71)</f>
        <v/>
      </c>
      <c r="EX71" s="61" t="n"/>
      <c r="EY71" s="57" t="n"/>
      <c r="EZ71" s="58">
        <f>EP71</f>
        <v/>
      </c>
      <c r="FA71" s="59" t="n"/>
      <c r="FB71" s="57" t="n"/>
      <c r="FC71" s="57" t="n"/>
      <c r="FD71" s="57" t="n"/>
      <c r="FE71" s="57" t="n"/>
      <c r="FF71" s="60">
        <f>SUM(FB71:FE71)</f>
        <v/>
      </c>
      <c r="FG71" s="61" t="n"/>
      <c r="FH71" s="57" t="n"/>
      <c r="FI71" s="58">
        <f>EY71</f>
        <v/>
      </c>
      <c r="FJ71" s="59" t="n"/>
      <c r="FK71" s="57" t="n"/>
      <c r="FL71" s="57" t="n"/>
      <c r="FM71" s="57" t="n"/>
      <c r="FN71" s="57" t="n"/>
      <c r="FO71" s="60">
        <f>SUM(FK71:FN71)</f>
        <v/>
      </c>
      <c r="FP71" s="61" t="n"/>
      <c r="FQ71" s="57" t="n"/>
      <c r="FR71" s="58">
        <f>FH71</f>
        <v/>
      </c>
      <c r="FS71" s="59" t="n"/>
      <c r="FT71" s="57" t="n"/>
      <c r="FU71" s="57" t="n"/>
      <c r="FV71" s="57" t="n"/>
      <c r="FW71" s="57" t="n"/>
      <c r="FX71" s="60">
        <f>SUM(FT71:FW71)</f>
        <v/>
      </c>
      <c r="FY71" s="61" t="n"/>
      <c r="FZ71" s="57" t="n"/>
      <c r="GA71" s="58">
        <f>FQ71</f>
        <v/>
      </c>
      <c r="GB71" s="59" t="n"/>
      <c r="GC71" s="57" t="n"/>
      <c r="GD71" s="57" t="n"/>
      <c r="GE71" s="57" t="n"/>
      <c r="GF71" s="57" t="n"/>
      <c r="GG71" s="60">
        <f>SUM(GC71:GF71)</f>
        <v/>
      </c>
      <c r="GH71" s="61" t="n"/>
      <c r="GI71" s="57" t="n"/>
      <c r="GJ71" s="58">
        <f>FZ71</f>
        <v/>
      </c>
      <c r="GK71" s="59" t="n"/>
      <c r="GL71" s="57" t="n"/>
      <c r="GM71" s="57" t="n"/>
      <c r="GN71" s="57" t="n"/>
      <c r="GO71" s="57" t="n"/>
      <c r="GP71" s="60">
        <f>SUM(GL71:GO71)</f>
        <v/>
      </c>
      <c r="GQ71" s="61" t="n"/>
      <c r="GR71" s="57" t="n"/>
      <c r="GS71" s="58">
        <f>GI71</f>
        <v/>
      </c>
      <c r="GT71" s="59" t="n"/>
      <c r="GU71" s="57" t="n"/>
      <c r="GV71" s="57" t="n"/>
      <c r="GW71" s="57" t="n"/>
      <c r="GX71" s="57" t="n"/>
      <c r="GY71" s="60">
        <f>SUM(GU71:GX71)</f>
        <v/>
      </c>
      <c r="GZ71" s="61" t="n"/>
      <c r="HA71" s="57" t="n"/>
      <c r="HB71" s="58">
        <f>GR71</f>
        <v/>
      </c>
      <c r="HC71" s="59" t="n"/>
      <c r="HD71" s="57" t="n"/>
      <c r="HE71" s="57" t="n"/>
      <c r="HF71" s="57" t="n"/>
      <c r="HG71" s="57" t="n"/>
      <c r="HH71" s="60">
        <f>SUM(HD71:HG71)</f>
        <v/>
      </c>
      <c r="HI71" s="61" t="n"/>
      <c r="HJ71" s="57" t="n"/>
      <c r="HK71" s="58">
        <f>HA71</f>
        <v/>
      </c>
      <c r="HL71" s="59" t="n"/>
      <c r="HM71" s="57" t="n"/>
      <c r="HN71" s="57" t="n"/>
      <c r="HO71" s="57" t="n"/>
      <c r="HP71" s="57" t="n"/>
      <c r="HQ71" s="60">
        <f>SUM(HM71:HP71)</f>
        <v/>
      </c>
      <c r="HR71" s="61" t="n"/>
      <c r="HS71" s="57" t="n"/>
      <c r="HT71" s="58">
        <f>HJ71</f>
        <v/>
      </c>
      <c r="HU71" s="59" t="n"/>
      <c r="HV71" s="57" t="n"/>
      <c r="HW71" s="57" t="n"/>
      <c r="HX71" s="57" t="n"/>
      <c r="HY71" s="57" t="n"/>
      <c r="HZ71" s="60">
        <f>SUM(HV71:HY71)</f>
        <v/>
      </c>
      <c r="IA71" s="61" t="n"/>
      <c r="IB71" s="57" t="n"/>
      <c r="IC71" s="58">
        <f>HS71</f>
        <v/>
      </c>
      <c r="ID71" s="59" t="n"/>
      <c r="IE71" s="57" t="n"/>
      <c r="IF71" s="57" t="n"/>
      <c r="IG71" s="57" t="n"/>
      <c r="IH71" s="57" t="n"/>
      <c r="II71" s="60">
        <f>SUM(IE71:IH71)</f>
        <v/>
      </c>
      <c r="IJ71" s="61" t="n"/>
      <c r="IK71" s="57" t="n"/>
      <c r="IL71" s="58">
        <f>IB71</f>
        <v/>
      </c>
      <c r="IM71" s="59" t="n"/>
      <c r="IN71" s="57" t="n"/>
      <c r="IO71" s="57" t="n"/>
      <c r="IP71" s="57" t="n"/>
      <c r="IQ71" s="57" t="n"/>
      <c r="IR71" s="60">
        <f>SUM(IN71:IQ71)</f>
        <v/>
      </c>
      <c r="IS71" s="61" t="n"/>
      <c r="IT71" s="57" t="n"/>
      <c r="IU71" s="58">
        <f>IK71</f>
        <v/>
      </c>
      <c r="IV71" s="59" t="n"/>
      <c r="IW71" s="57" t="n"/>
      <c r="IX71" s="57" t="n"/>
      <c r="IY71" s="57" t="n"/>
      <c r="IZ71" s="57" t="n"/>
      <c r="JA71" s="60">
        <f>SUM(IW71:IZ71)</f>
        <v/>
      </c>
      <c r="JB71" s="61" t="n"/>
      <c r="JC71" s="57" t="n"/>
      <c r="JD71" s="58">
        <f>IT71</f>
        <v/>
      </c>
      <c r="JE71" s="59" t="n"/>
      <c r="JF71" s="57" t="n"/>
      <c r="JG71" s="57" t="n"/>
      <c r="JH71" s="57" t="n"/>
      <c r="JI71" s="57" t="n"/>
      <c r="JJ71" s="60">
        <f>SUM(JF71:JI71)</f>
        <v/>
      </c>
      <c r="JK71" s="61" t="n"/>
      <c r="JL71" s="57" t="n"/>
      <c r="JM71" s="58">
        <f>JC71</f>
        <v/>
      </c>
      <c r="JN71" s="59" t="n"/>
      <c r="JO71" s="57" t="n"/>
      <c r="JP71" s="57" t="n"/>
      <c r="JQ71" s="57" t="n"/>
      <c r="JR71" s="57" t="n"/>
      <c r="JS71" s="60">
        <f>SUM(JO71:JR71)</f>
        <v/>
      </c>
      <c r="JT71" s="61" t="n"/>
      <c r="JU71" s="62">
        <f>I71+R71+AA71+AJ71+AS71+BB71+BK71+BT71+CC71+CL71+CU71+DD71+DM71+DV71+EE71+EN71+EW71+FF71+FO71+FX71+GG71+GP71+GY71+HH71+HQ71+HZ71+II71+IR71+JA71+JJ71+JS71</f>
        <v/>
      </c>
      <c r="JV71" s="63">
        <f>D71+M71+V71+AE71+AN71+AW71+BF71+BO71+BX71+CG71+CP71+CY71+DH71+DQ71+DZ71+EI71+ER71+FA71+FJ71+FS71+GB71+GK71+GT71+HC71+HL71+HU71+ID71+IM71+IV71+JE71+JN71</f>
        <v/>
      </c>
      <c r="JW71" s="62">
        <f>CHOOSE($Z$3,B71, K71, T71, AC71, AL71, AU71, BD71, BM71, BV71, CE71, CN71, CW71, DF71, DO71, DX71, EG71, EP71, EY71, FH71, FQ71, FZ71, GI71, GR71, HA71, HJ71, HS71, IB71, IK71, IT71, JC71, JL71)</f>
        <v/>
      </c>
      <c r="JX71" s="62">
        <f>IFERROR(JU71/$Z$3,0)</f>
        <v/>
      </c>
      <c r="JY71" s="62">
        <f>Configurações!$C$11</f>
        <v/>
      </c>
      <c r="JZ71" s="64">
        <f>IF(JY71=0,"— Sem meta",IF(JU71&gt;=JY71,"✓ Atingida","Em andamento"))</f>
        <v/>
      </c>
      <c r="KA71" s="65">
        <f>JU71+(9*0.0000001)</f>
        <v/>
      </c>
    </row>
    <row r="72" ht="20" customHeight="1">
      <c r="A72" s="56">
        <f>IF(Configurações!$B$12="","Assessor 6",Configurações!$B$12)</f>
        <v/>
      </c>
      <c r="B72" s="57" t="n"/>
      <c r="C72" s="66">
        <f>'Janeiro'!$JW72</f>
        <v/>
      </c>
      <c r="D72" s="59" t="n"/>
      <c r="E72" s="57" t="n"/>
      <c r="F72" s="57" t="n"/>
      <c r="G72" s="57" t="n"/>
      <c r="H72" s="57" t="n"/>
      <c r="I72" s="67">
        <f>SUM(E72:H72)</f>
        <v/>
      </c>
      <c r="J72" s="61" t="n"/>
      <c r="K72" s="57" t="n"/>
      <c r="L72" s="66">
        <f>B72</f>
        <v/>
      </c>
      <c r="M72" s="59" t="n"/>
      <c r="N72" s="57" t="n"/>
      <c r="O72" s="57" t="n"/>
      <c r="P72" s="57" t="n"/>
      <c r="Q72" s="57" t="n"/>
      <c r="R72" s="67">
        <f>SUM(N72:Q72)</f>
        <v/>
      </c>
      <c r="S72" s="61" t="n"/>
      <c r="T72" s="57" t="n"/>
      <c r="U72" s="66">
        <f>K72</f>
        <v/>
      </c>
      <c r="V72" s="59" t="n"/>
      <c r="W72" s="57" t="n"/>
      <c r="X72" s="57" t="n"/>
      <c r="Y72" s="57" t="n"/>
      <c r="Z72" s="57" t="n"/>
      <c r="AA72" s="67">
        <f>SUM(W72:Z72)</f>
        <v/>
      </c>
      <c r="AB72" s="61" t="n"/>
      <c r="AC72" s="57" t="n"/>
      <c r="AD72" s="66">
        <f>T72</f>
        <v/>
      </c>
      <c r="AE72" s="59" t="n"/>
      <c r="AF72" s="57" t="n"/>
      <c r="AG72" s="57" t="n"/>
      <c r="AH72" s="57" t="n"/>
      <c r="AI72" s="57" t="n"/>
      <c r="AJ72" s="67">
        <f>SUM(AF72:AI72)</f>
        <v/>
      </c>
      <c r="AK72" s="61" t="n"/>
      <c r="AL72" s="57" t="n"/>
      <c r="AM72" s="66">
        <f>AC72</f>
        <v/>
      </c>
      <c r="AN72" s="59" t="n"/>
      <c r="AO72" s="57" t="n"/>
      <c r="AP72" s="57" t="n"/>
      <c r="AQ72" s="57" t="n"/>
      <c r="AR72" s="57" t="n"/>
      <c r="AS72" s="67">
        <f>SUM(AO72:AR72)</f>
        <v/>
      </c>
      <c r="AT72" s="61" t="n"/>
      <c r="AU72" s="57" t="n"/>
      <c r="AV72" s="66">
        <f>AL72</f>
        <v/>
      </c>
      <c r="AW72" s="59" t="n"/>
      <c r="AX72" s="57" t="n"/>
      <c r="AY72" s="57" t="n"/>
      <c r="AZ72" s="57" t="n"/>
      <c r="BA72" s="57" t="n"/>
      <c r="BB72" s="67">
        <f>SUM(AX72:BA72)</f>
        <v/>
      </c>
      <c r="BC72" s="61" t="n"/>
      <c r="BD72" s="57" t="n"/>
      <c r="BE72" s="66">
        <f>AU72</f>
        <v/>
      </c>
      <c r="BF72" s="59" t="n"/>
      <c r="BG72" s="57" t="n"/>
      <c r="BH72" s="57" t="n"/>
      <c r="BI72" s="57" t="n"/>
      <c r="BJ72" s="57" t="n"/>
      <c r="BK72" s="67">
        <f>SUM(BG72:BJ72)</f>
        <v/>
      </c>
      <c r="BL72" s="61" t="n"/>
      <c r="BM72" s="57" t="n"/>
      <c r="BN72" s="66">
        <f>BD72</f>
        <v/>
      </c>
      <c r="BO72" s="59" t="n"/>
      <c r="BP72" s="57" t="n"/>
      <c r="BQ72" s="57" t="n"/>
      <c r="BR72" s="57" t="n"/>
      <c r="BS72" s="57" t="n"/>
      <c r="BT72" s="67">
        <f>SUM(BP72:BS72)</f>
        <v/>
      </c>
      <c r="BU72" s="61" t="n"/>
      <c r="BV72" s="57" t="n"/>
      <c r="BW72" s="66">
        <f>BM72</f>
        <v/>
      </c>
      <c r="BX72" s="59" t="n"/>
      <c r="BY72" s="57" t="n"/>
      <c r="BZ72" s="57" t="n"/>
      <c r="CA72" s="57" t="n"/>
      <c r="CB72" s="57" t="n"/>
      <c r="CC72" s="67">
        <f>SUM(BY72:CB72)</f>
        <v/>
      </c>
      <c r="CD72" s="61" t="n"/>
      <c r="CE72" s="57" t="n"/>
      <c r="CF72" s="66">
        <f>BV72</f>
        <v/>
      </c>
      <c r="CG72" s="59" t="n"/>
      <c r="CH72" s="57" t="n"/>
      <c r="CI72" s="57" t="n"/>
      <c r="CJ72" s="57" t="n"/>
      <c r="CK72" s="57" t="n"/>
      <c r="CL72" s="67">
        <f>SUM(CH72:CK72)</f>
        <v/>
      </c>
      <c r="CM72" s="61" t="n"/>
      <c r="CN72" s="57" t="n"/>
      <c r="CO72" s="66">
        <f>CE72</f>
        <v/>
      </c>
      <c r="CP72" s="59" t="n"/>
      <c r="CQ72" s="57" t="n"/>
      <c r="CR72" s="57" t="n"/>
      <c r="CS72" s="57" t="n"/>
      <c r="CT72" s="57" t="n"/>
      <c r="CU72" s="67">
        <f>SUM(CQ72:CT72)</f>
        <v/>
      </c>
      <c r="CV72" s="61" t="n"/>
      <c r="CW72" s="57" t="n"/>
      <c r="CX72" s="66">
        <f>CN72</f>
        <v/>
      </c>
      <c r="CY72" s="59" t="n"/>
      <c r="CZ72" s="57" t="n"/>
      <c r="DA72" s="57" t="n"/>
      <c r="DB72" s="57" t="n"/>
      <c r="DC72" s="57" t="n"/>
      <c r="DD72" s="67">
        <f>SUM(CZ72:DC72)</f>
        <v/>
      </c>
      <c r="DE72" s="61" t="n"/>
      <c r="DF72" s="57" t="n"/>
      <c r="DG72" s="66">
        <f>CW72</f>
        <v/>
      </c>
      <c r="DH72" s="59" t="n"/>
      <c r="DI72" s="57" t="n"/>
      <c r="DJ72" s="57" t="n"/>
      <c r="DK72" s="57" t="n"/>
      <c r="DL72" s="57" t="n"/>
      <c r="DM72" s="67">
        <f>SUM(DI72:DL72)</f>
        <v/>
      </c>
      <c r="DN72" s="61" t="n"/>
      <c r="DO72" s="57" t="n"/>
      <c r="DP72" s="66">
        <f>DF72</f>
        <v/>
      </c>
      <c r="DQ72" s="59" t="n"/>
      <c r="DR72" s="57" t="n"/>
      <c r="DS72" s="57" t="n"/>
      <c r="DT72" s="57" t="n"/>
      <c r="DU72" s="57" t="n"/>
      <c r="DV72" s="67">
        <f>SUM(DR72:DU72)</f>
        <v/>
      </c>
      <c r="DW72" s="61" t="n"/>
      <c r="DX72" s="57" t="n"/>
      <c r="DY72" s="66">
        <f>DO72</f>
        <v/>
      </c>
      <c r="DZ72" s="59" t="n"/>
      <c r="EA72" s="57" t="n"/>
      <c r="EB72" s="57" t="n"/>
      <c r="EC72" s="57" t="n"/>
      <c r="ED72" s="57" t="n"/>
      <c r="EE72" s="67">
        <f>SUM(EA72:ED72)</f>
        <v/>
      </c>
      <c r="EF72" s="61" t="n"/>
      <c r="EG72" s="57" t="n"/>
      <c r="EH72" s="66">
        <f>DX72</f>
        <v/>
      </c>
      <c r="EI72" s="59" t="n"/>
      <c r="EJ72" s="57" t="n"/>
      <c r="EK72" s="57" t="n"/>
      <c r="EL72" s="57" t="n"/>
      <c r="EM72" s="57" t="n"/>
      <c r="EN72" s="67">
        <f>SUM(EJ72:EM72)</f>
        <v/>
      </c>
      <c r="EO72" s="61" t="n"/>
      <c r="EP72" s="57" t="n"/>
      <c r="EQ72" s="66">
        <f>EG72</f>
        <v/>
      </c>
      <c r="ER72" s="59" t="n"/>
      <c r="ES72" s="57" t="n"/>
      <c r="ET72" s="57" t="n"/>
      <c r="EU72" s="57" t="n"/>
      <c r="EV72" s="57" t="n"/>
      <c r="EW72" s="67">
        <f>SUM(ES72:EV72)</f>
        <v/>
      </c>
      <c r="EX72" s="61" t="n"/>
      <c r="EY72" s="57" t="n"/>
      <c r="EZ72" s="66">
        <f>EP72</f>
        <v/>
      </c>
      <c r="FA72" s="59" t="n"/>
      <c r="FB72" s="57" t="n"/>
      <c r="FC72" s="57" t="n"/>
      <c r="FD72" s="57" t="n"/>
      <c r="FE72" s="57" t="n"/>
      <c r="FF72" s="67">
        <f>SUM(FB72:FE72)</f>
        <v/>
      </c>
      <c r="FG72" s="61" t="n"/>
      <c r="FH72" s="57" t="n"/>
      <c r="FI72" s="66">
        <f>EY72</f>
        <v/>
      </c>
      <c r="FJ72" s="59" t="n"/>
      <c r="FK72" s="57" t="n"/>
      <c r="FL72" s="57" t="n"/>
      <c r="FM72" s="57" t="n"/>
      <c r="FN72" s="57" t="n"/>
      <c r="FO72" s="67">
        <f>SUM(FK72:FN72)</f>
        <v/>
      </c>
      <c r="FP72" s="61" t="n"/>
      <c r="FQ72" s="57" t="n"/>
      <c r="FR72" s="66">
        <f>FH72</f>
        <v/>
      </c>
      <c r="FS72" s="59" t="n"/>
      <c r="FT72" s="57" t="n"/>
      <c r="FU72" s="57" t="n"/>
      <c r="FV72" s="57" t="n"/>
      <c r="FW72" s="57" t="n"/>
      <c r="FX72" s="67">
        <f>SUM(FT72:FW72)</f>
        <v/>
      </c>
      <c r="FY72" s="61" t="n"/>
      <c r="FZ72" s="57" t="n"/>
      <c r="GA72" s="66">
        <f>FQ72</f>
        <v/>
      </c>
      <c r="GB72" s="59" t="n"/>
      <c r="GC72" s="57" t="n"/>
      <c r="GD72" s="57" t="n"/>
      <c r="GE72" s="57" t="n"/>
      <c r="GF72" s="57" t="n"/>
      <c r="GG72" s="67">
        <f>SUM(GC72:GF72)</f>
        <v/>
      </c>
      <c r="GH72" s="61" t="n"/>
      <c r="GI72" s="57" t="n"/>
      <c r="GJ72" s="66">
        <f>FZ72</f>
        <v/>
      </c>
      <c r="GK72" s="59" t="n"/>
      <c r="GL72" s="57" t="n"/>
      <c r="GM72" s="57" t="n"/>
      <c r="GN72" s="57" t="n"/>
      <c r="GO72" s="57" t="n"/>
      <c r="GP72" s="67">
        <f>SUM(GL72:GO72)</f>
        <v/>
      </c>
      <c r="GQ72" s="61" t="n"/>
      <c r="GR72" s="57" t="n"/>
      <c r="GS72" s="66">
        <f>GI72</f>
        <v/>
      </c>
      <c r="GT72" s="59" t="n"/>
      <c r="GU72" s="57" t="n"/>
      <c r="GV72" s="57" t="n"/>
      <c r="GW72" s="57" t="n"/>
      <c r="GX72" s="57" t="n"/>
      <c r="GY72" s="67">
        <f>SUM(GU72:GX72)</f>
        <v/>
      </c>
      <c r="GZ72" s="61" t="n"/>
      <c r="HA72" s="57" t="n"/>
      <c r="HB72" s="66">
        <f>GR72</f>
        <v/>
      </c>
      <c r="HC72" s="59" t="n"/>
      <c r="HD72" s="57" t="n"/>
      <c r="HE72" s="57" t="n"/>
      <c r="HF72" s="57" t="n"/>
      <c r="HG72" s="57" t="n"/>
      <c r="HH72" s="67">
        <f>SUM(HD72:HG72)</f>
        <v/>
      </c>
      <c r="HI72" s="61" t="n"/>
      <c r="HJ72" s="57" t="n"/>
      <c r="HK72" s="66">
        <f>HA72</f>
        <v/>
      </c>
      <c r="HL72" s="59" t="n"/>
      <c r="HM72" s="57" t="n"/>
      <c r="HN72" s="57" t="n"/>
      <c r="HO72" s="57" t="n"/>
      <c r="HP72" s="57" t="n"/>
      <c r="HQ72" s="67">
        <f>SUM(HM72:HP72)</f>
        <v/>
      </c>
      <c r="HR72" s="61" t="n"/>
      <c r="HS72" s="57" t="n"/>
      <c r="HT72" s="66">
        <f>HJ72</f>
        <v/>
      </c>
      <c r="HU72" s="59" t="n"/>
      <c r="HV72" s="57" t="n"/>
      <c r="HW72" s="57" t="n"/>
      <c r="HX72" s="57" t="n"/>
      <c r="HY72" s="57" t="n"/>
      <c r="HZ72" s="67">
        <f>SUM(HV72:HY72)</f>
        <v/>
      </c>
      <c r="IA72" s="61" t="n"/>
      <c r="IB72" s="57" t="n"/>
      <c r="IC72" s="66">
        <f>HS72</f>
        <v/>
      </c>
      <c r="ID72" s="59" t="n"/>
      <c r="IE72" s="57" t="n"/>
      <c r="IF72" s="57" t="n"/>
      <c r="IG72" s="57" t="n"/>
      <c r="IH72" s="57" t="n"/>
      <c r="II72" s="67">
        <f>SUM(IE72:IH72)</f>
        <v/>
      </c>
      <c r="IJ72" s="61" t="n"/>
      <c r="IK72" s="57" t="n"/>
      <c r="IL72" s="66">
        <f>IB72</f>
        <v/>
      </c>
      <c r="IM72" s="59" t="n"/>
      <c r="IN72" s="57" t="n"/>
      <c r="IO72" s="57" t="n"/>
      <c r="IP72" s="57" t="n"/>
      <c r="IQ72" s="57" t="n"/>
      <c r="IR72" s="67">
        <f>SUM(IN72:IQ72)</f>
        <v/>
      </c>
      <c r="IS72" s="61" t="n"/>
      <c r="IT72" s="57" t="n"/>
      <c r="IU72" s="66">
        <f>IK72</f>
        <v/>
      </c>
      <c r="IV72" s="59" t="n"/>
      <c r="IW72" s="57" t="n"/>
      <c r="IX72" s="57" t="n"/>
      <c r="IY72" s="57" t="n"/>
      <c r="IZ72" s="57" t="n"/>
      <c r="JA72" s="67">
        <f>SUM(IW72:IZ72)</f>
        <v/>
      </c>
      <c r="JB72" s="61" t="n"/>
      <c r="JC72" s="57" t="n"/>
      <c r="JD72" s="66">
        <f>IT72</f>
        <v/>
      </c>
      <c r="JE72" s="59" t="n"/>
      <c r="JF72" s="57" t="n"/>
      <c r="JG72" s="57" t="n"/>
      <c r="JH72" s="57" t="n"/>
      <c r="JI72" s="57" t="n"/>
      <c r="JJ72" s="67">
        <f>SUM(JF72:JI72)</f>
        <v/>
      </c>
      <c r="JK72" s="61" t="n"/>
      <c r="JL72" s="57" t="n"/>
      <c r="JM72" s="66">
        <f>JC72</f>
        <v/>
      </c>
      <c r="JN72" s="59" t="n"/>
      <c r="JO72" s="57" t="n"/>
      <c r="JP72" s="57" t="n"/>
      <c r="JQ72" s="57" t="n"/>
      <c r="JR72" s="57" t="n"/>
      <c r="JS72" s="67">
        <f>SUM(JO72:JR72)</f>
        <v/>
      </c>
      <c r="JT72" s="61" t="n"/>
      <c r="JU72" s="62">
        <f>I72+R72+AA72+AJ72+AS72+BB72+BK72+BT72+CC72+CL72+CU72+DD72+DM72+DV72+EE72+EN72+EW72+FF72+FO72+FX72+GG72+GP72+GY72+HH72+HQ72+HZ72+II72+IR72+JA72+JJ72+JS72</f>
        <v/>
      </c>
      <c r="JV72" s="63">
        <f>D72+M72+V72+AE72+AN72+AW72+BF72+BO72+BX72+CG72+CP72+CY72+DH72+DQ72+DZ72+EI72+ER72+FA72+FJ72+FS72+GB72+GK72+GT72+HC72+HL72+HU72+ID72+IM72+IV72+JE72+JN72</f>
        <v/>
      </c>
      <c r="JW72" s="62">
        <f>CHOOSE($Z$3,B72, K72, T72, AC72, AL72, AU72, BD72, BM72, BV72, CE72, CN72, CW72, DF72, DO72, DX72, EG72, EP72, EY72, FH72, FQ72, FZ72, GI72, GR72, HA72, HJ72, HS72, IB72, IK72, IT72, JC72, JL72)</f>
        <v/>
      </c>
      <c r="JX72" s="62">
        <f>IFERROR(JU72/$Z$3,0)</f>
        <v/>
      </c>
      <c r="JY72" s="62">
        <f>Configurações!$C$12</f>
        <v/>
      </c>
      <c r="JZ72" s="64">
        <f>IF(JY72=0,"— Sem meta",IF(JU72&gt;=JY72,"✓ Atingida","Em andamento"))</f>
        <v/>
      </c>
      <c r="KA72" s="65">
        <f>JU72+(8*0.0000001)</f>
        <v/>
      </c>
    </row>
    <row r="73" ht="20" customHeight="1">
      <c r="A73" s="56">
        <f>IF(Configurações!$B$13="","Assessor 7",Configurações!$B$13)</f>
        <v/>
      </c>
      <c r="B73" s="57" t="n"/>
      <c r="C73" s="58">
        <f>'Janeiro'!$JW73</f>
        <v/>
      </c>
      <c r="D73" s="59" t="n"/>
      <c r="E73" s="57" t="n"/>
      <c r="F73" s="57" t="n"/>
      <c r="G73" s="57" t="n"/>
      <c r="H73" s="57" t="n"/>
      <c r="I73" s="60">
        <f>SUM(E73:H73)</f>
        <v/>
      </c>
      <c r="J73" s="61" t="n"/>
      <c r="K73" s="57" t="n"/>
      <c r="L73" s="58">
        <f>B73</f>
        <v/>
      </c>
      <c r="M73" s="59" t="n"/>
      <c r="N73" s="57" t="n"/>
      <c r="O73" s="57" t="n"/>
      <c r="P73" s="57" t="n"/>
      <c r="Q73" s="57" t="n"/>
      <c r="R73" s="60">
        <f>SUM(N73:Q73)</f>
        <v/>
      </c>
      <c r="S73" s="61" t="n"/>
      <c r="T73" s="57" t="n"/>
      <c r="U73" s="58">
        <f>K73</f>
        <v/>
      </c>
      <c r="V73" s="59" t="n"/>
      <c r="W73" s="57" t="n"/>
      <c r="X73" s="57" t="n"/>
      <c r="Y73" s="57" t="n"/>
      <c r="Z73" s="57" t="n"/>
      <c r="AA73" s="60">
        <f>SUM(W73:Z73)</f>
        <v/>
      </c>
      <c r="AB73" s="61" t="n"/>
      <c r="AC73" s="57" t="n"/>
      <c r="AD73" s="58">
        <f>T73</f>
        <v/>
      </c>
      <c r="AE73" s="59" t="n"/>
      <c r="AF73" s="57" t="n"/>
      <c r="AG73" s="57" t="n"/>
      <c r="AH73" s="57" t="n"/>
      <c r="AI73" s="57" t="n"/>
      <c r="AJ73" s="60">
        <f>SUM(AF73:AI73)</f>
        <v/>
      </c>
      <c r="AK73" s="61" t="n"/>
      <c r="AL73" s="57" t="n"/>
      <c r="AM73" s="58">
        <f>AC73</f>
        <v/>
      </c>
      <c r="AN73" s="59" t="n"/>
      <c r="AO73" s="57" t="n"/>
      <c r="AP73" s="57" t="n"/>
      <c r="AQ73" s="57" t="n"/>
      <c r="AR73" s="57" t="n"/>
      <c r="AS73" s="60">
        <f>SUM(AO73:AR73)</f>
        <v/>
      </c>
      <c r="AT73" s="61" t="n"/>
      <c r="AU73" s="57" t="n"/>
      <c r="AV73" s="58">
        <f>AL73</f>
        <v/>
      </c>
      <c r="AW73" s="59" t="n"/>
      <c r="AX73" s="57" t="n"/>
      <c r="AY73" s="57" t="n"/>
      <c r="AZ73" s="57" t="n"/>
      <c r="BA73" s="57" t="n"/>
      <c r="BB73" s="60">
        <f>SUM(AX73:BA73)</f>
        <v/>
      </c>
      <c r="BC73" s="61" t="n"/>
      <c r="BD73" s="57" t="n"/>
      <c r="BE73" s="58">
        <f>AU73</f>
        <v/>
      </c>
      <c r="BF73" s="59" t="n"/>
      <c r="BG73" s="57" t="n"/>
      <c r="BH73" s="57" t="n"/>
      <c r="BI73" s="57" t="n"/>
      <c r="BJ73" s="57" t="n"/>
      <c r="BK73" s="60">
        <f>SUM(BG73:BJ73)</f>
        <v/>
      </c>
      <c r="BL73" s="61" t="n"/>
      <c r="BM73" s="57" t="n"/>
      <c r="BN73" s="58">
        <f>BD73</f>
        <v/>
      </c>
      <c r="BO73" s="59" t="n"/>
      <c r="BP73" s="57" t="n"/>
      <c r="BQ73" s="57" t="n"/>
      <c r="BR73" s="57" t="n"/>
      <c r="BS73" s="57" t="n"/>
      <c r="BT73" s="60">
        <f>SUM(BP73:BS73)</f>
        <v/>
      </c>
      <c r="BU73" s="61" t="n"/>
      <c r="BV73" s="57" t="n"/>
      <c r="BW73" s="58">
        <f>BM73</f>
        <v/>
      </c>
      <c r="BX73" s="59" t="n"/>
      <c r="BY73" s="57" t="n"/>
      <c r="BZ73" s="57" t="n"/>
      <c r="CA73" s="57" t="n"/>
      <c r="CB73" s="57" t="n"/>
      <c r="CC73" s="60">
        <f>SUM(BY73:CB73)</f>
        <v/>
      </c>
      <c r="CD73" s="61" t="n"/>
      <c r="CE73" s="57" t="n"/>
      <c r="CF73" s="58">
        <f>BV73</f>
        <v/>
      </c>
      <c r="CG73" s="59" t="n"/>
      <c r="CH73" s="57" t="n"/>
      <c r="CI73" s="57" t="n"/>
      <c r="CJ73" s="57" t="n"/>
      <c r="CK73" s="57" t="n"/>
      <c r="CL73" s="60">
        <f>SUM(CH73:CK73)</f>
        <v/>
      </c>
      <c r="CM73" s="61" t="n"/>
      <c r="CN73" s="57" t="n"/>
      <c r="CO73" s="58">
        <f>CE73</f>
        <v/>
      </c>
      <c r="CP73" s="59" t="n"/>
      <c r="CQ73" s="57" t="n"/>
      <c r="CR73" s="57" t="n"/>
      <c r="CS73" s="57" t="n"/>
      <c r="CT73" s="57" t="n"/>
      <c r="CU73" s="60">
        <f>SUM(CQ73:CT73)</f>
        <v/>
      </c>
      <c r="CV73" s="61" t="n"/>
      <c r="CW73" s="57" t="n"/>
      <c r="CX73" s="58">
        <f>CN73</f>
        <v/>
      </c>
      <c r="CY73" s="59" t="n"/>
      <c r="CZ73" s="57" t="n"/>
      <c r="DA73" s="57" t="n"/>
      <c r="DB73" s="57" t="n"/>
      <c r="DC73" s="57" t="n"/>
      <c r="DD73" s="60">
        <f>SUM(CZ73:DC73)</f>
        <v/>
      </c>
      <c r="DE73" s="61" t="n"/>
      <c r="DF73" s="57" t="n"/>
      <c r="DG73" s="58">
        <f>CW73</f>
        <v/>
      </c>
      <c r="DH73" s="59" t="n"/>
      <c r="DI73" s="57" t="n"/>
      <c r="DJ73" s="57" t="n"/>
      <c r="DK73" s="57" t="n"/>
      <c r="DL73" s="57" t="n"/>
      <c r="DM73" s="60">
        <f>SUM(DI73:DL73)</f>
        <v/>
      </c>
      <c r="DN73" s="61" t="n"/>
      <c r="DO73" s="57" t="n"/>
      <c r="DP73" s="58">
        <f>DF73</f>
        <v/>
      </c>
      <c r="DQ73" s="59" t="n"/>
      <c r="DR73" s="57" t="n"/>
      <c r="DS73" s="57" t="n"/>
      <c r="DT73" s="57" t="n"/>
      <c r="DU73" s="57" t="n"/>
      <c r="DV73" s="60">
        <f>SUM(DR73:DU73)</f>
        <v/>
      </c>
      <c r="DW73" s="61" t="n"/>
      <c r="DX73" s="57" t="n"/>
      <c r="DY73" s="58">
        <f>DO73</f>
        <v/>
      </c>
      <c r="DZ73" s="59" t="n"/>
      <c r="EA73" s="57" t="n"/>
      <c r="EB73" s="57" t="n"/>
      <c r="EC73" s="57" t="n"/>
      <c r="ED73" s="57" t="n"/>
      <c r="EE73" s="60">
        <f>SUM(EA73:ED73)</f>
        <v/>
      </c>
      <c r="EF73" s="61" t="n"/>
      <c r="EG73" s="57" t="n"/>
      <c r="EH73" s="58">
        <f>DX73</f>
        <v/>
      </c>
      <c r="EI73" s="59" t="n"/>
      <c r="EJ73" s="57" t="n"/>
      <c r="EK73" s="57" t="n"/>
      <c r="EL73" s="57" t="n"/>
      <c r="EM73" s="57" t="n"/>
      <c r="EN73" s="60">
        <f>SUM(EJ73:EM73)</f>
        <v/>
      </c>
      <c r="EO73" s="61" t="n"/>
      <c r="EP73" s="57" t="n"/>
      <c r="EQ73" s="58">
        <f>EG73</f>
        <v/>
      </c>
      <c r="ER73" s="59" t="n"/>
      <c r="ES73" s="57" t="n"/>
      <c r="ET73" s="57" t="n"/>
      <c r="EU73" s="57" t="n"/>
      <c r="EV73" s="57" t="n"/>
      <c r="EW73" s="60">
        <f>SUM(ES73:EV73)</f>
        <v/>
      </c>
      <c r="EX73" s="61" t="n"/>
      <c r="EY73" s="57" t="n"/>
      <c r="EZ73" s="58">
        <f>EP73</f>
        <v/>
      </c>
      <c r="FA73" s="59" t="n"/>
      <c r="FB73" s="57" t="n"/>
      <c r="FC73" s="57" t="n"/>
      <c r="FD73" s="57" t="n"/>
      <c r="FE73" s="57" t="n"/>
      <c r="FF73" s="60">
        <f>SUM(FB73:FE73)</f>
        <v/>
      </c>
      <c r="FG73" s="61" t="n"/>
      <c r="FH73" s="57" t="n"/>
      <c r="FI73" s="58">
        <f>EY73</f>
        <v/>
      </c>
      <c r="FJ73" s="59" t="n"/>
      <c r="FK73" s="57" t="n"/>
      <c r="FL73" s="57" t="n"/>
      <c r="FM73" s="57" t="n"/>
      <c r="FN73" s="57" t="n"/>
      <c r="FO73" s="60">
        <f>SUM(FK73:FN73)</f>
        <v/>
      </c>
      <c r="FP73" s="61" t="n"/>
      <c r="FQ73" s="57" t="n"/>
      <c r="FR73" s="58">
        <f>FH73</f>
        <v/>
      </c>
      <c r="FS73" s="59" t="n"/>
      <c r="FT73" s="57" t="n"/>
      <c r="FU73" s="57" t="n"/>
      <c r="FV73" s="57" t="n"/>
      <c r="FW73" s="57" t="n"/>
      <c r="FX73" s="60">
        <f>SUM(FT73:FW73)</f>
        <v/>
      </c>
      <c r="FY73" s="61" t="n"/>
      <c r="FZ73" s="57" t="n"/>
      <c r="GA73" s="58">
        <f>FQ73</f>
        <v/>
      </c>
      <c r="GB73" s="59" t="n"/>
      <c r="GC73" s="57" t="n"/>
      <c r="GD73" s="57" t="n"/>
      <c r="GE73" s="57" t="n"/>
      <c r="GF73" s="57" t="n"/>
      <c r="GG73" s="60">
        <f>SUM(GC73:GF73)</f>
        <v/>
      </c>
      <c r="GH73" s="61" t="n"/>
      <c r="GI73" s="57" t="n"/>
      <c r="GJ73" s="58">
        <f>FZ73</f>
        <v/>
      </c>
      <c r="GK73" s="59" t="n"/>
      <c r="GL73" s="57" t="n"/>
      <c r="GM73" s="57" t="n"/>
      <c r="GN73" s="57" t="n"/>
      <c r="GO73" s="57" t="n"/>
      <c r="GP73" s="60">
        <f>SUM(GL73:GO73)</f>
        <v/>
      </c>
      <c r="GQ73" s="61" t="n"/>
      <c r="GR73" s="57" t="n"/>
      <c r="GS73" s="58">
        <f>GI73</f>
        <v/>
      </c>
      <c r="GT73" s="59" t="n"/>
      <c r="GU73" s="57" t="n"/>
      <c r="GV73" s="57" t="n"/>
      <c r="GW73" s="57" t="n"/>
      <c r="GX73" s="57" t="n"/>
      <c r="GY73" s="60">
        <f>SUM(GU73:GX73)</f>
        <v/>
      </c>
      <c r="GZ73" s="61" t="n"/>
      <c r="HA73" s="57" t="n"/>
      <c r="HB73" s="58">
        <f>GR73</f>
        <v/>
      </c>
      <c r="HC73" s="59" t="n"/>
      <c r="HD73" s="57" t="n"/>
      <c r="HE73" s="57" t="n"/>
      <c r="HF73" s="57" t="n"/>
      <c r="HG73" s="57" t="n"/>
      <c r="HH73" s="60">
        <f>SUM(HD73:HG73)</f>
        <v/>
      </c>
      <c r="HI73" s="61" t="n"/>
      <c r="HJ73" s="57" t="n"/>
      <c r="HK73" s="58">
        <f>HA73</f>
        <v/>
      </c>
      <c r="HL73" s="59" t="n"/>
      <c r="HM73" s="57" t="n"/>
      <c r="HN73" s="57" t="n"/>
      <c r="HO73" s="57" t="n"/>
      <c r="HP73" s="57" t="n"/>
      <c r="HQ73" s="60">
        <f>SUM(HM73:HP73)</f>
        <v/>
      </c>
      <c r="HR73" s="61" t="n"/>
      <c r="HS73" s="57" t="n"/>
      <c r="HT73" s="58">
        <f>HJ73</f>
        <v/>
      </c>
      <c r="HU73" s="59" t="n"/>
      <c r="HV73" s="57" t="n"/>
      <c r="HW73" s="57" t="n"/>
      <c r="HX73" s="57" t="n"/>
      <c r="HY73" s="57" t="n"/>
      <c r="HZ73" s="60">
        <f>SUM(HV73:HY73)</f>
        <v/>
      </c>
      <c r="IA73" s="61" t="n"/>
      <c r="IB73" s="57" t="n"/>
      <c r="IC73" s="58">
        <f>HS73</f>
        <v/>
      </c>
      <c r="ID73" s="59" t="n"/>
      <c r="IE73" s="57" t="n"/>
      <c r="IF73" s="57" t="n"/>
      <c r="IG73" s="57" t="n"/>
      <c r="IH73" s="57" t="n"/>
      <c r="II73" s="60">
        <f>SUM(IE73:IH73)</f>
        <v/>
      </c>
      <c r="IJ73" s="61" t="n"/>
      <c r="IK73" s="57" t="n"/>
      <c r="IL73" s="58">
        <f>IB73</f>
        <v/>
      </c>
      <c r="IM73" s="59" t="n"/>
      <c r="IN73" s="57" t="n"/>
      <c r="IO73" s="57" t="n"/>
      <c r="IP73" s="57" t="n"/>
      <c r="IQ73" s="57" t="n"/>
      <c r="IR73" s="60">
        <f>SUM(IN73:IQ73)</f>
        <v/>
      </c>
      <c r="IS73" s="61" t="n"/>
      <c r="IT73" s="57" t="n"/>
      <c r="IU73" s="58">
        <f>IK73</f>
        <v/>
      </c>
      <c r="IV73" s="59" t="n"/>
      <c r="IW73" s="57" t="n"/>
      <c r="IX73" s="57" t="n"/>
      <c r="IY73" s="57" t="n"/>
      <c r="IZ73" s="57" t="n"/>
      <c r="JA73" s="60">
        <f>SUM(IW73:IZ73)</f>
        <v/>
      </c>
      <c r="JB73" s="61" t="n"/>
      <c r="JC73" s="57" t="n"/>
      <c r="JD73" s="58">
        <f>IT73</f>
        <v/>
      </c>
      <c r="JE73" s="59" t="n"/>
      <c r="JF73" s="57" t="n"/>
      <c r="JG73" s="57" t="n"/>
      <c r="JH73" s="57" t="n"/>
      <c r="JI73" s="57" t="n"/>
      <c r="JJ73" s="60">
        <f>SUM(JF73:JI73)</f>
        <v/>
      </c>
      <c r="JK73" s="61" t="n"/>
      <c r="JL73" s="57" t="n"/>
      <c r="JM73" s="58">
        <f>JC73</f>
        <v/>
      </c>
      <c r="JN73" s="59" t="n"/>
      <c r="JO73" s="57" t="n"/>
      <c r="JP73" s="57" t="n"/>
      <c r="JQ73" s="57" t="n"/>
      <c r="JR73" s="57" t="n"/>
      <c r="JS73" s="60">
        <f>SUM(JO73:JR73)</f>
        <v/>
      </c>
      <c r="JT73" s="61" t="n"/>
      <c r="JU73" s="62">
        <f>I73+R73+AA73+AJ73+AS73+BB73+BK73+BT73+CC73+CL73+CU73+DD73+DM73+DV73+EE73+EN73+EW73+FF73+FO73+FX73+GG73+GP73+GY73+HH73+HQ73+HZ73+II73+IR73+JA73+JJ73+JS73</f>
        <v/>
      </c>
      <c r="JV73" s="63">
        <f>D73+M73+V73+AE73+AN73+AW73+BF73+BO73+BX73+CG73+CP73+CY73+DH73+DQ73+DZ73+EI73+ER73+FA73+FJ73+FS73+GB73+GK73+GT73+HC73+HL73+HU73+ID73+IM73+IV73+JE73+JN73</f>
        <v/>
      </c>
      <c r="JW73" s="62">
        <f>CHOOSE($Z$3,B73, K73, T73, AC73, AL73, AU73, BD73, BM73, BV73, CE73, CN73, CW73, DF73, DO73, DX73, EG73, EP73, EY73, FH73, FQ73, FZ73, GI73, GR73, HA73, HJ73, HS73, IB73, IK73, IT73, JC73, JL73)</f>
        <v/>
      </c>
      <c r="JX73" s="62">
        <f>IFERROR(JU73/$Z$3,0)</f>
        <v/>
      </c>
      <c r="JY73" s="62">
        <f>Configurações!$C$13</f>
        <v/>
      </c>
      <c r="JZ73" s="64">
        <f>IF(JY73=0,"— Sem meta",IF(JU73&gt;=JY73,"✓ Atingida","Em andamento"))</f>
        <v/>
      </c>
      <c r="KA73" s="65">
        <f>JU73+(7*0.0000001)</f>
        <v/>
      </c>
    </row>
    <row r="74" ht="20" customHeight="1">
      <c r="A74" s="56">
        <f>IF(Configurações!$B$14="","Assessor 8",Configurações!$B$14)</f>
        <v/>
      </c>
      <c r="B74" s="57" t="n"/>
      <c r="C74" s="66">
        <f>'Janeiro'!$JW74</f>
        <v/>
      </c>
      <c r="D74" s="59" t="n"/>
      <c r="E74" s="57" t="n"/>
      <c r="F74" s="57" t="n"/>
      <c r="G74" s="57" t="n"/>
      <c r="H74" s="57" t="n"/>
      <c r="I74" s="67">
        <f>SUM(E74:H74)</f>
        <v/>
      </c>
      <c r="J74" s="61" t="n"/>
      <c r="K74" s="57" t="n"/>
      <c r="L74" s="66">
        <f>B74</f>
        <v/>
      </c>
      <c r="M74" s="59" t="n"/>
      <c r="N74" s="57" t="n"/>
      <c r="O74" s="57" t="n"/>
      <c r="P74" s="57" t="n"/>
      <c r="Q74" s="57" t="n"/>
      <c r="R74" s="67">
        <f>SUM(N74:Q74)</f>
        <v/>
      </c>
      <c r="S74" s="61" t="n"/>
      <c r="T74" s="57" t="n"/>
      <c r="U74" s="66">
        <f>K74</f>
        <v/>
      </c>
      <c r="V74" s="59" t="n"/>
      <c r="W74" s="57" t="n"/>
      <c r="X74" s="57" t="n"/>
      <c r="Y74" s="57" t="n"/>
      <c r="Z74" s="57" t="n"/>
      <c r="AA74" s="67">
        <f>SUM(W74:Z74)</f>
        <v/>
      </c>
      <c r="AB74" s="61" t="n"/>
      <c r="AC74" s="57" t="n"/>
      <c r="AD74" s="66">
        <f>T74</f>
        <v/>
      </c>
      <c r="AE74" s="59" t="n"/>
      <c r="AF74" s="57" t="n"/>
      <c r="AG74" s="57" t="n"/>
      <c r="AH74" s="57" t="n"/>
      <c r="AI74" s="57" t="n"/>
      <c r="AJ74" s="67">
        <f>SUM(AF74:AI74)</f>
        <v/>
      </c>
      <c r="AK74" s="61" t="n"/>
      <c r="AL74" s="57" t="n"/>
      <c r="AM74" s="66">
        <f>AC74</f>
        <v/>
      </c>
      <c r="AN74" s="59" t="n"/>
      <c r="AO74" s="57" t="n"/>
      <c r="AP74" s="57" t="n"/>
      <c r="AQ74" s="57" t="n"/>
      <c r="AR74" s="57" t="n"/>
      <c r="AS74" s="67">
        <f>SUM(AO74:AR74)</f>
        <v/>
      </c>
      <c r="AT74" s="61" t="n"/>
      <c r="AU74" s="57" t="n"/>
      <c r="AV74" s="66">
        <f>AL74</f>
        <v/>
      </c>
      <c r="AW74" s="59" t="n"/>
      <c r="AX74" s="57" t="n"/>
      <c r="AY74" s="57" t="n"/>
      <c r="AZ74" s="57" t="n"/>
      <c r="BA74" s="57" t="n"/>
      <c r="BB74" s="67">
        <f>SUM(AX74:BA74)</f>
        <v/>
      </c>
      <c r="BC74" s="61" t="n"/>
      <c r="BD74" s="57" t="n"/>
      <c r="BE74" s="66">
        <f>AU74</f>
        <v/>
      </c>
      <c r="BF74" s="59" t="n"/>
      <c r="BG74" s="57" t="n"/>
      <c r="BH74" s="57" t="n"/>
      <c r="BI74" s="57" t="n"/>
      <c r="BJ74" s="57" t="n"/>
      <c r="BK74" s="67">
        <f>SUM(BG74:BJ74)</f>
        <v/>
      </c>
      <c r="BL74" s="61" t="n"/>
      <c r="BM74" s="57" t="n"/>
      <c r="BN74" s="66">
        <f>BD74</f>
        <v/>
      </c>
      <c r="BO74" s="59" t="n"/>
      <c r="BP74" s="57" t="n"/>
      <c r="BQ74" s="57" t="n"/>
      <c r="BR74" s="57" t="n"/>
      <c r="BS74" s="57" t="n"/>
      <c r="BT74" s="67">
        <f>SUM(BP74:BS74)</f>
        <v/>
      </c>
      <c r="BU74" s="61" t="n"/>
      <c r="BV74" s="57" t="n"/>
      <c r="BW74" s="66">
        <f>BM74</f>
        <v/>
      </c>
      <c r="BX74" s="59" t="n"/>
      <c r="BY74" s="57" t="n"/>
      <c r="BZ74" s="57" t="n"/>
      <c r="CA74" s="57" t="n"/>
      <c r="CB74" s="57" t="n"/>
      <c r="CC74" s="67">
        <f>SUM(BY74:CB74)</f>
        <v/>
      </c>
      <c r="CD74" s="61" t="n"/>
      <c r="CE74" s="57" t="n"/>
      <c r="CF74" s="66">
        <f>BV74</f>
        <v/>
      </c>
      <c r="CG74" s="59" t="n"/>
      <c r="CH74" s="57" t="n"/>
      <c r="CI74" s="57" t="n"/>
      <c r="CJ74" s="57" t="n"/>
      <c r="CK74" s="57" t="n"/>
      <c r="CL74" s="67">
        <f>SUM(CH74:CK74)</f>
        <v/>
      </c>
      <c r="CM74" s="61" t="n"/>
      <c r="CN74" s="57" t="n"/>
      <c r="CO74" s="66">
        <f>CE74</f>
        <v/>
      </c>
      <c r="CP74" s="59" t="n"/>
      <c r="CQ74" s="57" t="n"/>
      <c r="CR74" s="57" t="n"/>
      <c r="CS74" s="57" t="n"/>
      <c r="CT74" s="57" t="n"/>
      <c r="CU74" s="67">
        <f>SUM(CQ74:CT74)</f>
        <v/>
      </c>
      <c r="CV74" s="61" t="n"/>
      <c r="CW74" s="57" t="n"/>
      <c r="CX74" s="66">
        <f>CN74</f>
        <v/>
      </c>
      <c r="CY74" s="59" t="n"/>
      <c r="CZ74" s="57" t="n"/>
      <c r="DA74" s="57" t="n"/>
      <c r="DB74" s="57" t="n"/>
      <c r="DC74" s="57" t="n"/>
      <c r="DD74" s="67">
        <f>SUM(CZ74:DC74)</f>
        <v/>
      </c>
      <c r="DE74" s="61" t="n"/>
      <c r="DF74" s="57" t="n"/>
      <c r="DG74" s="66">
        <f>CW74</f>
        <v/>
      </c>
      <c r="DH74" s="59" t="n"/>
      <c r="DI74" s="57" t="n"/>
      <c r="DJ74" s="57" t="n"/>
      <c r="DK74" s="57" t="n"/>
      <c r="DL74" s="57" t="n"/>
      <c r="DM74" s="67">
        <f>SUM(DI74:DL74)</f>
        <v/>
      </c>
      <c r="DN74" s="61" t="n"/>
      <c r="DO74" s="57" t="n"/>
      <c r="DP74" s="66">
        <f>DF74</f>
        <v/>
      </c>
      <c r="DQ74" s="59" t="n"/>
      <c r="DR74" s="57" t="n"/>
      <c r="DS74" s="57" t="n"/>
      <c r="DT74" s="57" t="n"/>
      <c r="DU74" s="57" t="n"/>
      <c r="DV74" s="67">
        <f>SUM(DR74:DU74)</f>
        <v/>
      </c>
      <c r="DW74" s="61" t="n"/>
      <c r="DX74" s="57" t="n"/>
      <c r="DY74" s="66">
        <f>DO74</f>
        <v/>
      </c>
      <c r="DZ74" s="59" t="n"/>
      <c r="EA74" s="57" t="n"/>
      <c r="EB74" s="57" t="n"/>
      <c r="EC74" s="57" t="n"/>
      <c r="ED74" s="57" t="n"/>
      <c r="EE74" s="67">
        <f>SUM(EA74:ED74)</f>
        <v/>
      </c>
      <c r="EF74" s="61" t="n"/>
      <c r="EG74" s="57" t="n"/>
      <c r="EH74" s="66">
        <f>DX74</f>
        <v/>
      </c>
      <c r="EI74" s="59" t="n"/>
      <c r="EJ74" s="57" t="n"/>
      <c r="EK74" s="57" t="n"/>
      <c r="EL74" s="57" t="n"/>
      <c r="EM74" s="57" t="n"/>
      <c r="EN74" s="67">
        <f>SUM(EJ74:EM74)</f>
        <v/>
      </c>
      <c r="EO74" s="61" t="n"/>
      <c r="EP74" s="57" t="n"/>
      <c r="EQ74" s="66">
        <f>EG74</f>
        <v/>
      </c>
      <c r="ER74" s="59" t="n"/>
      <c r="ES74" s="57" t="n"/>
      <c r="ET74" s="57" t="n"/>
      <c r="EU74" s="57" t="n"/>
      <c r="EV74" s="57" t="n"/>
      <c r="EW74" s="67">
        <f>SUM(ES74:EV74)</f>
        <v/>
      </c>
      <c r="EX74" s="61" t="n"/>
      <c r="EY74" s="57" t="n"/>
      <c r="EZ74" s="66">
        <f>EP74</f>
        <v/>
      </c>
      <c r="FA74" s="59" t="n"/>
      <c r="FB74" s="57" t="n"/>
      <c r="FC74" s="57" t="n"/>
      <c r="FD74" s="57" t="n"/>
      <c r="FE74" s="57" t="n"/>
      <c r="FF74" s="67">
        <f>SUM(FB74:FE74)</f>
        <v/>
      </c>
      <c r="FG74" s="61" t="n"/>
      <c r="FH74" s="57" t="n"/>
      <c r="FI74" s="66">
        <f>EY74</f>
        <v/>
      </c>
      <c r="FJ74" s="59" t="n"/>
      <c r="FK74" s="57" t="n"/>
      <c r="FL74" s="57" t="n"/>
      <c r="FM74" s="57" t="n"/>
      <c r="FN74" s="57" t="n"/>
      <c r="FO74" s="67">
        <f>SUM(FK74:FN74)</f>
        <v/>
      </c>
      <c r="FP74" s="61" t="n"/>
      <c r="FQ74" s="57" t="n"/>
      <c r="FR74" s="66">
        <f>FH74</f>
        <v/>
      </c>
      <c r="FS74" s="59" t="n"/>
      <c r="FT74" s="57" t="n"/>
      <c r="FU74" s="57" t="n"/>
      <c r="FV74" s="57" t="n"/>
      <c r="FW74" s="57" t="n"/>
      <c r="FX74" s="67">
        <f>SUM(FT74:FW74)</f>
        <v/>
      </c>
      <c r="FY74" s="61" t="n"/>
      <c r="FZ74" s="57" t="n"/>
      <c r="GA74" s="66">
        <f>FQ74</f>
        <v/>
      </c>
      <c r="GB74" s="59" t="n"/>
      <c r="GC74" s="57" t="n"/>
      <c r="GD74" s="57" t="n"/>
      <c r="GE74" s="57" t="n"/>
      <c r="GF74" s="57" t="n"/>
      <c r="GG74" s="67">
        <f>SUM(GC74:GF74)</f>
        <v/>
      </c>
      <c r="GH74" s="61" t="n"/>
      <c r="GI74" s="57" t="n"/>
      <c r="GJ74" s="66">
        <f>FZ74</f>
        <v/>
      </c>
      <c r="GK74" s="59" t="n"/>
      <c r="GL74" s="57" t="n"/>
      <c r="GM74" s="57" t="n"/>
      <c r="GN74" s="57" t="n"/>
      <c r="GO74" s="57" t="n"/>
      <c r="GP74" s="67">
        <f>SUM(GL74:GO74)</f>
        <v/>
      </c>
      <c r="GQ74" s="61" t="n"/>
      <c r="GR74" s="57" t="n"/>
      <c r="GS74" s="66">
        <f>GI74</f>
        <v/>
      </c>
      <c r="GT74" s="59" t="n"/>
      <c r="GU74" s="57" t="n"/>
      <c r="GV74" s="57" t="n"/>
      <c r="GW74" s="57" t="n"/>
      <c r="GX74" s="57" t="n"/>
      <c r="GY74" s="67">
        <f>SUM(GU74:GX74)</f>
        <v/>
      </c>
      <c r="GZ74" s="61" t="n"/>
      <c r="HA74" s="57" t="n"/>
      <c r="HB74" s="66">
        <f>GR74</f>
        <v/>
      </c>
      <c r="HC74" s="59" t="n"/>
      <c r="HD74" s="57" t="n"/>
      <c r="HE74" s="57" t="n"/>
      <c r="HF74" s="57" t="n"/>
      <c r="HG74" s="57" t="n"/>
      <c r="HH74" s="67">
        <f>SUM(HD74:HG74)</f>
        <v/>
      </c>
      <c r="HI74" s="61" t="n"/>
      <c r="HJ74" s="57" t="n"/>
      <c r="HK74" s="66">
        <f>HA74</f>
        <v/>
      </c>
      <c r="HL74" s="59" t="n"/>
      <c r="HM74" s="57" t="n"/>
      <c r="HN74" s="57" t="n"/>
      <c r="HO74" s="57" t="n"/>
      <c r="HP74" s="57" t="n"/>
      <c r="HQ74" s="67">
        <f>SUM(HM74:HP74)</f>
        <v/>
      </c>
      <c r="HR74" s="61" t="n"/>
      <c r="HS74" s="57" t="n"/>
      <c r="HT74" s="66">
        <f>HJ74</f>
        <v/>
      </c>
      <c r="HU74" s="59" t="n"/>
      <c r="HV74" s="57" t="n"/>
      <c r="HW74" s="57" t="n"/>
      <c r="HX74" s="57" t="n"/>
      <c r="HY74" s="57" t="n"/>
      <c r="HZ74" s="67">
        <f>SUM(HV74:HY74)</f>
        <v/>
      </c>
      <c r="IA74" s="61" t="n"/>
      <c r="IB74" s="57" t="n"/>
      <c r="IC74" s="66">
        <f>HS74</f>
        <v/>
      </c>
      <c r="ID74" s="59" t="n"/>
      <c r="IE74" s="57" t="n"/>
      <c r="IF74" s="57" t="n"/>
      <c r="IG74" s="57" t="n"/>
      <c r="IH74" s="57" t="n"/>
      <c r="II74" s="67">
        <f>SUM(IE74:IH74)</f>
        <v/>
      </c>
      <c r="IJ74" s="61" t="n"/>
      <c r="IK74" s="57" t="n"/>
      <c r="IL74" s="66">
        <f>IB74</f>
        <v/>
      </c>
      <c r="IM74" s="59" t="n"/>
      <c r="IN74" s="57" t="n"/>
      <c r="IO74" s="57" t="n"/>
      <c r="IP74" s="57" t="n"/>
      <c r="IQ74" s="57" t="n"/>
      <c r="IR74" s="67">
        <f>SUM(IN74:IQ74)</f>
        <v/>
      </c>
      <c r="IS74" s="61" t="n"/>
      <c r="IT74" s="57" t="n"/>
      <c r="IU74" s="66">
        <f>IK74</f>
        <v/>
      </c>
      <c r="IV74" s="59" t="n"/>
      <c r="IW74" s="57" t="n"/>
      <c r="IX74" s="57" t="n"/>
      <c r="IY74" s="57" t="n"/>
      <c r="IZ74" s="57" t="n"/>
      <c r="JA74" s="67">
        <f>SUM(IW74:IZ74)</f>
        <v/>
      </c>
      <c r="JB74" s="61" t="n"/>
      <c r="JC74" s="57" t="n"/>
      <c r="JD74" s="66">
        <f>IT74</f>
        <v/>
      </c>
      <c r="JE74" s="59" t="n"/>
      <c r="JF74" s="57" t="n"/>
      <c r="JG74" s="57" t="n"/>
      <c r="JH74" s="57" t="n"/>
      <c r="JI74" s="57" t="n"/>
      <c r="JJ74" s="67">
        <f>SUM(JF74:JI74)</f>
        <v/>
      </c>
      <c r="JK74" s="61" t="n"/>
      <c r="JL74" s="57" t="n"/>
      <c r="JM74" s="66">
        <f>JC74</f>
        <v/>
      </c>
      <c r="JN74" s="59" t="n"/>
      <c r="JO74" s="57" t="n"/>
      <c r="JP74" s="57" t="n"/>
      <c r="JQ74" s="57" t="n"/>
      <c r="JR74" s="57" t="n"/>
      <c r="JS74" s="67">
        <f>SUM(JO74:JR74)</f>
        <v/>
      </c>
      <c r="JT74" s="61" t="n"/>
      <c r="JU74" s="62">
        <f>I74+R74+AA74+AJ74+AS74+BB74+BK74+BT74+CC74+CL74+CU74+DD74+DM74+DV74+EE74+EN74+EW74+FF74+FO74+FX74+GG74+GP74+GY74+HH74+HQ74+HZ74+II74+IR74+JA74+JJ74+JS74</f>
        <v/>
      </c>
      <c r="JV74" s="63">
        <f>D74+M74+V74+AE74+AN74+AW74+BF74+BO74+BX74+CG74+CP74+CY74+DH74+DQ74+DZ74+EI74+ER74+FA74+FJ74+FS74+GB74+GK74+GT74+HC74+HL74+HU74+ID74+IM74+IV74+JE74+JN74</f>
        <v/>
      </c>
      <c r="JW74" s="62">
        <f>CHOOSE($Z$3,B74, K74, T74, AC74, AL74, AU74, BD74, BM74, BV74, CE74, CN74, CW74, DF74, DO74, DX74, EG74, EP74, EY74, FH74, FQ74, FZ74, GI74, GR74, HA74, HJ74, HS74, IB74, IK74, IT74, JC74, JL74)</f>
        <v/>
      </c>
      <c r="JX74" s="62">
        <f>IFERROR(JU74/$Z$3,0)</f>
        <v/>
      </c>
      <c r="JY74" s="62">
        <f>Configurações!$C$14</f>
        <v/>
      </c>
      <c r="JZ74" s="64">
        <f>IF(JY74=0,"— Sem meta",IF(JU74&gt;=JY74,"✓ Atingida","Em andamento"))</f>
        <v/>
      </c>
      <c r="KA74" s="65">
        <f>JU74+(6*0.0000001)</f>
        <v/>
      </c>
    </row>
    <row r="75" ht="20" customHeight="1">
      <c r="A75" s="56">
        <f>IF(Configurações!$B$15="","Assessor 9",Configurações!$B$15)</f>
        <v/>
      </c>
      <c r="B75" s="57" t="n"/>
      <c r="C75" s="58">
        <f>'Janeiro'!$JW75</f>
        <v/>
      </c>
      <c r="D75" s="59" t="n"/>
      <c r="E75" s="57" t="n"/>
      <c r="F75" s="57" t="n"/>
      <c r="G75" s="57" t="n"/>
      <c r="H75" s="57" t="n"/>
      <c r="I75" s="60">
        <f>SUM(E75:H75)</f>
        <v/>
      </c>
      <c r="J75" s="61" t="n"/>
      <c r="K75" s="57" t="n"/>
      <c r="L75" s="58">
        <f>B75</f>
        <v/>
      </c>
      <c r="M75" s="59" t="n"/>
      <c r="N75" s="57" t="n"/>
      <c r="O75" s="57" t="n"/>
      <c r="P75" s="57" t="n"/>
      <c r="Q75" s="57" t="n"/>
      <c r="R75" s="60">
        <f>SUM(N75:Q75)</f>
        <v/>
      </c>
      <c r="S75" s="61" t="n"/>
      <c r="T75" s="57" t="n"/>
      <c r="U75" s="58">
        <f>K75</f>
        <v/>
      </c>
      <c r="V75" s="59" t="n"/>
      <c r="W75" s="57" t="n"/>
      <c r="X75" s="57" t="n"/>
      <c r="Y75" s="57" t="n"/>
      <c r="Z75" s="57" t="n"/>
      <c r="AA75" s="60">
        <f>SUM(W75:Z75)</f>
        <v/>
      </c>
      <c r="AB75" s="61" t="n"/>
      <c r="AC75" s="57" t="n"/>
      <c r="AD75" s="58">
        <f>T75</f>
        <v/>
      </c>
      <c r="AE75" s="59" t="n"/>
      <c r="AF75" s="57" t="n"/>
      <c r="AG75" s="57" t="n"/>
      <c r="AH75" s="57" t="n"/>
      <c r="AI75" s="57" t="n"/>
      <c r="AJ75" s="60">
        <f>SUM(AF75:AI75)</f>
        <v/>
      </c>
      <c r="AK75" s="61" t="n"/>
      <c r="AL75" s="57" t="n"/>
      <c r="AM75" s="58">
        <f>AC75</f>
        <v/>
      </c>
      <c r="AN75" s="59" t="n"/>
      <c r="AO75" s="57" t="n"/>
      <c r="AP75" s="57" t="n"/>
      <c r="AQ75" s="57" t="n"/>
      <c r="AR75" s="57" t="n"/>
      <c r="AS75" s="60">
        <f>SUM(AO75:AR75)</f>
        <v/>
      </c>
      <c r="AT75" s="61" t="n"/>
      <c r="AU75" s="57" t="n"/>
      <c r="AV75" s="58">
        <f>AL75</f>
        <v/>
      </c>
      <c r="AW75" s="59" t="n"/>
      <c r="AX75" s="57" t="n"/>
      <c r="AY75" s="57" t="n"/>
      <c r="AZ75" s="57" t="n"/>
      <c r="BA75" s="57" t="n"/>
      <c r="BB75" s="60">
        <f>SUM(AX75:BA75)</f>
        <v/>
      </c>
      <c r="BC75" s="61" t="n"/>
      <c r="BD75" s="57" t="n"/>
      <c r="BE75" s="58">
        <f>AU75</f>
        <v/>
      </c>
      <c r="BF75" s="59" t="n"/>
      <c r="BG75" s="57" t="n"/>
      <c r="BH75" s="57" t="n"/>
      <c r="BI75" s="57" t="n"/>
      <c r="BJ75" s="57" t="n"/>
      <c r="BK75" s="60">
        <f>SUM(BG75:BJ75)</f>
        <v/>
      </c>
      <c r="BL75" s="61" t="n"/>
      <c r="BM75" s="57" t="n"/>
      <c r="BN75" s="58">
        <f>BD75</f>
        <v/>
      </c>
      <c r="BO75" s="59" t="n"/>
      <c r="BP75" s="57" t="n"/>
      <c r="BQ75" s="57" t="n"/>
      <c r="BR75" s="57" t="n"/>
      <c r="BS75" s="57" t="n"/>
      <c r="BT75" s="60">
        <f>SUM(BP75:BS75)</f>
        <v/>
      </c>
      <c r="BU75" s="61" t="n"/>
      <c r="BV75" s="57" t="n"/>
      <c r="BW75" s="58">
        <f>BM75</f>
        <v/>
      </c>
      <c r="BX75" s="59" t="n"/>
      <c r="BY75" s="57" t="n"/>
      <c r="BZ75" s="57" t="n"/>
      <c r="CA75" s="57" t="n"/>
      <c r="CB75" s="57" t="n"/>
      <c r="CC75" s="60">
        <f>SUM(BY75:CB75)</f>
        <v/>
      </c>
      <c r="CD75" s="61" t="n"/>
      <c r="CE75" s="57" t="n"/>
      <c r="CF75" s="58">
        <f>BV75</f>
        <v/>
      </c>
      <c r="CG75" s="59" t="n"/>
      <c r="CH75" s="57" t="n"/>
      <c r="CI75" s="57" t="n"/>
      <c r="CJ75" s="57" t="n"/>
      <c r="CK75" s="57" t="n"/>
      <c r="CL75" s="60">
        <f>SUM(CH75:CK75)</f>
        <v/>
      </c>
      <c r="CM75" s="61" t="n"/>
      <c r="CN75" s="57" t="n"/>
      <c r="CO75" s="58">
        <f>CE75</f>
        <v/>
      </c>
      <c r="CP75" s="59" t="n"/>
      <c r="CQ75" s="57" t="n"/>
      <c r="CR75" s="57" t="n"/>
      <c r="CS75" s="57" t="n"/>
      <c r="CT75" s="57" t="n"/>
      <c r="CU75" s="60">
        <f>SUM(CQ75:CT75)</f>
        <v/>
      </c>
      <c r="CV75" s="61" t="n"/>
      <c r="CW75" s="57" t="n"/>
      <c r="CX75" s="58">
        <f>CN75</f>
        <v/>
      </c>
      <c r="CY75" s="59" t="n"/>
      <c r="CZ75" s="57" t="n"/>
      <c r="DA75" s="57" t="n"/>
      <c r="DB75" s="57" t="n"/>
      <c r="DC75" s="57" t="n"/>
      <c r="DD75" s="60">
        <f>SUM(CZ75:DC75)</f>
        <v/>
      </c>
      <c r="DE75" s="61" t="n"/>
      <c r="DF75" s="57" t="n"/>
      <c r="DG75" s="58">
        <f>CW75</f>
        <v/>
      </c>
      <c r="DH75" s="59" t="n"/>
      <c r="DI75" s="57" t="n"/>
      <c r="DJ75" s="57" t="n"/>
      <c r="DK75" s="57" t="n"/>
      <c r="DL75" s="57" t="n"/>
      <c r="DM75" s="60">
        <f>SUM(DI75:DL75)</f>
        <v/>
      </c>
      <c r="DN75" s="61" t="n"/>
      <c r="DO75" s="57" t="n"/>
      <c r="DP75" s="58">
        <f>DF75</f>
        <v/>
      </c>
      <c r="DQ75" s="59" t="n"/>
      <c r="DR75" s="57" t="n"/>
      <c r="DS75" s="57" t="n"/>
      <c r="DT75" s="57" t="n"/>
      <c r="DU75" s="57" t="n"/>
      <c r="DV75" s="60">
        <f>SUM(DR75:DU75)</f>
        <v/>
      </c>
      <c r="DW75" s="61" t="n"/>
      <c r="DX75" s="57" t="n"/>
      <c r="DY75" s="58">
        <f>DO75</f>
        <v/>
      </c>
      <c r="DZ75" s="59" t="n"/>
      <c r="EA75" s="57" t="n"/>
      <c r="EB75" s="57" t="n"/>
      <c r="EC75" s="57" t="n"/>
      <c r="ED75" s="57" t="n"/>
      <c r="EE75" s="60">
        <f>SUM(EA75:ED75)</f>
        <v/>
      </c>
      <c r="EF75" s="61" t="n"/>
      <c r="EG75" s="57" t="n"/>
      <c r="EH75" s="58">
        <f>DX75</f>
        <v/>
      </c>
      <c r="EI75" s="59" t="n"/>
      <c r="EJ75" s="57" t="n"/>
      <c r="EK75" s="57" t="n"/>
      <c r="EL75" s="57" t="n"/>
      <c r="EM75" s="57" t="n"/>
      <c r="EN75" s="60">
        <f>SUM(EJ75:EM75)</f>
        <v/>
      </c>
      <c r="EO75" s="61" t="n"/>
      <c r="EP75" s="57" t="n"/>
      <c r="EQ75" s="58">
        <f>EG75</f>
        <v/>
      </c>
      <c r="ER75" s="59" t="n"/>
      <c r="ES75" s="57" t="n"/>
      <c r="ET75" s="57" t="n"/>
      <c r="EU75" s="57" t="n"/>
      <c r="EV75" s="57" t="n"/>
      <c r="EW75" s="60">
        <f>SUM(ES75:EV75)</f>
        <v/>
      </c>
      <c r="EX75" s="61" t="n"/>
      <c r="EY75" s="57" t="n"/>
      <c r="EZ75" s="58">
        <f>EP75</f>
        <v/>
      </c>
      <c r="FA75" s="59" t="n"/>
      <c r="FB75" s="57" t="n"/>
      <c r="FC75" s="57" t="n"/>
      <c r="FD75" s="57" t="n"/>
      <c r="FE75" s="57" t="n"/>
      <c r="FF75" s="60">
        <f>SUM(FB75:FE75)</f>
        <v/>
      </c>
      <c r="FG75" s="61" t="n"/>
      <c r="FH75" s="57" t="n"/>
      <c r="FI75" s="58">
        <f>EY75</f>
        <v/>
      </c>
      <c r="FJ75" s="59" t="n"/>
      <c r="FK75" s="57" t="n"/>
      <c r="FL75" s="57" t="n"/>
      <c r="FM75" s="57" t="n"/>
      <c r="FN75" s="57" t="n"/>
      <c r="FO75" s="60">
        <f>SUM(FK75:FN75)</f>
        <v/>
      </c>
      <c r="FP75" s="61" t="n"/>
      <c r="FQ75" s="57" t="n"/>
      <c r="FR75" s="58">
        <f>FH75</f>
        <v/>
      </c>
      <c r="FS75" s="59" t="n"/>
      <c r="FT75" s="57" t="n"/>
      <c r="FU75" s="57" t="n"/>
      <c r="FV75" s="57" t="n"/>
      <c r="FW75" s="57" t="n"/>
      <c r="FX75" s="60">
        <f>SUM(FT75:FW75)</f>
        <v/>
      </c>
      <c r="FY75" s="61" t="n"/>
      <c r="FZ75" s="57" t="n"/>
      <c r="GA75" s="58">
        <f>FQ75</f>
        <v/>
      </c>
      <c r="GB75" s="59" t="n"/>
      <c r="GC75" s="57" t="n"/>
      <c r="GD75" s="57" t="n"/>
      <c r="GE75" s="57" t="n"/>
      <c r="GF75" s="57" t="n"/>
      <c r="GG75" s="60">
        <f>SUM(GC75:GF75)</f>
        <v/>
      </c>
      <c r="GH75" s="61" t="n"/>
      <c r="GI75" s="57" t="n"/>
      <c r="GJ75" s="58">
        <f>FZ75</f>
        <v/>
      </c>
      <c r="GK75" s="59" t="n"/>
      <c r="GL75" s="57" t="n"/>
      <c r="GM75" s="57" t="n"/>
      <c r="GN75" s="57" t="n"/>
      <c r="GO75" s="57" t="n"/>
      <c r="GP75" s="60">
        <f>SUM(GL75:GO75)</f>
        <v/>
      </c>
      <c r="GQ75" s="61" t="n"/>
      <c r="GR75" s="57" t="n"/>
      <c r="GS75" s="58">
        <f>GI75</f>
        <v/>
      </c>
      <c r="GT75" s="59" t="n"/>
      <c r="GU75" s="57" t="n"/>
      <c r="GV75" s="57" t="n"/>
      <c r="GW75" s="57" t="n"/>
      <c r="GX75" s="57" t="n"/>
      <c r="GY75" s="60">
        <f>SUM(GU75:GX75)</f>
        <v/>
      </c>
      <c r="GZ75" s="61" t="n"/>
      <c r="HA75" s="57" t="n"/>
      <c r="HB75" s="58">
        <f>GR75</f>
        <v/>
      </c>
      <c r="HC75" s="59" t="n"/>
      <c r="HD75" s="57" t="n"/>
      <c r="HE75" s="57" t="n"/>
      <c r="HF75" s="57" t="n"/>
      <c r="HG75" s="57" t="n"/>
      <c r="HH75" s="60">
        <f>SUM(HD75:HG75)</f>
        <v/>
      </c>
      <c r="HI75" s="61" t="n"/>
      <c r="HJ75" s="57" t="n"/>
      <c r="HK75" s="58">
        <f>HA75</f>
        <v/>
      </c>
      <c r="HL75" s="59" t="n"/>
      <c r="HM75" s="57" t="n"/>
      <c r="HN75" s="57" t="n"/>
      <c r="HO75" s="57" t="n"/>
      <c r="HP75" s="57" t="n"/>
      <c r="HQ75" s="60">
        <f>SUM(HM75:HP75)</f>
        <v/>
      </c>
      <c r="HR75" s="61" t="n"/>
      <c r="HS75" s="57" t="n"/>
      <c r="HT75" s="58">
        <f>HJ75</f>
        <v/>
      </c>
      <c r="HU75" s="59" t="n"/>
      <c r="HV75" s="57" t="n"/>
      <c r="HW75" s="57" t="n"/>
      <c r="HX75" s="57" t="n"/>
      <c r="HY75" s="57" t="n"/>
      <c r="HZ75" s="60">
        <f>SUM(HV75:HY75)</f>
        <v/>
      </c>
      <c r="IA75" s="61" t="n"/>
      <c r="IB75" s="57" t="n"/>
      <c r="IC75" s="58">
        <f>HS75</f>
        <v/>
      </c>
      <c r="ID75" s="59" t="n"/>
      <c r="IE75" s="57" t="n"/>
      <c r="IF75" s="57" t="n"/>
      <c r="IG75" s="57" t="n"/>
      <c r="IH75" s="57" t="n"/>
      <c r="II75" s="60">
        <f>SUM(IE75:IH75)</f>
        <v/>
      </c>
      <c r="IJ75" s="61" t="n"/>
      <c r="IK75" s="57" t="n"/>
      <c r="IL75" s="58">
        <f>IB75</f>
        <v/>
      </c>
      <c r="IM75" s="59" t="n"/>
      <c r="IN75" s="57" t="n"/>
      <c r="IO75" s="57" t="n"/>
      <c r="IP75" s="57" t="n"/>
      <c r="IQ75" s="57" t="n"/>
      <c r="IR75" s="60">
        <f>SUM(IN75:IQ75)</f>
        <v/>
      </c>
      <c r="IS75" s="61" t="n"/>
      <c r="IT75" s="57" t="n"/>
      <c r="IU75" s="58">
        <f>IK75</f>
        <v/>
      </c>
      <c r="IV75" s="59" t="n"/>
      <c r="IW75" s="57" t="n"/>
      <c r="IX75" s="57" t="n"/>
      <c r="IY75" s="57" t="n"/>
      <c r="IZ75" s="57" t="n"/>
      <c r="JA75" s="60">
        <f>SUM(IW75:IZ75)</f>
        <v/>
      </c>
      <c r="JB75" s="61" t="n"/>
      <c r="JC75" s="57" t="n"/>
      <c r="JD75" s="58">
        <f>IT75</f>
        <v/>
      </c>
      <c r="JE75" s="59" t="n"/>
      <c r="JF75" s="57" t="n"/>
      <c r="JG75" s="57" t="n"/>
      <c r="JH75" s="57" t="n"/>
      <c r="JI75" s="57" t="n"/>
      <c r="JJ75" s="60">
        <f>SUM(JF75:JI75)</f>
        <v/>
      </c>
      <c r="JK75" s="61" t="n"/>
      <c r="JL75" s="57" t="n"/>
      <c r="JM75" s="58">
        <f>JC75</f>
        <v/>
      </c>
      <c r="JN75" s="59" t="n"/>
      <c r="JO75" s="57" t="n"/>
      <c r="JP75" s="57" t="n"/>
      <c r="JQ75" s="57" t="n"/>
      <c r="JR75" s="57" t="n"/>
      <c r="JS75" s="60">
        <f>SUM(JO75:JR75)</f>
        <v/>
      </c>
      <c r="JT75" s="61" t="n"/>
      <c r="JU75" s="62">
        <f>I75+R75+AA75+AJ75+AS75+BB75+BK75+BT75+CC75+CL75+CU75+DD75+DM75+DV75+EE75+EN75+EW75+FF75+FO75+FX75+GG75+GP75+GY75+HH75+HQ75+HZ75+II75+IR75+JA75+JJ75+JS75</f>
        <v/>
      </c>
      <c r="JV75" s="63">
        <f>D75+M75+V75+AE75+AN75+AW75+BF75+BO75+BX75+CG75+CP75+CY75+DH75+DQ75+DZ75+EI75+ER75+FA75+FJ75+FS75+GB75+GK75+GT75+HC75+HL75+HU75+ID75+IM75+IV75+JE75+JN75</f>
        <v/>
      </c>
      <c r="JW75" s="62">
        <f>CHOOSE($Z$3,B75, K75, T75, AC75, AL75, AU75, BD75, BM75, BV75, CE75, CN75, CW75, DF75, DO75, DX75, EG75, EP75, EY75, FH75, FQ75, FZ75, GI75, GR75, HA75, HJ75, HS75, IB75, IK75, IT75, JC75, JL75)</f>
        <v/>
      </c>
      <c r="JX75" s="62">
        <f>IFERROR(JU75/$Z$3,0)</f>
        <v/>
      </c>
      <c r="JY75" s="62">
        <f>Configurações!$C$15</f>
        <v/>
      </c>
      <c r="JZ75" s="64">
        <f>IF(JY75=0,"— Sem meta",IF(JU75&gt;=JY75,"✓ Atingida","Em andamento"))</f>
        <v/>
      </c>
      <c r="KA75" s="65">
        <f>JU75+(5*0.0000001)</f>
        <v/>
      </c>
    </row>
    <row r="76" ht="20" customHeight="1">
      <c r="A76" s="56">
        <f>IF(Configurações!$B$16="","Assessor 10",Configurações!$B$16)</f>
        <v/>
      </c>
      <c r="B76" s="57" t="n"/>
      <c r="C76" s="66">
        <f>'Janeiro'!$JW76</f>
        <v/>
      </c>
      <c r="D76" s="59" t="n"/>
      <c r="E76" s="57" t="n"/>
      <c r="F76" s="57" t="n"/>
      <c r="G76" s="57" t="n"/>
      <c r="H76" s="57" t="n"/>
      <c r="I76" s="67">
        <f>SUM(E76:H76)</f>
        <v/>
      </c>
      <c r="J76" s="61" t="n"/>
      <c r="K76" s="57" t="n"/>
      <c r="L76" s="66">
        <f>B76</f>
        <v/>
      </c>
      <c r="M76" s="59" t="n"/>
      <c r="N76" s="57" t="n"/>
      <c r="O76" s="57" t="n"/>
      <c r="P76" s="57" t="n"/>
      <c r="Q76" s="57" t="n"/>
      <c r="R76" s="67">
        <f>SUM(N76:Q76)</f>
        <v/>
      </c>
      <c r="S76" s="61" t="n"/>
      <c r="T76" s="57" t="n"/>
      <c r="U76" s="66">
        <f>K76</f>
        <v/>
      </c>
      <c r="V76" s="59" t="n"/>
      <c r="W76" s="57" t="n"/>
      <c r="X76" s="57" t="n"/>
      <c r="Y76" s="57" t="n"/>
      <c r="Z76" s="57" t="n"/>
      <c r="AA76" s="67">
        <f>SUM(W76:Z76)</f>
        <v/>
      </c>
      <c r="AB76" s="61" t="n"/>
      <c r="AC76" s="57" t="n"/>
      <c r="AD76" s="66">
        <f>T76</f>
        <v/>
      </c>
      <c r="AE76" s="59" t="n"/>
      <c r="AF76" s="57" t="n"/>
      <c r="AG76" s="57" t="n"/>
      <c r="AH76" s="57" t="n"/>
      <c r="AI76" s="57" t="n"/>
      <c r="AJ76" s="67">
        <f>SUM(AF76:AI76)</f>
        <v/>
      </c>
      <c r="AK76" s="61" t="n"/>
      <c r="AL76" s="57" t="n"/>
      <c r="AM76" s="66">
        <f>AC76</f>
        <v/>
      </c>
      <c r="AN76" s="59" t="n"/>
      <c r="AO76" s="57" t="n"/>
      <c r="AP76" s="57" t="n"/>
      <c r="AQ76" s="57" t="n"/>
      <c r="AR76" s="57" t="n"/>
      <c r="AS76" s="67">
        <f>SUM(AO76:AR76)</f>
        <v/>
      </c>
      <c r="AT76" s="61" t="n"/>
      <c r="AU76" s="57" t="n"/>
      <c r="AV76" s="66">
        <f>AL76</f>
        <v/>
      </c>
      <c r="AW76" s="59" t="n"/>
      <c r="AX76" s="57" t="n"/>
      <c r="AY76" s="57" t="n"/>
      <c r="AZ76" s="57" t="n"/>
      <c r="BA76" s="57" t="n"/>
      <c r="BB76" s="67">
        <f>SUM(AX76:BA76)</f>
        <v/>
      </c>
      <c r="BC76" s="61" t="n"/>
      <c r="BD76" s="57" t="n"/>
      <c r="BE76" s="66">
        <f>AU76</f>
        <v/>
      </c>
      <c r="BF76" s="59" t="n"/>
      <c r="BG76" s="57" t="n"/>
      <c r="BH76" s="57" t="n"/>
      <c r="BI76" s="57" t="n"/>
      <c r="BJ76" s="57" t="n"/>
      <c r="BK76" s="67">
        <f>SUM(BG76:BJ76)</f>
        <v/>
      </c>
      <c r="BL76" s="61" t="n"/>
      <c r="BM76" s="57" t="n"/>
      <c r="BN76" s="66">
        <f>BD76</f>
        <v/>
      </c>
      <c r="BO76" s="59" t="n"/>
      <c r="BP76" s="57" t="n"/>
      <c r="BQ76" s="57" t="n"/>
      <c r="BR76" s="57" t="n"/>
      <c r="BS76" s="57" t="n"/>
      <c r="BT76" s="67">
        <f>SUM(BP76:BS76)</f>
        <v/>
      </c>
      <c r="BU76" s="61" t="n"/>
      <c r="BV76" s="57" t="n"/>
      <c r="BW76" s="66">
        <f>BM76</f>
        <v/>
      </c>
      <c r="BX76" s="59" t="n"/>
      <c r="BY76" s="57" t="n"/>
      <c r="BZ76" s="57" t="n"/>
      <c r="CA76" s="57" t="n"/>
      <c r="CB76" s="57" t="n"/>
      <c r="CC76" s="67">
        <f>SUM(BY76:CB76)</f>
        <v/>
      </c>
      <c r="CD76" s="61" t="n"/>
      <c r="CE76" s="57" t="n"/>
      <c r="CF76" s="66">
        <f>BV76</f>
        <v/>
      </c>
      <c r="CG76" s="59" t="n"/>
      <c r="CH76" s="57" t="n"/>
      <c r="CI76" s="57" t="n"/>
      <c r="CJ76" s="57" t="n"/>
      <c r="CK76" s="57" t="n"/>
      <c r="CL76" s="67">
        <f>SUM(CH76:CK76)</f>
        <v/>
      </c>
      <c r="CM76" s="61" t="n"/>
      <c r="CN76" s="57" t="n"/>
      <c r="CO76" s="66">
        <f>CE76</f>
        <v/>
      </c>
      <c r="CP76" s="59" t="n"/>
      <c r="CQ76" s="57" t="n"/>
      <c r="CR76" s="57" t="n"/>
      <c r="CS76" s="57" t="n"/>
      <c r="CT76" s="57" t="n"/>
      <c r="CU76" s="67">
        <f>SUM(CQ76:CT76)</f>
        <v/>
      </c>
      <c r="CV76" s="61" t="n"/>
      <c r="CW76" s="57" t="n"/>
      <c r="CX76" s="66">
        <f>CN76</f>
        <v/>
      </c>
      <c r="CY76" s="59" t="n"/>
      <c r="CZ76" s="57" t="n"/>
      <c r="DA76" s="57" t="n"/>
      <c r="DB76" s="57" t="n"/>
      <c r="DC76" s="57" t="n"/>
      <c r="DD76" s="67">
        <f>SUM(CZ76:DC76)</f>
        <v/>
      </c>
      <c r="DE76" s="61" t="n"/>
      <c r="DF76" s="57" t="n"/>
      <c r="DG76" s="66">
        <f>CW76</f>
        <v/>
      </c>
      <c r="DH76" s="59" t="n"/>
      <c r="DI76" s="57" t="n"/>
      <c r="DJ76" s="57" t="n"/>
      <c r="DK76" s="57" t="n"/>
      <c r="DL76" s="57" t="n"/>
      <c r="DM76" s="67">
        <f>SUM(DI76:DL76)</f>
        <v/>
      </c>
      <c r="DN76" s="61" t="n"/>
      <c r="DO76" s="57" t="n"/>
      <c r="DP76" s="66">
        <f>DF76</f>
        <v/>
      </c>
      <c r="DQ76" s="59" t="n"/>
      <c r="DR76" s="57" t="n"/>
      <c r="DS76" s="57" t="n"/>
      <c r="DT76" s="57" t="n"/>
      <c r="DU76" s="57" t="n"/>
      <c r="DV76" s="67">
        <f>SUM(DR76:DU76)</f>
        <v/>
      </c>
      <c r="DW76" s="61" t="n"/>
      <c r="DX76" s="57" t="n"/>
      <c r="DY76" s="66">
        <f>DO76</f>
        <v/>
      </c>
      <c r="DZ76" s="59" t="n"/>
      <c r="EA76" s="57" t="n"/>
      <c r="EB76" s="57" t="n"/>
      <c r="EC76" s="57" t="n"/>
      <c r="ED76" s="57" t="n"/>
      <c r="EE76" s="67">
        <f>SUM(EA76:ED76)</f>
        <v/>
      </c>
      <c r="EF76" s="61" t="n"/>
      <c r="EG76" s="57" t="n"/>
      <c r="EH76" s="66">
        <f>DX76</f>
        <v/>
      </c>
      <c r="EI76" s="59" t="n"/>
      <c r="EJ76" s="57" t="n"/>
      <c r="EK76" s="57" t="n"/>
      <c r="EL76" s="57" t="n"/>
      <c r="EM76" s="57" t="n"/>
      <c r="EN76" s="67">
        <f>SUM(EJ76:EM76)</f>
        <v/>
      </c>
      <c r="EO76" s="61" t="n"/>
      <c r="EP76" s="57" t="n"/>
      <c r="EQ76" s="66">
        <f>EG76</f>
        <v/>
      </c>
      <c r="ER76" s="59" t="n"/>
      <c r="ES76" s="57" t="n"/>
      <c r="ET76" s="57" t="n"/>
      <c r="EU76" s="57" t="n"/>
      <c r="EV76" s="57" t="n"/>
      <c r="EW76" s="67">
        <f>SUM(ES76:EV76)</f>
        <v/>
      </c>
      <c r="EX76" s="61" t="n"/>
      <c r="EY76" s="57" t="n"/>
      <c r="EZ76" s="66">
        <f>EP76</f>
        <v/>
      </c>
      <c r="FA76" s="59" t="n"/>
      <c r="FB76" s="57" t="n"/>
      <c r="FC76" s="57" t="n"/>
      <c r="FD76" s="57" t="n"/>
      <c r="FE76" s="57" t="n"/>
      <c r="FF76" s="67">
        <f>SUM(FB76:FE76)</f>
        <v/>
      </c>
      <c r="FG76" s="61" t="n"/>
      <c r="FH76" s="57" t="n"/>
      <c r="FI76" s="66">
        <f>EY76</f>
        <v/>
      </c>
      <c r="FJ76" s="59" t="n"/>
      <c r="FK76" s="57" t="n"/>
      <c r="FL76" s="57" t="n"/>
      <c r="FM76" s="57" t="n"/>
      <c r="FN76" s="57" t="n"/>
      <c r="FO76" s="67">
        <f>SUM(FK76:FN76)</f>
        <v/>
      </c>
      <c r="FP76" s="61" t="n"/>
      <c r="FQ76" s="57" t="n"/>
      <c r="FR76" s="66">
        <f>FH76</f>
        <v/>
      </c>
      <c r="FS76" s="59" t="n"/>
      <c r="FT76" s="57" t="n"/>
      <c r="FU76" s="57" t="n"/>
      <c r="FV76" s="57" t="n"/>
      <c r="FW76" s="57" t="n"/>
      <c r="FX76" s="67">
        <f>SUM(FT76:FW76)</f>
        <v/>
      </c>
      <c r="FY76" s="61" t="n"/>
      <c r="FZ76" s="57" t="n"/>
      <c r="GA76" s="66">
        <f>FQ76</f>
        <v/>
      </c>
      <c r="GB76" s="59" t="n"/>
      <c r="GC76" s="57" t="n"/>
      <c r="GD76" s="57" t="n"/>
      <c r="GE76" s="57" t="n"/>
      <c r="GF76" s="57" t="n"/>
      <c r="GG76" s="67">
        <f>SUM(GC76:GF76)</f>
        <v/>
      </c>
      <c r="GH76" s="61" t="n"/>
      <c r="GI76" s="57" t="n"/>
      <c r="GJ76" s="66">
        <f>FZ76</f>
        <v/>
      </c>
      <c r="GK76" s="59" t="n"/>
      <c r="GL76" s="57" t="n"/>
      <c r="GM76" s="57" t="n"/>
      <c r="GN76" s="57" t="n"/>
      <c r="GO76" s="57" t="n"/>
      <c r="GP76" s="67">
        <f>SUM(GL76:GO76)</f>
        <v/>
      </c>
      <c r="GQ76" s="61" t="n"/>
      <c r="GR76" s="57" t="n"/>
      <c r="GS76" s="66">
        <f>GI76</f>
        <v/>
      </c>
      <c r="GT76" s="59" t="n"/>
      <c r="GU76" s="57" t="n"/>
      <c r="GV76" s="57" t="n"/>
      <c r="GW76" s="57" t="n"/>
      <c r="GX76" s="57" t="n"/>
      <c r="GY76" s="67">
        <f>SUM(GU76:GX76)</f>
        <v/>
      </c>
      <c r="GZ76" s="61" t="n"/>
      <c r="HA76" s="57" t="n"/>
      <c r="HB76" s="66">
        <f>GR76</f>
        <v/>
      </c>
      <c r="HC76" s="59" t="n"/>
      <c r="HD76" s="57" t="n"/>
      <c r="HE76" s="57" t="n"/>
      <c r="HF76" s="57" t="n"/>
      <c r="HG76" s="57" t="n"/>
      <c r="HH76" s="67">
        <f>SUM(HD76:HG76)</f>
        <v/>
      </c>
      <c r="HI76" s="61" t="n"/>
      <c r="HJ76" s="57" t="n"/>
      <c r="HK76" s="66">
        <f>HA76</f>
        <v/>
      </c>
      <c r="HL76" s="59" t="n"/>
      <c r="HM76" s="57" t="n"/>
      <c r="HN76" s="57" t="n"/>
      <c r="HO76" s="57" t="n"/>
      <c r="HP76" s="57" t="n"/>
      <c r="HQ76" s="67">
        <f>SUM(HM76:HP76)</f>
        <v/>
      </c>
      <c r="HR76" s="61" t="n"/>
      <c r="HS76" s="57" t="n"/>
      <c r="HT76" s="66">
        <f>HJ76</f>
        <v/>
      </c>
      <c r="HU76" s="59" t="n"/>
      <c r="HV76" s="57" t="n"/>
      <c r="HW76" s="57" t="n"/>
      <c r="HX76" s="57" t="n"/>
      <c r="HY76" s="57" t="n"/>
      <c r="HZ76" s="67">
        <f>SUM(HV76:HY76)</f>
        <v/>
      </c>
      <c r="IA76" s="61" t="n"/>
      <c r="IB76" s="57" t="n"/>
      <c r="IC76" s="66">
        <f>HS76</f>
        <v/>
      </c>
      <c r="ID76" s="59" t="n"/>
      <c r="IE76" s="57" t="n"/>
      <c r="IF76" s="57" t="n"/>
      <c r="IG76" s="57" t="n"/>
      <c r="IH76" s="57" t="n"/>
      <c r="II76" s="67">
        <f>SUM(IE76:IH76)</f>
        <v/>
      </c>
      <c r="IJ76" s="61" t="n"/>
      <c r="IK76" s="57" t="n"/>
      <c r="IL76" s="66">
        <f>IB76</f>
        <v/>
      </c>
      <c r="IM76" s="59" t="n"/>
      <c r="IN76" s="57" t="n"/>
      <c r="IO76" s="57" t="n"/>
      <c r="IP76" s="57" t="n"/>
      <c r="IQ76" s="57" t="n"/>
      <c r="IR76" s="67">
        <f>SUM(IN76:IQ76)</f>
        <v/>
      </c>
      <c r="IS76" s="61" t="n"/>
      <c r="IT76" s="57" t="n"/>
      <c r="IU76" s="66">
        <f>IK76</f>
        <v/>
      </c>
      <c r="IV76" s="59" t="n"/>
      <c r="IW76" s="57" t="n"/>
      <c r="IX76" s="57" t="n"/>
      <c r="IY76" s="57" t="n"/>
      <c r="IZ76" s="57" t="n"/>
      <c r="JA76" s="67">
        <f>SUM(IW76:IZ76)</f>
        <v/>
      </c>
      <c r="JB76" s="61" t="n"/>
      <c r="JC76" s="57" t="n"/>
      <c r="JD76" s="66">
        <f>IT76</f>
        <v/>
      </c>
      <c r="JE76" s="59" t="n"/>
      <c r="JF76" s="57" t="n"/>
      <c r="JG76" s="57" t="n"/>
      <c r="JH76" s="57" t="n"/>
      <c r="JI76" s="57" t="n"/>
      <c r="JJ76" s="67">
        <f>SUM(JF76:JI76)</f>
        <v/>
      </c>
      <c r="JK76" s="61" t="n"/>
      <c r="JL76" s="57" t="n"/>
      <c r="JM76" s="66">
        <f>JC76</f>
        <v/>
      </c>
      <c r="JN76" s="59" t="n"/>
      <c r="JO76" s="57" t="n"/>
      <c r="JP76" s="57" t="n"/>
      <c r="JQ76" s="57" t="n"/>
      <c r="JR76" s="57" t="n"/>
      <c r="JS76" s="67">
        <f>SUM(JO76:JR76)</f>
        <v/>
      </c>
      <c r="JT76" s="61" t="n"/>
      <c r="JU76" s="62">
        <f>I76+R76+AA76+AJ76+AS76+BB76+BK76+BT76+CC76+CL76+CU76+DD76+DM76+DV76+EE76+EN76+EW76+FF76+FO76+FX76+GG76+GP76+GY76+HH76+HQ76+HZ76+II76+IR76+JA76+JJ76+JS76</f>
        <v/>
      </c>
      <c r="JV76" s="63">
        <f>D76+M76+V76+AE76+AN76+AW76+BF76+BO76+BX76+CG76+CP76+CY76+DH76+DQ76+DZ76+EI76+ER76+FA76+FJ76+FS76+GB76+GK76+GT76+HC76+HL76+HU76+ID76+IM76+IV76+JE76+JN76</f>
        <v/>
      </c>
      <c r="JW76" s="62">
        <f>CHOOSE($Z$3,B76, K76, T76, AC76, AL76, AU76, BD76, BM76, BV76, CE76, CN76, CW76, DF76, DO76, DX76, EG76, EP76, EY76, FH76, FQ76, FZ76, GI76, GR76, HA76, HJ76, HS76, IB76, IK76, IT76, JC76, JL76)</f>
        <v/>
      </c>
      <c r="JX76" s="62">
        <f>IFERROR(JU76/$Z$3,0)</f>
        <v/>
      </c>
      <c r="JY76" s="62">
        <f>Configurações!$C$16</f>
        <v/>
      </c>
      <c r="JZ76" s="64">
        <f>IF(JY76=0,"— Sem meta",IF(JU76&gt;=JY76,"✓ Atingida","Em andamento"))</f>
        <v/>
      </c>
      <c r="KA76" s="65">
        <f>JU76+(4*0.0000001)</f>
        <v/>
      </c>
    </row>
    <row r="77" ht="20" customHeight="1">
      <c r="A77" s="56">
        <f>IF(Configurações!$B$17="","Assessor 11",Configurações!$B$17)</f>
        <v/>
      </c>
      <c r="B77" s="57" t="n"/>
      <c r="C77" s="58">
        <f>'Janeiro'!$JW77</f>
        <v/>
      </c>
      <c r="D77" s="59" t="n"/>
      <c r="E77" s="57" t="n"/>
      <c r="F77" s="57" t="n"/>
      <c r="G77" s="57" t="n"/>
      <c r="H77" s="57" t="n"/>
      <c r="I77" s="60">
        <f>SUM(E77:H77)</f>
        <v/>
      </c>
      <c r="J77" s="61" t="n"/>
      <c r="K77" s="57" t="n"/>
      <c r="L77" s="58">
        <f>B77</f>
        <v/>
      </c>
      <c r="M77" s="59" t="n"/>
      <c r="N77" s="57" t="n"/>
      <c r="O77" s="57" t="n"/>
      <c r="P77" s="57" t="n"/>
      <c r="Q77" s="57" t="n"/>
      <c r="R77" s="60">
        <f>SUM(N77:Q77)</f>
        <v/>
      </c>
      <c r="S77" s="61" t="n"/>
      <c r="T77" s="57" t="n"/>
      <c r="U77" s="58">
        <f>K77</f>
        <v/>
      </c>
      <c r="V77" s="59" t="n"/>
      <c r="W77" s="57" t="n"/>
      <c r="X77" s="57" t="n"/>
      <c r="Y77" s="57" t="n"/>
      <c r="Z77" s="57" t="n"/>
      <c r="AA77" s="60">
        <f>SUM(W77:Z77)</f>
        <v/>
      </c>
      <c r="AB77" s="61" t="n"/>
      <c r="AC77" s="57" t="n"/>
      <c r="AD77" s="58">
        <f>T77</f>
        <v/>
      </c>
      <c r="AE77" s="59" t="n"/>
      <c r="AF77" s="57" t="n"/>
      <c r="AG77" s="57" t="n"/>
      <c r="AH77" s="57" t="n"/>
      <c r="AI77" s="57" t="n"/>
      <c r="AJ77" s="60">
        <f>SUM(AF77:AI77)</f>
        <v/>
      </c>
      <c r="AK77" s="61" t="n"/>
      <c r="AL77" s="57" t="n"/>
      <c r="AM77" s="58">
        <f>AC77</f>
        <v/>
      </c>
      <c r="AN77" s="59" t="n"/>
      <c r="AO77" s="57" t="n"/>
      <c r="AP77" s="57" t="n"/>
      <c r="AQ77" s="57" t="n"/>
      <c r="AR77" s="57" t="n"/>
      <c r="AS77" s="60">
        <f>SUM(AO77:AR77)</f>
        <v/>
      </c>
      <c r="AT77" s="61" t="n"/>
      <c r="AU77" s="57" t="n"/>
      <c r="AV77" s="58">
        <f>AL77</f>
        <v/>
      </c>
      <c r="AW77" s="59" t="n"/>
      <c r="AX77" s="57" t="n"/>
      <c r="AY77" s="57" t="n"/>
      <c r="AZ77" s="57" t="n"/>
      <c r="BA77" s="57" t="n"/>
      <c r="BB77" s="60">
        <f>SUM(AX77:BA77)</f>
        <v/>
      </c>
      <c r="BC77" s="61" t="n"/>
      <c r="BD77" s="57" t="n"/>
      <c r="BE77" s="58">
        <f>AU77</f>
        <v/>
      </c>
      <c r="BF77" s="59" t="n"/>
      <c r="BG77" s="57" t="n"/>
      <c r="BH77" s="57" t="n"/>
      <c r="BI77" s="57" t="n"/>
      <c r="BJ77" s="57" t="n"/>
      <c r="BK77" s="60">
        <f>SUM(BG77:BJ77)</f>
        <v/>
      </c>
      <c r="BL77" s="61" t="n"/>
      <c r="BM77" s="57" t="n"/>
      <c r="BN77" s="58">
        <f>BD77</f>
        <v/>
      </c>
      <c r="BO77" s="59" t="n"/>
      <c r="BP77" s="57" t="n"/>
      <c r="BQ77" s="57" t="n"/>
      <c r="BR77" s="57" t="n"/>
      <c r="BS77" s="57" t="n"/>
      <c r="BT77" s="60">
        <f>SUM(BP77:BS77)</f>
        <v/>
      </c>
      <c r="BU77" s="61" t="n"/>
      <c r="BV77" s="57" t="n"/>
      <c r="BW77" s="58">
        <f>BM77</f>
        <v/>
      </c>
      <c r="BX77" s="59" t="n"/>
      <c r="BY77" s="57" t="n"/>
      <c r="BZ77" s="57" t="n"/>
      <c r="CA77" s="57" t="n"/>
      <c r="CB77" s="57" t="n"/>
      <c r="CC77" s="60">
        <f>SUM(BY77:CB77)</f>
        <v/>
      </c>
      <c r="CD77" s="61" t="n"/>
      <c r="CE77" s="57" t="n"/>
      <c r="CF77" s="58">
        <f>BV77</f>
        <v/>
      </c>
      <c r="CG77" s="59" t="n"/>
      <c r="CH77" s="57" t="n"/>
      <c r="CI77" s="57" t="n"/>
      <c r="CJ77" s="57" t="n"/>
      <c r="CK77" s="57" t="n"/>
      <c r="CL77" s="60">
        <f>SUM(CH77:CK77)</f>
        <v/>
      </c>
      <c r="CM77" s="61" t="n"/>
      <c r="CN77" s="57" t="n"/>
      <c r="CO77" s="58">
        <f>CE77</f>
        <v/>
      </c>
      <c r="CP77" s="59" t="n"/>
      <c r="CQ77" s="57" t="n"/>
      <c r="CR77" s="57" t="n"/>
      <c r="CS77" s="57" t="n"/>
      <c r="CT77" s="57" t="n"/>
      <c r="CU77" s="60">
        <f>SUM(CQ77:CT77)</f>
        <v/>
      </c>
      <c r="CV77" s="61" t="n"/>
      <c r="CW77" s="57" t="n"/>
      <c r="CX77" s="58">
        <f>CN77</f>
        <v/>
      </c>
      <c r="CY77" s="59" t="n"/>
      <c r="CZ77" s="57" t="n"/>
      <c r="DA77" s="57" t="n"/>
      <c r="DB77" s="57" t="n"/>
      <c r="DC77" s="57" t="n"/>
      <c r="DD77" s="60">
        <f>SUM(CZ77:DC77)</f>
        <v/>
      </c>
      <c r="DE77" s="61" t="n"/>
      <c r="DF77" s="57" t="n"/>
      <c r="DG77" s="58">
        <f>CW77</f>
        <v/>
      </c>
      <c r="DH77" s="59" t="n"/>
      <c r="DI77" s="57" t="n"/>
      <c r="DJ77" s="57" t="n"/>
      <c r="DK77" s="57" t="n"/>
      <c r="DL77" s="57" t="n"/>
      <c r="DM77" s="60">
        <f>SUM(DI77:DL77)</f>
        <v/>
      </c>
      <c r="DN77" s="61" t="n"/>
      <c r="DO77" s="57" t="n"/>
      <c r="DP77" s="58">
        <f>DF77</f>
        <v/>
      </c>
      <c r="DQ77" s="59" t="n"/>
      <c r="DR77" s="57" t="n"/>
      <c r="DS77" s="57" t="n"/>
      <c r="DT77" s="57" t="n"/>
      <c r="DU77" s="57" t="n"/>
      <c r="DV77" s="60">
        <f>SUM(DR77:DU77)</f>
        <v/>
      </c>
      <c r="DW77" s="61" t="n"/>
      <c r="DX77" s="57" t="n"/>
      <c r="DY77" s="58">
        <f>DO77</f>
        <v/>
      </c>
      <c r="DZ77" s="59" t="n"/>
      <c r="EA77" s="57" t="n"/>
      <c r="EB77" s="57" t="n"/>
      <c r="EC77" s="57" t="n"/>
      <c r="ED77" s="57" t="n"/>
      <c r="EE77" s="60">
        <f>SUM(EA77:ED77)</f>
        <v/>
      </c>
      <c r="EF77" s="61" t="n"/>
      <c r="EG77" s="57" t="n"/>
      <c r="EH77" s="58">
        <f>DX77</f>
        <v/>
      </c>
      <c r="EI77" s="59" t="n"/>
      <c r="EJ77" s="57" t="n"/>
      <c r="EK77" s="57" t="n"/>
      <c r="EL77" s="57" t="n"/>
      <c r="EM77" s="57" t="n"/>
      <c r="EN77" s="60">
        <f>SUM(EJ77:EM77)</f>
        <v/>
      </c>
      <c r="EO77" s="61" t="n"/>
      <c r="EP77" s="57" t="n"/>
      <c r="EQ77" s="58">
        <f>EG77</f>
        <v/>
      </c>
      <c r="ER77" s="59" t="n"/>
      <c r="ES77" s="57" t="n"/>
      <c r="ET77" s="57" t="n"/>
      <c r="EU77" s="57" t="n"/>
      <c r="EV77" s="57" t="n"/>
      <c r="EW77" s="60">
        <f>SUM(ES77:EV77)</f>
        <v/>
      </c>
      <c r="EX77" s="61" t="n"/>
      <c r="EY77" s="57" t="n"/>
      <c r="EZ77" s="58">
        <f>EP77</f>
        <v/>
      </c>
      <c r="FA77" s="59" t="n"/>
      <c r="FB77" s="57" t="n"/>
      <c r="FC77" s="57" t="n"/>
      <c r="FD77" s="57" t="n"/>
      <c r="FE77" s="57" t="n"/>
      <c r="FF77" s="60">
        <f>SUM(FB77:FE77)</f>
        <v/>
      </c>
      <c r="FG77" s="61" t="n"/>
      <c r="FH77" s="57" t="n"/>
      <c r="FI77" s="58">
        <f>EY77</f>
        <v/>
      </c>
      <c r="FJ77" s="59" t="n"/>
      <c r="FK77" s="57" t="n"/>
      <c r="FL77" s="57" t="n"/>
      <c r="FM77" s="57" t="n"/>
      <c r="FN77" s="57" t="n"/>
      <c r="FO77" s="60">
        <f>SUM(FK77:FN77)</f>
        <v/>
      </c>
      <c r="FP77" s="61" t="n"/>
      <c r="FQ77" s="57" t="n"/>
      <c r="FR77" s="58">
        <f>FH77</f>
        <v/>
      </c>
      <c r="FS77" s="59" t="n"/>
      <c r="FT77" s="57" t="n"/>
      <c r="FU77" s="57" t="n"/>
      <c r="FV77" s="57" t="n"/>
      <c r="FW77" s="57" t="n"/>
      <c r="FX77" s="60">
        <f>SUM(FT77:FW77)</f>
        <v/>
      </c>
      <c r="FY77" s="61" t="n"/>
      <c r="FZ77" s="57" t="n"/>
      <c r="GA77" s="58">
        <f>FQ77</f>
        <v/>
      </c>
      <c r="GB77" s="59" t="n"/>
      <c r="GC77" s="57" t="n"/>
      <c r="GD77" s="57" t="n"/>
      <c r="GE77" s="57" t="n"/>
      <c r="GF77" s="57" t="n"/>
      <c r="GG77" s="60">
        <f>SUM(GC77:GF77)</f>
        <v/>
      </c>
      <c r="GH77" s="61" t="n"/>
      <c r="GI77" s="57" t="n"/>
      <c r="GJ77" s="58">
        <f>FZ77</f>
        <v/>
      </c>
      <c r="GK77" s="59" t="n"/>
      <c r="GL77" s="57" t="n"/>
      <c r="GM77" s="57" t="n"/>
      <c r="GN77" s="57" t="n"/>
      <c r="GO77" s="57" t="n"/>
      <c r="GP77" s="60">
        <f>SUM(GL77:GO77)</f>
        <v/>
      </c>
      <c r="GQ77" s="61" t="n"/>
      <c r="GR77" s="57" t="n"/>
      <c r="GS77" s="58">
        <f>GI77</f>
        <v/>
      </c>
      <c r="GT77" s="59" t="n"/>
      <c r="GU77" s="57" t="n"/>
      <c r="GV77" s="57" t="n"/>
      <c r="GW77" s="57" t="n"/>
      <c r="GX77" s="57" t="n"/>
      <c r="GY77" s="60">
        <f>SUM(GU77:GX77)</f>
        <v/>
      </c>
      <c r="GZ77" s="61" t="n"/>
      <c r="HA77" s="57" t="n"/>
      <c r="HB77" s="58">
        <f>GR77</f>
        <v/>
      </c>
      <c r="HC77" s="59" t="n"/>
      <c r="HD77" s="57" t="n"/>
      <c r="HE77" s="57" t="n"/>
      <c r="HF77" s="57" t="n"/>
      <c r="HG77" s="57" t="n"/>
      <c r="HH77" s="60">
        <f>SUM(HD77:HG77)</f>
        <v/>
      </c>
      <c r="HI77" s="61" t="n"/>
      <c r="HJ77" s="57" t="n"/>
      <c r="HK77" s="58">
        <f>HA77</f>
        <v/>
      </c>
      <c r="HL77" s="59" t="n"/>
      <c r="HM77" s="57" t="n"/>
      <c r="HN77" s="57" t="n"/>
      <c r="HO77" s="57" t="n"/>
      <c r="HP77" s="57" t="n"/>
      <c r="HQ77" s="60">
        <f>SUM(HM77:HP77)</f>
        <v/>
      </c>
      <c r="HR77" s="61" t="n"/>
      <c r="HS77" s="57" t="n"/>
      <c r="HT77" s="58">
        <f>HJ77</f>
        <v/>
      </c>
      <c r="HU77" s="59" t="n"/>
      <c r="HV77" s="57" t="n"/>
      <c r="HW77" s="57" t="n"/>
      <c r="HX77" s="57" t="n"/>
      <c r="HY77" s="57" t="n"/>
      <c r="HZ77" s="60">
        <f>SUM(HV77:HY77)</f>
        <v/>
      </c>
      <c r="IA77" s="61" t="n"/>
      <c r="IB77" s="57" t="n"/>
      <c r="IC77" s="58">
        <f>HS77</f>
        <v/>
      </c>
      <c r="ID77" s="59" t="n"/>
      <c r="IE77" s="57" t="n"/>
      <c r="IF77" s="57" t="n"/>
      <c r="IG77" s="57" t="n"/>
      <c r="IH77" s="57" t="n"/>
      <c r="II77" s="60">
        <f>SUM(IE77:IH77)</f>
        <v/>
      </c>
      <c r="IJ77" s="61" t="n"/>
      <c r="IK77" s="57" t="n"/>
      <c r="IL77" s="58">
        <f>IB77</f>
        <v/>
      </c>
      <c r="IM77" s="59" t="n"/>
      <c r="IN77" s="57" t="n"/>
      <c r="IO77" s="57" t="n"/>
      <c r="IP77" s="57" t="n"/>
      <c r="IQ77" s="57" t="n"/>
      <c r="IR77" s="60">
        <f>SUM(IN77:IQ77)</f>
        <v/>
      </c>
      <c r="IS77" s="61" t="n"/>
      <c r="IT77" s="57" t="n"/>
      <c r="IU77" s="58">
        <f>IK77</f>
        <v/>
      </c>
      <c r="IV77" s="59" t="n"/>
      <c r="IW77" s="57" t="n"/>
      <c r="IX77" s="57" t="n"/>
      <c r="IY77" s="57" t="n"/>
      <c r="IZ77" s="57" t="n"/>
      <c r="JA77" s="60">
        <f>SUM(IW77:IZ77)</f>
        <v/>
      </c>
      <c r="JB77" s="61" t="n"/>
      <c r="JC77" s="57" t="n"/>
      <c r="JD77" s="58">
        <f>IT77</f>
        <v/>
      </c>
      <c r="JE77" s="59" t="n"/>
      <c r="JF77" s="57" t="n"/>
      <c r="JG77" s="57" t="n"/>
      <c r="JH77" s="57" t="n"/>
      <c r="JI77" s="57" t="n"/>
      <c r="JJ77" s="60">
        <f>SUM(JF77:JI77)</f>
        <v/>
      </c>
      <c r="JK77" s="61" t="n"/>
      <c r="JL77" s="57" t="n"/>
      <c r="JM77" s="58">
        <f>JC77</f>
        <v/>
      </c>
      <c r="JN77" s="59" t="n"/>
      <c r="JO77" s="57" t="n"/>
      <c r="JP77" s="57" t="n"/>
      <c r="JQ77" s="57" t="n"/>
      <c r="JR77" s="57" t="n"/>
      <c r="JS77" s="60">
        <f>SUM(JO77:JR77)</f>
        <v/>
      </c>
      <c r="JT77" s="61" t="n"/>
      <c r="JU77" s="62">
        <f>I77+R77+AA77+AJ77+AS77+BB77+BK77+BT77+CC77+CL77+CU77+DD77+DM77+DV77+EE77+EN77+EW77+FF77+FO77+FX77+GG77+GP77+GY77+HH77+HQ77+HZ77+II77+IR77+JA77+JJ77+JS77</f>
        <v/>
      </c>
      <c r="JV77" s="63">
        <f>D77+M77+V77+AE77+AN77+AW77+BF77+BO77+BX77+CG77+CP77+CY77+DH77+DQ77+DZ77+EI77+ER77+FA77+FJ77+FS77+GB77+GK77+GT77+HC77+HL77+HU77+ID77+IM77+IV77+JE77+JN77</f>
        <v/>
      </c>
      <c r="JW77" s="62">
        <f>CHOOSE($Z$3,B77, K77, T77, AC77, AL77, AU77, BD77, BM77, BV77, CE77, CN77, CW77, DF77, DO77, DX77, EG77, EP77, EY77, FH77, FQ77, FZ77, GI77, GR77, HA77, HJ77, HS77, IB77, IK77, IT77, JC77, JL77)</f>
        <v/>
      </c>
      <c r="JX77" s="62">
        <f>IFERROR(JU77/$Z$3,0)</f>
        <v/>
      </c>
      <c r="JY77" s="62">
        <f>Configurações!$C$17</f>
        <v/>
      </c>
      <c r="JZ77" s="64">
        <f>IF(JY77=0,"— Sem meta",IF(JU77&gt;=JY77,"✓ Atingida","Em andamento"))</f>
        <v/>
      </c>
      <c r="KA77" s="65">
        <f>JU77+(3*0.0000001)</f>
        <v/>
      </c>
    </row>
    <row r="78" ht="20" customHeight="1">
      <c r="A78" s="56">
        <f>IF(Configurações!$B$18="","Assessor 12",Configurações!$B$18)</f>
        <v/>
      </c>
      <c r="B78" s="57" t="n"/>
      <c r="C78" s="66">
        <f>'Janeiro'!$JW78</f>
        <v/>
      </c>
      <c r="D78" s="59" t="n"/>
      <c r="E78" s="57" t="n"/>
      <c r="F78" s="57" t="n"/>
      <c r="G78" s="57" t="n"/>
      <c r="H78" s="57" t="n"/>
      <c r="I78" s="67">
        <f>SUM(E78:H78)</f>
        <v/>
      </c>
      <c r="J78" s="61" t="n"/>
      <c r="K78" s="57" t="n"/>
      <c r="L78" s="66">
        <f>B78</f>
        <v/>
      </c>
      <c r="M78" s="59" t="n"/>
      <c r="N78" s="57" t="n"/>
      <c r="O78" s="57" t="n"/>
      <c r="P78" s="57" t="n"/>
      <c r="Q78" s="57" t="n"/>
      <c r="R78" s="67">
        <f>SUM(N78:Q78)</f>
        <v/>
      </c>
      <c r="S78" s="61" t="n"/>
      <c r="T78" s="57" t="n"/>
      <c r="U78" s="66">
        <f>K78</f>
        <v/>
      </c>
      <c r="V78" s="59" t="n"/>
      <c r="W78" s="57" t="n"/>
      <c r="X78" s="57" t="n"/>
      <c r="Y78" s="57" t="n"/>
      <c r="Z78" s="57" t="n"/>
      <c r="AA78" s="67">
        <f>SUM(W78:Z78)</f>
        <v/>
      </c>
      <c r="AB78" s="61" t="n"/>
      <c r="AC78" s="57" t="n"/>
      <c r="AD78" s="66">
        <f>T78</f>
        <v/>
      </c>
      <c r="AE78" s="59" t="n"/>
      <c r="AF78" s="57" t="n"/>
      <c r="AG78" s="57" t="n"/>
      <c r="AH78" s="57" t="n"/>
      <c r="AI78" s="57" t="n"/>
      <c r="AJ78" s="67">
        <f>SUM(AF78:AI78)</f>
        <v/>
      </c>
      <c r="AK78" s="61" t="n"/>
      <c r="AL78" s="57" t="n"/>
      <c r="AM78" s="66">
        <f>AC78</f>
        <v/>
      </c>
      <c r="AN78" s="59" t="n"/>
      <c r="AO78" s="57" t="n"/>
      <c r="AP78" s="57" t="n"/>
      <c r="AQ78" s="57" t="n"/>
      <c r="AR78" s="57" t="n"/>
      <c r="AS78" s="67">
        <f>SUM(AO78:AR78)</f>
        <v/>
      </c>
      <c r="AT78" s="61" t="n"/>
      <c r="AU78" s="57" t="n"/>
      <c r="AV78" s="66">
        <f>AL78</f>
        <v/>
      </c>
      <c r="AW78" s="59" t="n"/>
      <c r="AX78" s="57" t="n"/>
      <c r="AY78" s="57" t="n"/>
      <c r="AZ78" s="57" t="n"/>
      <c r="BA78" s="57" t="n"/>
      <c r="BB78" s="67">
        <f>SUM(AX78:BA78)</f>
        <v/>
      </c>
      <c r="BC78" s="61" t="n"/>
      <c r="BD78" s="57" t="n"/>
      <c r="BE78" s="66">
        <f>AU78</f>
        <v/>
      </c>
      <c r="BF78" s="59" t="n"/>
      <c r="BG78" s="57" t="n"/>
      <c r="BH78" s="57" t="n"/>
      <c r="BI78" s="57" t="n"/>
      <c r="BJ78" s="57" t="n"/>
      <c r="BK78" s="67">
        <f>SUM(BG78:BJ78)</f>
        <v/>
      </c>
      <c r="BL78" s="61" t="n"/>
      <c r="BM78" s="57" t="n"/>
      <c r="BN78" s="66">
        <f>BD78</f>
        <v/>
      </c>
      <c r="BO78" s="59" t="n"/>
      <c r="BP78" s="57" t="n"/>
      <c r="BQ78" s="57" t="n"/>
      <c r="BR78" s="57" t="n"/>
      <c r="BS78" s="57" t="n"/>
      <c r="BT78" s="67">
        <f>SUM(BP78:BS78)</f>
        <v/>
      </c>
      <c r="BU78" s="61" t="n"/>
      <c r="BV78" s="57" t="n"/>
      <c r="BW78" s="66">
        <f>BM78</f>
        <v/>
      </c>
      <c r="BX78" s="59" t="n"/>
      <c r="BY78" s="57" t="n"/>
      <c r="BZ78" s="57" t="n"/>
      <c r="CA78" s="57" t="n"/>
      <c r="CB78" s="57" t="n"/>
      <c r="CC78" s="67">
        <f>SUM(BY78:CB78)</f>
        <v/>
      </c>
      <c r="CD78" s="61" t="n"/>
      <c r="CE78" s="57" t="n"/>
      <c r="CF78" s="66">
        <f>BV78</f>
        <v/>
      </c>
      <c r="CG78" s="59" t="n"/>
      <c r="CH78" s="57" t="n"/>
      <c r="CI78" s="57" t="n"/>
      <c r="CJ78" s="57" t="n"/>
      <c r="CK78" s="57" t="n"/>
      <c r="CL78" s="67">
        <f>SUM(CH78:CK78)</f>
        <v/>
      </c>
      <c r="CM78" s="61" t="n"/>
      <c r="CN78" s="57" t="n"/>
      <c r="CO78" s="66">
        <f>CE78</f>
        <v/>
      </c>
      <c r="CP78" s="59" t="n"/>
      <c r="CQ78" s="57" t="n"/>
      <c r="CR78" s="57" t="n"/>
      <c r="CS78" s="57" t="n"/>
      <c r="CT78" s="57" t="n"/>
      <c r="CU78" s="67">
        <f>SUM(CQ78:CT78)</f>
        <v/>
      </c>
      <c r="CV78" s="61" t="n"/>
      <c r="CW78" s="57" t="n"/>
      <c r="CX78" s="66">
        <f>CN78</f>
        <v/>
      </c>
      <c r="CY78" s="59" t="n"/>
      <c r="CZ78" s="57" t="n"/>
      <c r="DA78" s="57" t="n"/>
      <c r="DB78" s="57" t="n"/>
      <c r="DC78" s="57" t="n"/>
      <c r="DD78" s="67">
        <f>SUM(CZ78:DC78)</f>
        <v/>
      </c>
      <c r="DE78" s="61" t="n"/>
      <c r="DF78" s="57" t="n"/>
      <c r="DG78" s="66">
        <f>CW78</f>
        <v/>
      </c>
      <c r="DH78" s="59" t="n"/>
      <c r="DI78" s="57" t="n"/>
      <c r="DJ78" s="57" t="n"/>
      <c r="DK78" s="57" t="n"/>
      <c r="DL78" s="57" t="n"/>
      <c r="DM78" s="67">
        <f>SUM(DI78:DL78)</f>
        <v/>
      </c>
      <c r="DN78" s="61" t="n"/>
      <c r="DO78" s="57" t="n"/>
      <c r="DP78" s="66">
        <f>DF78</f>
        <v/>
      </c>
      <c r="DQ78" s="59" t="n"/>
      <c r="DR78" s="57" t="n"/>
      <c r="DS78" s="57" t="n"/>
      <c r="DT78" s="57" t="n"/>
      <c r="DU78" s="57" t="n"/>
      <c r="DV78" s="67">
        <f>SUM(DR78:DU78)</f>
        <v/>
      </c>
      <c r="DW78" s="61" t="n"/>
      <c r="DX78" s="57" t="n"/>
      <c r="DY78" s="66">
        <f>DO78</f>
        <v/>
      </c>
      <c r="DZ78" s="59" t="n"/>
      <c r="EA78" s="57" t="n"/>
      <c r="EB78" s="57" t="n"/>
      <c r="EC78" s="57" t="n"/>
      <c r="ED78" s="57" t="n"/>
      <c r="EE78" s="67">
        <f>SUM(EA78:ED78)</f>
        <v/>
      </c>
      <c r="EF78" s="61" t="n"/>
      <c r="EG78" s="57" t="n"/>
      <c r="EH78" s="66">
        <f>DX78</f>
        <v/>
      </c>
      <c r="EI78" s="59" t="n"/>
      <c r="EJ78" s="57" t="n"/>
      <c r="EK78" s="57" t="n"/>
      <c r="EL78" s="57" t="n"/>
      <c r="EM78" s="57" t="n"/>
      <c r="EN78" s="67">
        <f>SUM(EJ78:EM78)</f>
        <v/>
      </c>
      <c r="EO78" s="61" t="n"/>
      <c r="EP78" s="57" t="n"/>
      <c r="EQ78" s="66">
        <f>EG78</f>
        <v/>
      </c>
      <c r="ER78" s="59" t="n"/>
      <c r="ES78" s="57" t="n"/>
      <c r="ET78" s="57" t="n"/>
      <c r="EU78" s="57" t="n"/>
      <c r="EV78" s="57" t="n"/>
      <c r="EW78" s="67">
        <f>SUM(ES78:EV78)</f>
        <v/>
      </c>
      <c r="EX78" s="61" t="n"/>
      <c r="EY78" s="57" t="n"/>
      <c r="EZ78" s="66">
        <f>EP78</f>
        <v/>
      </c>
      <c r="FA78" s="59" t="n"/>
      <c r="FB78" s="57" t="n"/>
      <c r="FC78" s="57" t="n"/>
      <c r="FD78" s="57" t="n"/>
      <c r="FE78" s="57" t="n"/>
      <c r="FF78" s="67">
        <f>SUM(FB78:FE78)</f>
        <v/>
      </c>
      <c r="FG78" s="61" t="n"/>
      <c r="FH78" s="57" t="n"/>
      <c r="FI78" s="66">
        <f>EY78</f>
        <v/>
      </c>
      <c r="FJ78" s="59" t="n"/>
      <c r="FK78" s="57" t="n"/>
      <c r="FL78" s="57" t="n"/>
      <c r="FM78" s="57" t="n"/>
      <c r="FN78" s="57" t="n"/>
      <c r="FO78" s="67">
        <f>SUM(FK78:FN78)</f>
        <v/>
      </c>
      <c r="FP78" s="61" t="n"/>
      <c r="FQ78" s="57" t="n"/>
      <c r="FR78" s="66">
        <f>FH78</f>
        <v/>
      </c>
      <c r="FS78" s="59" t="n"/>
      <c r="FT78" s="57" t="n"/>
      <c r="FU78" s="57" t="n"/>
      <c r="FV78" s="57" t="n"/>
      <c r="FW78" s="57" t="n"/>
      <c r="FX78" s="67">
        <f>SUM(FT78:FW78)</f>
        <v/>
      </c>
      <c r="FY78" s="61" t="n"/>
      <c r="FZ78" s="57" t="n"/>
      <c r="GA78" s="66">
        <f>FQ78</f>
        <v/>
      </c>
      <c r="GB78" s="59" t="n"/>
      <c r="GC78" s="57" t="n"/>
      <c r="GD78" s="57" t="n"/>
      <c r="GE78" s="57" t="n"/>
      <c r="GF78" s="57" t="n"/>
      <c r="GG78" s="67">
        <f>SUM(GC78:GF78)</f>
        <v/>
      </c>
      <c r="GH78" s="61" t="n"/>
      <c r="GI78" s="57" t="n"/>
      <c r="GJ78" s="66">
        <f>FZ78</f>
        <v/>
      </c>
      <c r="GK78" s="59" t="n"/>
      <c r="GL78" s="57" t="n"/>
      <c r="GM78" s="57" t="n"/>
      <c r="GN78" s="57" t="n"/>
      <c r="GO78" s="57" t="n"/>
      <c r="GP78" s="67">
        <f>SUM(GL78:GO78)</f>
        <v/>
      </c>
      <c r="GQ78" s="61" t="n"/>
      <c r="GR78" s="57" t="n"/>
      <c r="GS78" s="66">
        <f>GI78</f>
        <v/>
      </c>
      <c r="GT78" s="59" t="n"/>
      <c r="GU78" s="57" t="n"/>
      <c r="GV78" s="57" t="n"/>
      <c r="GW78" s="57" t="n"/>
      <c r="GX78" s="57" t="n"/>
      <c r="GY78" s="67">
        <f>SUM(GU78:GX78)</f>
        <v/>
      </c>
      <c r="GZ78" s="61" t="n"/>
      <c r="HA78" s="57" t="n"/>
      <c r="HB78" s="66">
        <f>GR78</f>
        <v/>
      </c>
      <c r="HC78" s="59" t="n"/>
      <c r="HD78" s="57" t="n"/>
      <c r="HE78" s="57" t="n"/>
      <c r="HF78" s="57" t="n"/>
      <c r="HG78" s="57" t="n"/>
      <c r="HH78" s="67">
        <f>SUM(HD78:HG78)</f>
        <v/>
      </c>
      <c r="HI78" s="61" t="n"/>
      <c r="HJ78" s="57" t="n"/>
      <c r="HK78" s="66">
        <f>HA78</f>
        <v/>
      </c>
      <c r="HL78" s="59" t="n"/>
      <c r="HM78" s="57" t="n"/>
      <c r="HN78" s="57" t="n"/>
      <c r="HO78" s="57" t="n"/>
      <c r="HP78" s="57" t="n"/>
      <c r="HQ78" s="67">
        <f>SUM(HM78:HP78)</f>
        <v/>
      </c>
      <c r="HR78" s="61" t="n"/>
      <c r="HS78" s="57" t="n"/>
      <c r="HT78" s="66">
        <f>HJ78</f>
        <v/>
      </c>
      <c r="HU78" s="59" t="n"/>
      <c r="HV78" s="57" t="n"/>
      <c r="HW78" s="57" t="n"/>
      <c r="HX78" s="57" t="n"/>
      <c r="HY78" s="57" t="n"/>
      <c r="HZ78" s="67">
        <f>SUM(HV78:HY78)</f>
        <v/>
      </c>
      <c r="IA78" s="61" t="n"/>
      <c r="IB78" s="57" t="n"/>
      <c r="IC78" s="66">
        <f>HS78</f>
        <v/>
      </c>
      <c r="ID78" s="59" t="n"/>
      <c r="IE78" s="57" t="n"/>
      <c r="IF78" s="57" t="n"/>
      <c r="IG78" s="57" t="n"/>
      <c r="IH78" s="57" t="n"/>
      <c r="II78" s="67">
        <f>SUM(IE78:IH78)</f>
        <v/>
      </c>
      <c r="IJ78" s="61" t="n"/>
      <c r="IK78" s="57" t="n"/>
      <c r="IL78" s="66">
        <f>IB78</f>
        <v/>
      </c>
      <c r="IM78" s="59" t="n"/>
      <c r="IN78" s="57" t="n"/>
      <c r="IO78" s="57" t="n"/>
      <c r="IP78" s="57" t="n"/>
      <c r="IQ78" s="57" t="n"/>
      <c r="IR78" s="67">
        <f>SUM(IN78:IQ78)</f>
        <v/>
      </c>
      <c r="IS78" s="61" t="n"/>
      <c r="IT78" s="57" t="n"/>
      <c r="IU78" s="66">
        <f>IK78</f>
        <v/>
      </c>
      <c r="IV78" s="59" t="n"/>
      <c r="IW78" s="57" t="n"/>
      <c r="IX78" s="57" t="n"/>
      <c r="IY78" s="57" t="n"/>
      <c r="IZ78" s="57" t="n"/>
      <c r="JA78" s="67">
        <f>SUM(IW78:IZ78)</f>
        <v/>
      </c>
      <c r="JB78" s="61" t="n"/>
      <c r="JC78" s="57" t="n"/>
      <c r="JD78" s="66">
        <f>IT78</f>
        <v/>
      </c>
      <c r="JE78" s="59" t="n"/>
      <c r="JF78" s="57" t="n"/>
      <c r="JG78" s="57" t="n"/>
      <c r="JH78" s="57" t="n"/>
      <c r="JI78" s="57" t="n"/>
      <c r="JJ78" s="67">
        <f>SUM(JF78:JI78)</f>
        <v/>
      </c>
      <c r="JK78" s="61" t="n"/>
      <c r="JL78" s="57" t="n"/>
      <c r="JM78" s="66">
        <f>JC78</f>
        <v/>
      </c>
      <c r="JN78" s="59" t="n"/>
      <c r="JO78" s="57" t="n"/>
      <c r="JP78" s="57" t="n"/>
      <c r="JQ78" s="57" t="n"/>
      <c r="JR78" s="57" t="n"/>
      <c r="JS78" s="67">
        <f>SUM(JO78:JR78)</f>
        <v/>
      </c>
      <c r="JT78" s="61" t="n"/>
      <c r="JU78" s="62">
        <f>I78+R78+AA78+AJ78+AS78+BB78+BK78+BT78+CC78+CL78+CU78+DD78+DM78+DV78+EE78+EN78+EW78+FF78+FO78+FX78+GG78+GP78+GY78+HH78+HQ78+HZ78+II78+IR78+JA78+JJ78+JS78</f>
        <v/>
      </c>
      <c r="JV78" s="63">
        <f>D78+M78+V78+AE78+AN78+AW78+BF78+BO78+BX78+CG78+CP78+CY78+DH78+DQ78+DZ78+EI78+ER78+FA78+FJ78+FS78+GB78+GK78+GT78+HC78+HL78+HU78+ID78+IM78+IV78+JE78+JN78</f>
        <v/>
      </c>
      <c r="JW78" s="62">
        <f>CHOOSE($Z$3,B78, K78, T78, AC78, AL78, AU78, BD78, BM78, BV78, CE78, CN78, CW78, DF78, DO78, DX78, EG78, EP78, EY78, FH78, FQ78, FZ78, GI78, GR78, HA78, HJ78, HS78, IB78, IK78, IT78, JC78, JL78)</f>
        <v/>
      </c>
      <c r="JX78" s="62">
        <f>IFERROR(JU78/$Z$3,0)</f>
        <v/>
      </c>
      <c r="JY78" s="62">
        <f>Configurações!$C$18</f>
        <v/>
      </c>
      <c r="JZ78" s="64">
        <f>IF(JY78=0,"— Sem meta",IF(JU78&gt;=JY78,"✓ Atingida","Em andamento"))</f>
        <v/>
      </c>
      <c r="KA78" s="65">
        <f>JU78+(2*0.0000001)</f>
        <v/>
      </c>
    </row>
    <row r="79" ht="20" customHeight="1">
      <c r="A79" s="56">
        <f>IF(Configurações!$B$19="","Assessor 13",Configurações!$B$19)</f>
        <v/>
      </c>
      <c r="B79" s="57" t="n"/>
      <c r="C79" s="58">
        <f>'Janeiro'!$JW79</f>
        <v/>
      </c>
      <c r="D79" s="59" t="n"/>
      <c r="E79" s="57" t="n"/>
      <c r="F79" s="57" t="n"/>
      <c r="G79" s="57" t="n"/>
      <c r="H79" s="57" t="n"/>
      <c r="I79" s="60">
        <f>SUM(E79:H79)</f>
        <v/>
      </c>
      <c r="J79" s="61" t="n"/>
      <c r="K79" s="57" t="n"/>
      <c r="L79" s="58">
        <f>B79</f>
        <v/>
      </c>
      <c r="M79" s="59" t="n"/>
      <c r="N79" s="57" t="n"/>
      <c r="O79" s="57" t="n"/>
      <c r="P79" s="57" t="n"/>
      <c r="Q79" s="57" t="n"/>
      <c r="R79" s="60">
        <f>SUM(N79:Q79)</f>
        <v/>
      </c>
      <c r="S79" s="61" t="n"/>
      <c r="T79" s="57" t="n"/>
      <c r="U79" s="58">
        <f>K79</f>
        <v/>
      </c>
      <c r="V79" s="59" t="n"/>
      <c r="W79" s="57" t="n"/>
      <c r="X79" s="57" t="n"/>
      <c r="Y79" s="57" t="n"/>
      <c r="Z79" s="57" t="n"/>
      <c r="AA79" s="60">
        <f>SUM(W79:Z79)</f>
        <v/>
      </c>
      <c r="AB79" s="61" t="n"/>
      <c r="AC79" s="57" t="n"/>
      <c r="AD79" s="58">
        <f>T79</f>
        <v/>
      </c>
      <c r="AE79" s="59" t="n"/>
      <c r="AF79" s="57" t="n"/>
      <c r="AG79" s="57" t="n"/>
      <c r="AH79" s="57" t="n"/>
      <c r="AI79" s="57" t="n"/>
      <c r="AJ79" s="60">
        <f>SUM(AF79:AI79)</f>
        <v/>
      </c>
      <c r="AK79" s="61" t="n"/>
      <c r="AL79" s="57" t="n"/>
      <c r="AM79" s="58">
        <f>AC79</f>
        <v/>
      </c>
      <c r="AN79" s="59" t="n"/>
      <c r="AO79" s="57" t="n"/>
      <c r="AP79" s="57" t="n"/>
      <c r="AQ79" s="57" t="n"/>
      <c r="AR79" s="57" t="n"/>
      <c r="AS79" s="60">
        <f>SUM(AO79:AR79)</f>
        <v/>
      </c>
      <c r="AT79" s="61" t="n"/>
      <c r="AU79" s="57" t="n"/>
      <c r="AV79" s="58">
        <f>AL79</f>
        <v/>
      </c>
      <c r="AW79" s="59" t="n"/>
      <c r="AX79" s="57" t="n"/>
      <c r="AY79" s="57" t="n"/>
      <c r="AZ79" s="57" t="n"/>
      <c r="BA79" s="57" t="n"/>
      <c r="BB79" s="60">
        <f>SUM(AX79:BA79)</f>
        <v/>
      </c>
      <c r="BC79" s="61" t="n"/>
      <c r="BD79" s="57" t="n"/>
      <c r="BE79" s="58">
        <f>AU79</f>
        <v/>
      </c>
      <c r="BF79" s="59" t="n"/>
      <c r="BG79" s="57" t="n"/>
      <c r="BH79" s="57" t="n"/>
      <c r="BI79" s="57" t="n"/>
      <c r="BJ79" s="57" t="n"/>
      <c r="BK79" s="60">
        <f>SUM(BG79:BJ79)</f>
        <v/>
      </c>
      <c r="BL79" s="61" t="n"/>
      <c r="BM79" s="57" t="n"/>
      <c r="BN79" s="58">
        <f>BD79</f>
        <v/>
      </c>
      <c r="BO79" s="59" t="n"/>
      <c r="BP79" s="57" t="n"/>
      <c r="BQ79" s="57" t="n"/>
      <c r="BR79" s="57" t="n"/>
      <c r="BS79" s="57" t="n"/>
      <c r="BT79" s="60">
        <f>SUM(BP79:BS79)</f>
        <v/>
      </c>
      <c r="BU79" s="61" t="n"/>
      <c r="BV79" s="57" t="n"/>
      <c r="BW79" s="58">
        <f>BM79</f>
        <v/>
      </c>
      <c r="BX79" s="59" t="n"/>
      <c r="BY79" s="57" t="n"/>
      <c r="BZ79" s="57" t="n"/>
      <c r="CA79" s="57" t="n"/>
      <c r="CB79" s="57" t="n"/>
      <c r="CC79" s="60">
        <f>SUM(BY79:CB79)</f>
        <v/>
      </c>
      <c r="CD79" s="61" t="n"/>
      <c r="CE79" s="57" t="n"/>
      <c r="CF79" s="58">
        <f>BV79</f>
        <v/>
      </c>
      <c r="CG79" s="59" t="n"/>
      <c r="CH79" s="57" t="n"/>
      <c r="CI79" s="57" t="n"/>
      <c r="CJ79" s="57" t="n"/>
      <c r="CK79" s="57" t="n"/>
      <c r="CL79" s="60">
        <f>SUM(CH79:CK79)</f>
        <v/>
      </c>
      <c r="CM79" s="61" t="n"/>
      <c r="CN79" s="57" t="n"/>
      <c r="CO79" s="58">
        <f>CE79</f>
        <v/>
      </c>
      <c r="CP79" s="59" t="n"/>
      <c r="CQ79" s="57" t="n"/>
      <c r="CR79" s="57" t="n"/>
      <c r="CS79" s="57" t="n"/>
      <c r="CT79" s="57" t="n"/>
      <c r="CU79" s="60">
        <f>SUM(CQ79:CT79)</f>
        <v/>
      </c>
      <c r="CV79" s="61" t="n"/>
      <c r="CW79" s="57" t="n"/>
      <c r="CX79" s="58">
        <f>CN79</f>
        <v/>
      </c>
      <c r="CY79" s="59" t="n"/>
      <c r="CZ79" s="57" t="n"/>
      <c r="DA79" s="57" t="n"/>
      <c r="DB79" s="57" t="n"/>
      <c r="DC79" s="57" t="n"/>
      <c r="DD79" s="60">
        <f>SUM(CZ79:DC79)</f>
        <v/>
      </c>
      <c r="DE79" s="61" t="n"/>
      <c r="DF79" s="57" t="n"/>
      <c r="DG79" s="58">
        <f>CW79</f>
        <v/>
      </c>
      <c r="DH79" s="59" t="n"/>
      <c r="DI79" s="57" t="n"/>
      <c r="DJ79" s="57" t="n"/>
      <c r="DK79" s="57" t="n"/>
      <c r="DL79" s="57" t="n"/>
      <c r="DM79" s="60">
        <f>SUM(DI79:DL79)</f>
        <v/>
      </c>
      <c r="DN79" s="61" t="n"/>
      <c r="DO79" s="57" t="n"/>
      <c r="DP79" s="58">
        <f>DF79</f>
        <v/>
      </c>
      <c r="DQ79" s="59" t="n"/>
      <c r="DR79" s="57" t="n"/>
      <c r="DS79" s="57" t="n"/>
      <c r="DT79" s="57" t="n"/>
      <c r="DU79" s="57" t="n"/>
      <c r="DV79" s="60">
        <f>SUM(DR79:DU79)</f>
        <v/>
      </c>
      <c r="DW79" s="61" t="n"/>
      <c r="DX79" s="57" t="n"/>
      <c r="DY79" s="58">
        <f>DO79</f>
        <v/>
      </c>
      <c r="DZ79" s="59" t="n"/>
      <c r="EA79" s="57" t="n"/>
      <c r="EB79" s="57" t="n"/>
      <c r="EC79" s="57" t="n"/>
      <c r="ED79" s="57" t="n"/>
      <c r="EE79" s="60">
        <f>SUM(EA79:ED79)</f>
        <v/>
      </c>
      <c r="EF79" s="61" t="n"/>
      <c r="EG79" s="57" t="n"/>
      <c r="EH79" s="58">
        <f>DX79</f>
        <v/>
      </c>
      <c r="EI79" s="59" t="n"/>
      <c r="EJ79" s="57" t="n"/>
      <c r="EK79" s="57" t="n"/>
      <c r="EL79" s="57" t="n"/>
      <c r="EM79" s="57" t="n"/>
      <c r="EN79" s="60">
        <f>SUM(EJ79:EM79)</f>
        <v/>
      </c>
      <c r="EO79" s="61" t="n"/>
      <c r="EP79" s="57" t="n"/>
      <c r="EQ79" s="58">
        <f>EG79</f>
        <v/>
      </c>
      <c r="ER79" s="59" t="n"/>
      <c r="ES79" s="57" t="n"/>
      <c r="ET79" s="57" t="n"/>
      <c r="EU79" s="57" t="n"/>
      <c r="EV79" s="57" t="n"/>
      <c r="EW79" s="60">
        <f>SUM(ES79:EV79)</f>
        <v/>
      </c>
      <c r="EX79" s="61" t="n"/>
      <c r="EY79" s="57" t="n"/>
      <c r="EZ79" s="58">
        <f>EP79</f>
        <v/>
      </c>
      <c r="FA79" s="59" t="n"/>
      <c r="FB79" s="57" t="n"/>
      <c r="FC79" s="57" t="n"/>
      <c r="FD79" s="57" t="n"/>
      <c r="FE79" s="57" t="n"/>
      <c r="FF79" s="60">
        <f>SUM(FB79:FE79)</f>
        <v/>
      </c>
      <c r="FG79" s="61" t="n"/>
      <c r="FH79" s="57" t="n"/>
      <c r="FI79" s="58">
        <f>EY79</f>
        <v/>
      </c>
      <c r="FJ79" s="59" t="n"/>
      <c r="FK79" s="57" t="n"/>
      <c r="FL79" s="57" t="n"/>
      <c r="FM79" s="57" t="n"/>
      <c r="FN79" s="57" t="n"/>
      <c r="FO79" s="60">
        <f>SUM(FK79:FN79)</f>
        <v/>
      </c>
      <c r="FP79" s="61" t="n"/>
      <c r="FQ79" s="57" t="n"/>
      <c r="FR79" s="58">
        <f>FH79</f>
        <v/>
      </c>
      <c r="FS79" s="59" t="n"/>
      <c r="FT79" s="57" t="n"/>
      <c r="FU79" s="57" t="n"/>
      <c r="FV79" s="57" t="n"/>
      <c r="FW79" s="57" t="n"/>
      <c r="FX79" s="60">
        <f>SUM(FT79:FW79)</f>
        <v/>
      </c>
      <c r="FY79" s="61" t="n"/>
      <c r="FZ79" s="57" t="n"/>
      <c r="GA79" s="58">
        <f>FQ79</f>
        <v/>
      </c>
      <c r="GB79" s="59" t="n"/>
      <c r="GC79" s="57" t="n"/>
      <c r="GD79" s="57" t="n"/>
      <c r="GE79" s="57" t="n"/>
      <c r="GF79" s="57" t="n"/>
      <c r="GG79" s="60">
        <f>SUM(GC79:GF79)</f>
        <v/>
      </c>
      <c r="GH79" s="61" t="n"/>
      <c r="GI79" s="57" t="n"/>
      <c r="GJ79" s="58">
        <f>FZ79</f>
        <v/>
      </c>
      <c r="GK79" s="59" t="n"/>
      <c r="GL79" s="57" t="n"/>
      <c r="GM79" s="57" t="n"/>
      <c r="GN79" s="57" t="n"/>
      <c r="GO79" s="57" t="n"/>
      <c r="GP79" s="60">
        <f>SUM(GL79:GO79)</f>
        <v/>
      </c>
      <c r="GQ79" s="61" t="n"/>
      <c r="GR79" s="57" t="n"/>
      <c r="GS79" s="58">
        <f>GI79</f>
        <v/>
      </c>
      <c r="GT79" s="59" t="n"/>
      <c r="GU79" s="57" t="n"/>
      <c r="GV79" s="57" t="n"/>
      <c r="GW79" s="57" t="n"/>
      <c r="GX79" s="57" t="n"/>
      <c r="GY79" s="60">
        <f>SUM(GU79:GX79)</f>
        <v/>
      </c>
      <c r="GZ79" s="61" t="n"/>
      <c r="HA79" s="57" t="n"/>
      <c r="HB79" s="58">
        <f>GR79</f>
        <v/>
      </c>
      <c r="HC79" s="59" t="n"/>
      <c r="HD79" s="57" t="n"/>
      <c r="HE79" s="57" t="n"/>
      <c r="HF79" s="57" t="n"/>
      <c r="HG79" s="57" t="n"/>
      <c r="HH79" s="60">
        <f>SUM(HD79:HG79)</f>
        <v/>
      </c>
      <c r="HI79" s="61" t="n"/>
      <c r="HJ79" s="57" t="n"/>
      <c r="HK79" s="58">
        <f>HA79</f>
        <v/>
      </c>
      <c r="HL79" s="59" t="n"/>
      <c r="HM79" s="57" t="n"/>
      <c r="HN79" s="57" t="n"/>
      <c r="HO79" s="57" t="n"/>
      <c r="HP79" s="57" t="n"/>
      <c r="HQ79" s="60">
        <f>SUM(HM79:HP79)</f>
        <v/>
      </c>
      <c r="HR79" s="61" t="n"/>
      <c r="HS79" s="57" t="n"/>
      <c r="HT79" s="58">
        <f>HJ79</f>
        <v/>
      </c>
      <c r="HU79" s="59" t="n"/>
      <c r="HV79" s="57" t="n"/>
      <c r="HW79" s="57" t="n"/>
      <c r="HX79" s="57" t="n"/>
      <c r="HY79" s="57" t="n"/>
      <c r="HZ79" s="60">
        <f>SUM(HV79:HY79)</f>
        <v/>
      </c>
      <c r="IA79" s="61" t="n"/>
      <c r="IB79" s="57" t="n"/>
      <c r="IC79" s="58">
        <f>HS79</f>
        <v/>
      </c>
      <c r="ID79" s="59" t="n"/>
      <c r="IE79" s="57" t="n"/>
      <c r="IF79" s="57" t="n"/>
      <c r="IG79" s="57" t="n"/>
      <c r="IH79" s="57" t="n"/>
      <c r="II79" s="60">
        <f>SUM(IE79:IH79)</f>
        <v/>
      </c>
      <c r="IJ79" s="61" t="n"/>
      <c r="IK79" s="57" t="n"/>
      <c r="IL79" s="58">
        <f>IB79</f>
        <v/>
      </c>
      <c r="IM79" s="59" t="n"/>
      <c r="IN79" s="57" t="n"/>
      <c r="IO79" s="57" t="n"/>
      <c r="IP79" s="57" t="n"/>
      <c r="IQ79" s="57" t="n"/>
      <c r="IR79" s="60">
        <f>SUM(IN79:IQ79)</f>
        <v/>
      </c>
      <c r="IS79" s="61" t="n"/>
      <c r="IT79" s="57" t="n"/>
      <c r="IU79" s="58">
        <f>IK79</f>
        <v/>
      </c>
      <c r="IV79" s="59" t="n"/>
      <c r="IW79" s="57" t="n"/>
      <c r="IX79" s="57" t="n"/>
      <c r="IY79" s="57" t="n"/>
      <c r="IZ79" s="57" t="n"/>
      <c r="JA79" s="60">
        <f>SUM(IW79:IZ79)</f>
        <v/>
      </c>
      <c r="JB79" s="61" t="n"/>
      <c r="JC79" s="57" t="n"/>
      <c r="JD79" s="58">
        <f>IT79</f>
        <v/>
      </c>
      <c r="JE79" s="59" t="n"/>
      <c r="JF79" s="57" t="n"/>
      <c r="JG79" s="57" t="n"/>
      <c r="JH79" s="57" t="n"/>
      <c r="JI79" s="57" t="n"/>
      <c r="JJ79" s="60">
        <f>SUM(JF79:JI79)</f>
        <v/>
      </c>
      <c r="JK79" s="61" t="n"/>
      <c r="JL79" s="57" t="n"/>
      <c r="JM79" s="58">
        <f>JC79</f>
        <v/>
      </c>
      <c r="JN79" s="59" t="n"/>
      <c r="JO79" s="57" t="n"/>
      <c r="JP79" s="57" t="n"/>
      <c r="JQ79" s="57" t="n"/>
      <c r="JR79" s="57" t="n"/>
      <c r="JS79" s="60">
        <f>SUM(JO79:JR79)</f>
        <v/>
      </c>
      <c r="JT79" s="61" t="n"/>
      <c r="JU79" s="62">
        <f>I79+R79+AA79+AJ79+AS79+BB79+BK79+BT79+CC79+CL79+CU79+DD79+DM79+DV79+EE79+EN79+EW79+FF79+FO79+FX79+GG79+GP79+GY79+HH79+HQ79+HZ79+II79+IR79+JA79+JJ79+JS79</f>
        <v/>
      </c>
      <c r="JV79" s="63">
        <f>D79+M79+V79+AE79+AN79+AW79+BF79+BO79+BX79+CG79+CP79+CY79+DH79+DQ79+DZ79+EI79+ER79+FA79+FJ79+FS79+GB79+GK79+GT79+HC79+HL79+HU79+ID79+IM79+IV79+JE79+JN79</f>
        <v/>
      </c>
      <c r="JW79" s="62">
        <f>CHOOSE($Z$3,B79, K79, T79, AC79, AL79, AU79, BD79, BM79, BV79, CE79, CN79, CW79, DF79, DO79, DX79, EG79, EP79, EY79, FH79, FQ79, FZ79, GI79, GR79, HA79, HJ79, HS79, IB79, IK79, IT79, JC79, JL79)</f>
        <v/>
      </c>
      <c r="JX79" s="62">
        <f>IFERROR(JU79/$Z$3,0)</f>
        <v/>
      </c>
      <c r="JY79" s="62">
        <f>Configurações!$C$19</f>
        <v/>
      </c>
      <c r="JZ79" s="64">
        <f>IF(JY79=0,"— Sem meta",IF(JU79&gt;=JY79,"✓ Atingida","Em andamento"))</f>
        <v/>
      </c>
      <c r="KA79" s="65">
        <f>JU79+(1*0.0000001)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66:JZ79"/>
  <mergeCells count="65">
    <mergeCell ref="C6:D6"/>
    <mergeCell ref="I6:J6"/>
    <mergeCell ref="G10:I10"/>
    <mergeCell ref="T65:AB65"/>
    <mergeCell ref="CW65:DE65"/>
    <mergeCell ref="IK65:IS65"/>
    <mergeCell ref="FH65:FP65"/>
    <mergeCell ref="JV65:JV66"/>
    <mergeCell ref="C5:D5"/>
    <mergeCell ref="EY65:FG65"/>
    <mergeCell ref="JY65:JY66"/>
    <mergeCell ref="A2:KA2"/>
    <mergeCell ref="E5:F5"/>
    <mergeCell ref="K5:L5"/>
    <mergeCell ref="J9:L9"/>
    <mergeCell ref="AU65:BC65"/>
    <mergeCell ref="GI65:GQ65"/>
    <mergeCell ref="HJ65:HR65"/>
    <mergeCell ref="A6:B6"/>
    <mergeCell ref="A12:L12"/>
    <mergeCell ref="A65:A66"/>
    <mergeCell ref="JL65:JT65"/>
    <mergeCell ref="A8:L8"/>
    <mergeCell ref="FQ65:FY65"/>
    <mergeCell ref="D9:F9"/>
    <mergeCell ref="G6:H6"/>
    <mergeCell ref="B65:J65"/>
    <mergeCell ref="HS65:IA65"/>
    <mergeCell ref="AC65:AK65"/>
    <mergeCell ref="BD65:BL65"/>
    <mergeCell ref="A4:L4"/>
    <mergeCell ref="DO65:DW65"/>
    <mergeCell ref="A10:C10"/>
    <mergeCell ref="CE65:CM65"/>
    <mergeCell ref="DF65:DN65"/>
    <mergeCell ref="E6:F6"/>
    <mergeCell ref="EG65:EO65"/>
    <mergeCell ref="JX65:JX66"/>
    <mergeCell ref="JZ65:JZ66"/>
    <mergeCell ref="K65:S65"/>
    <mergeCell ref="A5:B5"/>
    <mergeCell ref="G5:H5"/>
    <mergeCell ref="A9:C9"/>
    <mergeCell ref="G9:I9"/>
    <mergeCell ref="I5:J5"/>
    <mergeCell ref="A64:KA64"/>
    <mergeCell ref="IT65:JB65"/>
    <mergeCell ref="A1:KA1"/>
    <mergeCell ref="D10:F10"/>
    <mergeCell ref="BV65:CD65"/>
    <mergeCell ref="IB65:IJ65"/>
    <mergeCell ref="CN65:CV65"/>
    <mergeCell ref="BM65:BU65"/>
    <mergeCell ref="DX65:EF65"/>
    <mergeCell ref="JU65:JU66"/>
    <mergeCell ref="J10:L10"/>
    <mergeCell ref="EP65:EX65"/>
    <mergeCell ref="JW65:JW66"/>
    <mergeCell ref="FZ65:GH65"/>
    <mergeCell ref="KA65:KA66"/>
    <mergeCell ref="HA65:HI65"/>
    <mergeCell ref="AL65:AT65"/>
    <mergeCell ref="GR65:GZ65"/>
    <mergeCell ref="JC65:JK65"/>
    <mergeCell ref="K6:L6"/>
  </mergeCells>
  <conditionalFormatting sqref="H14:H26">
    <cfRule type="expression" priority="1" dxfId="0">
      <formula>ISNUMBER(SEARCH("Atingida",H14))</formula>
    </cfRule>
  </conditionalFormatting>
  <conditionalFormatting sqref="B65:JT79">
    <cfRule type="expression" priority="2" dxfId="1">
      <formula>$Z$3&lt;INT((COLUMN()-2)/9)+1</formula>
    </cfRule>
  </conditionalFormatting>
  <conditionalFormatting sqref="D67:D79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I67:I79">
    <cfRule type="colorScale" priority="5">
      <colorScale>
        <cfvo type="min"/>
        <cfvo type="max"/>
        <color rgb="00FFFFFF"/>
        <color rgb="0063BE7B"/>
      </colorScale>
    </cfRule>
  </conditionalFormatting>
  <conditionalFormatting sqref="M67:M79">
    <cfRule type="cellIs" priority="6" operator="greaterThan" dxfId="2">
      <formula>0</formula>
    </cfRule>
    <cfRule type="cellIs" priority="7" operator="lessThan" dxfId="3">
      <formula>0</formula>
    </cfRule>
  </conditionalFormatting>
  <conditionalFormatting sqref="R67:R79">
    <cfRule type="colorScale" priority="8">
      <colorScale>
        <cfvo type="min"/>
        <cfvo type="max"/>
        <color rgb="00FFFFFF"/>
        <color rgb="0063BE7B"/>
      </colorScale>
    </cfRule>
  </conditionalFormatting>
  <conditionalFormatting sqref="V67:V79">
    <cfRule type="cellIs" priority="9" operator="greaterThan" dxfId="2">
      <formula>0</formula>
    </cfRule>
    <cfRule type="cellIs" priority="10" operator="lessThan" dxfId="3">
      <formula>0</formula>
    </cfRule>
  </conditionalFormatting>
  <conditionalFormatting sqref="AA67:AA79">
    <cfRule type="colorScale" priority="11">
      <colorScale>
        <cfvo type="min"/>
        <cfvo type="max"/>
        <color rgb="00FFFFFF"/>
        <color rgb="0063BE7B"/>
      </colorScale>
    </cfRule>
  </conditionalFormatting>
  <conditionalFormatting sqref="AE67:AE79">
    <cfRule type="cellIs" priority="12" operator="greaterThan" dxfId="2">
      <formula>0</formula>
    </cfRule>
    <cfRule type="cellIs" priority="13" operator="lessThan" dxfId="3">
      <formula>0</formula>
    </cfRule>
  </conditionalFormatting>
  <conditionalFormatting sqref="AJ67:AJ79">
    <cfRule type="colorScale" priority="14">
      <colorScale>
        <cfvo type="min"/>
        <cfvo type="max"/>
        <color rgb="00FFFFFF"/>
        <color rgb="0063BE7B"/>
      </colorScale>
    </cfRule>
  </conditionalFormatting>
  <conditionalFormatting sqref="AN67:AN79">
    <cfRule type="cellIs" priority="15" operator="greaterThan" dxfId="2">
      <formula>0</formula>
    </cfRule>
    <cfRule type="cellIs" priority="16" operator="lessThan" dxfId="3">
      <formula>0</formula>
    </cfRule>
  </conditionalFormatting>
  <conditionalFormatting sqref="AS67:AS79">
    <cfRule type="colorScale" priority="17">
      <colorScale>
        <cfvo type="min"/>
        <cfvo type="max"/>
        <color rgb="00FFFFFF"/>
        <color rgb="0063BE7B"/>
      </colorScale>
    </cfRule>
  </conditionalFormatting>
  <conditionalFormatting sqref="AW67:AW79">
    <cfRule type="cellIs" priority="18" operator="greaterThan" dxfId="2">
      <formula>0</formula>
    </cfRule>
    <cfRule type="cellIs" priority="19" operator="lessThan" dxfId="3">
      <formula>0</formula>
    </cfRule>
  </conditionalFormatting>
  <conditionalFormatting sqref="BB67:BB79">
    <cfRule type="colorScale" priority="20">
      <colorScale>
        <cfvo type="min"/>
        <cfvo type="max"/>
        <color rgb="00FFFFFF"/>
        <color rgb="0063BE7B"/>
      </colorScale>
    </cfRule>
  </conditionalFormatting>
  <conditionalFormatting sqref="BF67:BF79">
    <cfRule type="cellIs" priority="21" operator="greaterThan" dxfId="2">
      <formula>0</formula>
    </cfRule>
    <cfRule type="cellIs" priority="22" operator="lessThan" dxfId="3">
      <formula>0</formula>
    </cfRule>
  </conditionalFormatting>
  <conditionalFormatting sqref="BK67:BK79">
    <cfRule type="colorScale" priority="23">
      <colorScale>
        <cfvo type="min"/>
        <cfvo type="max"/>
        <color rgb="00FFFFFF"/>
        <color rgb="0063BE7B"/>
      </colorScale>
    </cfRule>
  </conditionalFormatting>
  <conditionalFormatting sqref="BO67:BO79">
    <cfRule type="cellIs" priority="24" operator="greaterThan" dxfId="2">
      <formula>0</formula>
    </cfRule>
    <cfRule type="cellIs" priority="25" operator="lessThan" dxfId="3">
      <formula>0</formula>
    </cfRule>
  </conditionalFormatting>
  <conditionalFormatting sqref="BT67:BT79">
    <cfRule type="colorScale" priority="26">
      <colorScale>
        <cfvo type="min"/>
        <cfvo type="max"/>
        <color rgb="00FFFFFF"/>
        <color rgb="0063BE7B"/>
      </colorScale>
    </cfRule>
  </conditionalFormatting>
  <conditionalFormatting sqref="BX67:BX79">
    <cfRule type="cellIs" priority="27" operator="greaterThan" dxfId="2">
      <formula>0</formula>
    </cfRule>
    <cfRule type="cellIs" priority="28" operator="lessThan" dxfId="3">
      <formula>0</formula>
    </cfRule>
  </conditionalFormatting>
  <conditionalFormatting sqref="CC67:CC79">
    <cfRule type="colorScale" priority="29">
      <colorScale>
        <cfvo type="min"/>
        <cfvo type="max"/>
        <color rgb="00FFFFFF"/>
        <color rgb="0063BE7B"/>
      </colorScale>
    </cfRule>
  </conditionalFormatting>
  <conditionalFormatting sqref="CG67:CG79">
    <cfRule type="cellIs" priority="30" operator="greaterThan" dxfId="2">
      <formula>0</formula>
    </cfRule>
    <cfRule type="cellIs" priority="31" operator="lessThan" dxfId="3">
      <formula>0</formula>
    </cfRule>
  </conditionalFormatting>
  <conditionalFormatting sqref="CL67:CL79">
    <cfRule type="colorScale" priority="32">
      <colorScale>
        <cfvo type="min"/>
        <cfvo type="max"/>
        <color rgb="00FFFFFF"/>
        <color rgb="0063BE7B"/>
      </colorScale>
    </cfRule>
  </conditionalFormatting>
  <conditionalFormatting sqref="CP67:CP79">
    <cfRule type="cellIs" priority="33" operator="greaterThan" dxfId="2">
      <formula>0</formula>
    </cfRule>
    <cfRule type="cellIs" priority="34" operator="lessThan" dxfId="3">
      <formula>0</formula>
    </cfRule>
  </conditionalFormatting>
  <conditionalFormatting sqref="CU67:CU79">
    <cfRule type="colorScale" priority="35">
      <colorScale>
        <cfvo type="min"/>
        <cfvo type="max"/>
        <color rgb="00FFFFFF"/>
        <color rgb="0063BE7B"/>
      </colorScale>
    </cfRule>
  </conditionalFormatting>
  <conditionalFormatting sqref="CY67:CY79">
    <cfRule type="cellIs" priority="36" operator="greaterThan" dxfId="2">
      <formula>0</formula>
    </cfRule>
    <cfRule type="cellIs" priority="37" operator="lessThan" dxfId="3">
      <formula>0</formula>
    </cfRule>
  </conditionalFormatting>
  <conditionalFormatting sqref="DD67:DD79">
    <cfRule type="colorScale" priority="38">
      <colorScale>
        <cfvo type="min"/>
        <cfvo type="max"/>
        <color rgb="00FFFFFF"/>
        <color rgb="0063BE7B"/>
      </colorScale>
    </cfRule>
  </conditionalFormatting>
  <conditionalFormatting sqref="DH67:DH79">
    <cfRule type="cellIs" priority="39" operator="greaterThan" dxfId="2">
      <formula>0</formula>
    </cfRule>
    <cfRule type="cellIs" priority="40" operator="lessThan" dxfId="3">
      <formula>0</formula>
    </cfRule>
  </conditionalFormatting>
  <conditionalFormatting sqref="DM67:DM79">
    <cfRule type="colorScale" priority="41">
      <colorScale>
        <cfvo type="min"/>
        <cfvo type="max"/>
        <color rgb="00FFFFFF"/>
        <color rgb="0063BE7B"/>
      </colorScale>
    </cfRule>
  </conditionalFormatting>
  <conditionalFormatting sqref="DQ67:DQ79">
    <cfRule type="cellIs" priority="42" operator="greaterThan" dxfId="2">
      <formula>0</formula>
    </cfRule>
    <cfRule type="cellIs" priority="43" operator="lessThan" dxfId="3">
      <formula>0</formula>
    </cfRule>
  </conditionalFormatting>
  <conditionalFormatting sqref="DV67:DV79">
    <cfRule type="colorScale" priority="44">
      <colorScale>
        <cfvo type="min"/>
        <cfvo type="max"/>
        <color rgb="00FFFFFF"/>
        <color rgb="0063BE7B"/>
      </colorScale>
    </cfRule>
  </conditionalFormatting>
  <conditionalFormatting sqref="DZ67:DZ79">
    <cfRule type="cellIs" priority="45" operator="greaterThan" dxfId="2">
      <formula>0</formula>
    </cfRule>
    <cfRule type="cellIs" priority="46" operator="lessThan" dxfId="3">
      <formula>0</formula>
    </cfRule>
  </conditionalFormatting>
  <conditionalFormatting sqref="EE67:EE79">
    <cfRule type="colorScale" priority="47">
      <colorScale>
        <cfvo type="min"/>
        <cfvo type="max"/>
        <color rgb="00FFFFFF"/>
        <color rgb="0063BE7B"/>
      </colorScale>
    </cfRule>
  </conditionalFormatting>
  <conditionalFormatting sqref="EI67:EI79">
    <cfRule type="cellIs" priority="48" operator="greaterThan" dxfId="2">
      <formula>0</formula>
    </cfRule>
    <cfRule type="cellIs" priority="49" operator="lessThan" dxfId="3">
      <formula>0</formula>
    </cfRule>
  </conditionalFormatting>
  <conditionalFormatting sqref="EN67:EN79">
    <cfRule type="colorScale" priority="50">
      <colorScale>
        <cfvo type="min"/>
        <cfvo type="max"/>
        <color rgb="00FFFFFF"/>
        <color rgb="0063BE7B"/>
      </colorScale>
    </cfRule>
  </conditionalFormatting>
  <conditionalFormatting sqref="ER67:ER79">
    <cfRule type="cellIs" priority="51" operator="greaterThan" dxfId="2">
      <formula>0</formula>
    </cfRule>
    <cfRule type="cellIs" priority="52" operator="lessThan" dxfId="3">
      <formula>0</formula>
    </cfRule>
  </conditionalFormatting>
  <conditionalFormatting sqref="EW67:EW79">
    <cfRule type="colorScale" priority="53">
      <colorScale>
        <cfvo type="min"/>
        <cfvo type="max"/>
        <color rgb="00FFFFFF"/>
        <color rgb="0063BE7B"/>
      </colorScale>
    </cfRule>
  </conditionalFormatting>
  <conditionalFormatting sqref="FA67:FA79">
    <cfRule type="cellIs" priority="54" operator="greaterThan" dxfId="2">
      <formula>0</formula>
    </cfRule>
    <cfRule type="cellIs" priority="55" operator="lessThan" dxfId="3">
      <formula>0</formula>
    </cfRule>
  </conditionalFormatting>
  <conditionalFormatting sqref="FF67:FF79">
    <cfRule type="colorScale" priority="56">
      <colorScale>
        <cfvo type="min"/>
        <cfvo type="max"/>
        <color rgb="00FFFFFF"/>
        <color rgb="0063BE7B"/>
      </colorScale>
    </cfRule>
  </conditionalFormatting>
  <conditionalFormatting sqref="FJ67:FJ79">
    <cfRule type="cellIs" priority="57" operator="greaterThan" dxfId="2">
      <formula>0</formula>
    </cfRule>
    <cfRule type="cellIs" priority="58" operator="lessThan" dxfId="3">
      <formula>0</formula>
    </cfRule>
  </conditionalFormatting>
  <conditionalFormatting sqref="FO67:FO79">
    <cfRule type="colorScale" priority="59">
      <colorScale>
        <cfvo type="min"/>
        <cfvo type="max"/>
        <color rgb="00FFFFFF"/>
        <color rgb="0063BE7B"/>
      </colorScale>
    </cfRule>
  </conditionalFormatting>
  <conditionalFormatting sqref="FS67:FS79">
    <cfRule type="cellIs" priority="60" operator="greaterThan" dxfId="2">
      <formula>0</formula>
    </cfRule>
    <cfRule type="cellIs" priority="61" operator="lessThan" dxfId="3">
      <formula>0</formula>
    </cfRule>
  </conditionalFormatting>
  <conditionalFormatting sqref="FX67:FX79">
    <cfRule type="colorScale" priority="62">
      <colorScale>
        <cfvo type="min"/>
        <cfvo type="max"/>
        <color rgb="00FFFFFF"/>
        <color rgb="0063BE7B"/>
      </colorScale>
    </cfRule>
  </conditionalFormatting>
  <conditionalFormatting sqref="GB67:GB79">
    <cfRule type="cellIs" priority="63" operator="greaterThan" dxfId="2">
      <formula>0</formula>
    </cfRule>
    <cfRule type="cellIs" priority="64" operator="lessThan" dxfId="3">
      <formula>0</formula>
    </cfRule>
  </conditionalFormatting>
  <conditionalFormatting sqref="GG67:GG79">
    <cfRule type="colorScale" priority="65">
      <colorScale>
        <cfvo type="min"/>
        <cfvo type="max"/>
        <color rgb="00FFFFFF"/>
        <color rgb="0063BE7B"/>
      </colorScale>
    </cfRule>
  </conditionalFormatting>
  <conditionalFormatting sqref="GK67:GK79">
    <cfRule type="cellIs" priority="66" operator="greaterThan" dxfId="2">
      <formula>0</formula>
    </cfRule>
    <cfRule type="cellIs" priority="67" operator="lessThan" dxfId="3">
      <formula>0</formula>
    </cfRule>
  </conditionalFormatting>
  <conditionalFormatting sqref="GP67:GP79">
    <cfRule type="colorScale" priority="68">
      <colorScale>
        <cfvo type="min"/>
        <cfvo type="max"/>
        <color rgb="00FFFFFF"/>
        <color rgb="0063BE7B"/>
      </colorScale>
    </cfRule>
  </conditionalFormatting>
  <conditionalFormatting sqref="GT67:GT79">
    <cfRule type="cellIs" priority="69" operator="greaterThan" dxfId="2">
      <formula>0</formula>
    </cfRule>
    <cfRule type="cellIs" priority="70" operator="lessThan" dxfId="3">
      <formula>0</formula>
    </cfRule>
  </conditionalFormatting>
  <conditionalFormatting sqref="GY67:GY79">
    <cfRule type="colorScale" priority="71">
      <colorScale>
        <cfvo type="min"/>
        <cfvo type="max"/>
        <color rgb="00FFFFFF"/>
        <color rgb="0063BE7B"/>
      </colorScale>
    </cfRule>
  </conditionalFormatting>
  <conditionalFormatting sqref="HC67:HC79">
    <cfRule type="cellIs" priority="72" operator="greaterThan" dxfId="2">
      <formula>0</formula>
    </cfRule>
    <cfRule type="cellIs" priority="73" operator="lessThan" dxfId="3">
      <formula>0</formula>
    </cfRule>
  </conditionalFormatting>
  <conditionalFormatting sqref="HH67:HH79">
    <cfRule type="colorScale" priority="74">
      <colorScale>
        <cfvo type="min"/>
        <cfvo type="max"/>
        <color rgb="00FFFFFF"/>
        <color rgb="0063BE7B"/>
      </colorScale>
    </cfRule>
  </conditionalFormatting>
  <conditionalFormatting sqref="HL67:HL79">
    <cfRule type="cellIs" priority="75" operator="greaterThan" dxfId="2">
      <formula>0</formula>
    </cfRule>
    <cfRule type="cellIs" priority="76" operator="lessThan" dxfId="3">
      <formula>0</formula>
    </cfRule>
  </conditionalFormatting>
  <conditionalFormatting sqref="HQ67:HQ79">
    <cfRule type="colorScale" priority="77">
      <colorScale>
        <cfvo type="min"/>
        <cfvo type="max"/>
        <color rgb="00FFFFFF"/>
        <color rgb="0063BE7B"/>
      </colorScale>
    </cfRule>
  </conditionalFormatting>
  <conditionalFormatting sqref="HU67:HU79">
    <cfRule type="cellIs" priority="78" operator="greaterThan" dxfId="2">
      <formula>0</formula>
    </cfRule>
    <cfRule type="cellIs" priority="79" operator="lessThan" dxfId="3">
      <formula>0</formula>
    </cfRule>
  </conditionalFormatting>
  <conditionalFormatting sqref="HZ67:HZ79">
    <cfRule type="colorScale" priority="80">
      <colorScale>
        <cfvo type="min"/>
        <cfvo type="max"/>
        <color rgb="00FFFFFF"/>
        <color rgb="0063BE7B"/>
      </colorScale>
    </cfRule>
  </conditionalFormatting>
  <conditionalFormatting sqref="ID67:ID79">
    <cfRule type="cellIs" priority="81" operator="greaterThan" dxfId="2">
      <formula>0</formula>
    </cfRule>
    <cfRule type="cellIs" priority="82" operator="lessThan" dxfId="3">
      <formula>0</formula>
    </cfRule>
  </conditionalFormatting>
  <conditionalFormatting sqref="II67:II79">
    <cfRule type="colorScale" priority="83">
      <colorScale>
        <cfvo type="min"/>
        <cfvo type="max"/>
        <color rgb="00FFFFFF"/>
        <color rgb="0063BE7B"/>
      </colorScale>
    </cfRule>
  </conditionalFormatting>
  <conditionalFormatting sqref="IM67:IM79">
    <cfRule type="cellIs" priority="84" operator="greaterThan" dxfId="2">
      <formula>0</formula>
    </cfRule>
    <cfRule type="cellIs" priority="85" operator="lessThan" dxfId="3">
      <formula>0</formula>
    </cfRule>
  </conditionalFormatting>
  <conditionalFormatting sqref="IR67:IR79">
    <cfRule type="colorScale" priority="86">
      <colorScale>
        <cfvo type="min"/>
        <cfvo type="max"/>
        <color rgb="00FFFFFF"/>
        <color rgb="0063BE7B"/>
      </colorScale>
    </cfRule>
  </conditionalFormatting>
  <conditionalFormatting sqref="IV67:IV79">
    <cfRule type="cellIs" priority="87" operator="greaterThan" dxfId="2">
      <formula>0</formula>
    </cfRule>
    <cfRule type="cellIs" priority="88" operator="lessThan" dxfId="3">
      <formula>0</formula>
    </cfRule>
  </conditionalFormatting>
  <conditionalFormatting sqref="JA67:JA79">
    <cfRule type="colorScale" priority="89">
      <colorScale>
        <cfvo type="min"/>
        <cfvo type="max"/>
        <color rgb="00FFFFFF"/>
        <color rgb="0063BE7B"/>
      </colorScale>
    </cfRule>
  </conditionalFormatting>
  <conditionalFormatting sqref="JE67:JE79">
    <cfRule type="cellIs" priority="90" operator="greaterThan" dxfId="2">
      <formula>0</formula>
    </cfRule>
    <cfRule type="cellIs" priority="91" operator="lessThan" dxfId="3">
      <formula>0</formula>
    </cfRule>
  </conditionalFormatting>
  <conditionalFormatting sqref="JJ67:JJ79">
    <cfRule type="colorScale" priority="92">
      <colorScale>
        <cfvo type="min"/>
        <cfvo type="max"/>
        <color rgb="00FFFFFF"/>
        <color rgb="0063BE7B"/>
      </colorScale>
    </cfRule>
  </conditionalFormatting>
  <conditionalFormatting sqref="JN67:JN79">
    <cfRule type="cellIs" priority="93" operator="greaterThan" dxfId="2">
      <formula>0</formula>
    </cfRule>
    <cfRule type="cellIs" priority="94" operator="lessThan" dxfId="3">
      <formula>0</formula>
    </cfRule>
  </conditionalFormatting>
  <conditionalFormatting sqref="JS67:JS79">
    <cfRule type="colorScale" priority="95">
      <colorScale>
        <cfvo type="min"/>
        <cfvo type="max"/>
        <color rgb="00FFFFFF"/>
        <color rgb="0063BE7B"/>
      </colorScale>
    </cfRule>
  </conditionalFormatting>
  <conditionalFormatting sqref="JZ67:JZ79">
    <cfRule type="expression" priority="96" dxfId="0">
      <formula>ISNUMBER(SEARCH("Atingida",JZ67))</formula>
    </cfRule>
  </conditionalFormatting>
  <dataValidations count="4">
    <dataValidation sqref="B67:B79 K67:K79 T67:T79 AC67:AC79 AL67:AL79 AU67:AU79 BD67:BD79 BM67:BM79 BV67:BV79 CE67:CE79 CN67:CN79 CW67:CW79 DF67:DF79 DO67:DO79 DX67:DX79 EG67:EG79 EP67:EP79 EY67:EY79 FH67:FH79 FQ67:FQ79 FZ67:FZ79 GI67:GI79 GR67:GR79 HA67:HA79 HJ67:HJ79 HS67:HS79 IB67:IB79 IK67:IK79 IT67:IT79 JC67:JC79 JL67:JL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D67:D79 M67:M79 V67:V79 AE67:AE79 AN67:AN79 AW67:AW79 BF67:BF79 BO67:BO79 BX67:BX79 CG67:CG79 CP67:CP79 CY67:CY79 DH67:DH79 DQ67:DQ79 DZ67:DZ79 EI67:EI79 ER67:ER79 FA67:FA79 FJ67:FJ79 FS67:FS79 GB67:GB79 GK67:GK79 GT67:GT79 HC67:HC79 HL67:HL79 HU67:HU79 ID67:ID79 IM67:IM79 IV67:IV79 JE67:JE79 JN67:JN79" showDropDown="0" showInputMessage="0" showErrorMessage="1" allowBlank="1" errorTitle="Valor inválido" error="Informe um valor numérico (positivo ou negativo)." type="decimal" operator="between">
      <formula1>-999999999</formula1>
      <formula2>999999999</formula2>
    </dataValidation>
    <dataValidation sqref="E67:E79 F67:F79 G67:G79 H67:H79 N67:N79 O67:O79 P67:P79 Q67:Q79 W67:W79 X67:X79 Y67:Y79 Z67:Z79 AF67:AF79 AG67:AG79 AH67:AH79 AI67:AI79 AO67:AO79 AP67:AP79 AQ67:AQ79 AR67:AR79 AX67:AX79 AY67:AY79 AZ67:AZ79 BA67:BA79 BG67:BG79 BH67:BH79 BI67:BI79 BJ67:BJ79 BP67:BP79 BQ67:BQ79 BR67:BR79 BS67:BS79 BY67:BY79 BZ67:BZ79 CA67:CA79 CB67:CB79 CH67:CH79 CI67:CI79 CJ67:CJ79 CK67:CK79 CQ67:CQ79 CR67:CR79 CS67:CS79 CT67:CT79 CZ67:CZ79 DA67:DA79 DB67:DB79 DC67:DC79 DI67:DI79 DJ67:DJ79 DK67:DK79 DL67:DL79 DR67:DR79 DS67:DS79 DT67:DT79 DU67:DU79 EA67:EA79 EB67:EB79 EC67:EC79 ED67:ED79 EJ67:EJ79 EK67:EK79 EL67:EL79 EM67:EM79 ES67:ES79 ET67:ET79 EU67:EU79 EV67:EV79 FB67:FB79 FC67:FC79 FD67:FD79 FE67:FE79 FK67:FK79 FL67:FL79 FM67:FM79 FN67:FN79 FT67:FT79 FU67:FU79 FV67:FV79 FW67:FW79 GC67:GC79 GD67:GD79 GE67:GE79 GF67:GF79 GL67:GL79 GM67:GM79 GN67:GN79 GO67:GO79 GU67:GU79 GV67:GV79 GW67:GW79 GX67:GX79 HD67:HD79 HE67:HE79 HF67:HF79 HG67:HG79 HM67:HM79 HN67:HN79 HO67:HO79 HP67:HP79 HV67:HV79 HW67:HW79 HX67:HX79 HY67:HY79 IE67:IE79 IF67:IF79 IG67:IG79 IH67:IH79 IN67:IN79 IO67:IO79 IP67:IP79 IQ67:IQ79 IW67:IW79 IX67:IX79 IY67:IY79 IZ67:IZ79 JF67:JF79 JG67:JG79 JH67:JH79 JI67:JI79 JO67:JO79 JP67:JP79 JQ67:JQ79 JR67:JR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J67:J79 S67:S79 AB67:AB79 AK67:AK79 AT67:AT79 BC67:BC79 BL67:BL79 BU67:BU79 CD67:CD79 CM67:CM79 CV67:CV79 DE67:DE79 DN67:DN79 DW67:DW79 EF67:EF79 EO67:EO79 EX67:EX79 FG67:FG79 FP67:FP79 FY67:FY79 GH67:GH79 GQ67:GQ79 GZ67:GZ79 HI67:HI79 HR67:HR79 IA67:IA79 IJ67:IJ79 IS67:IS79 JB67:JB79 JK67:JK79 JT67:JT79" showDropDown="0" showInputMessage="0" showErrorMessage="1" allowBlank="1" errorTitle="Texto muito longo" error="Limite de 300 caracteres." type="textLength" operator="lessThanOrEqual">
      <formula1>300</formula1>
    </dataValidation>
  </dataValidations>
  <pageMargins left="0.75" right="0.75" top="1" bottom="1" header="0.5" footer="0.5"/>
  <pageSetup orientation="landscape" fitToHeight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I79"/>
  <sheetViews>
    <sheetView showGridLines="0" zoomScale="90" workbookViewId="0">
      <pane xSplit="1" ySplit="66" topLeftCell="B6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11" customWidth="1" min="5" max="5"/>
    <col width="12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4" customWidth="1" min="13" max="13"/>
    <col width="11" customWidth="1" min="14" max="14"/>
    <col width="12" customWidth="1" min="15" max="15"/>
    <col width="13" customWidth="1" min="16" max="16"/>
    <col width="13" customWidth="1" min="17" max="17"/>
    <col width="13" customWidth="1" min="18" max="18"/>
    <col width="20" customWidth="1" min="19" max="19"/>
    <col width="13" customWidth="1" min="20" max="20"/>
    <col width="13" customWidth="1" min="21" max="21"/>
    <col width="14" customWidth="1" min="22" max="22"/>
    <col width="11" customWidth="1" min="23" max="23"/>
    <col width="12" customWidth="1" min="24" max="24"/>
    <col width="13" customWidth="1" min="25" max="25"/>
    <col width="13" customWidth="1" min="26" max="26"/>
    <col width="13" customWidth="1" min="27" max="27"/>
    <col width="20" customWidth="1" min="28" max="28"/>
    <col width="13" customWidth="1" min="29" max="29"/>
    <col width="13" customWidth="1" min="30" max="30"/>
    <col width="14" customWidth="1" min="31" max="31"/>
    <col width="11" customWidth="1" min="32" max="32"/>
    <col width="12" customWidth="1" min="33" max="33"/>
    <col width="13" customWidth="1" min="34" max="34"/>
    <col width="13" customWidth="1" min="35" max="35"/>
    <col width="13" customWidth="1" min="36" max="36"/>
    <col width="20" customWidth="1" min="37" max="37"/>
    <col width="13" customWidth="1" min="38" max="38"/>
    <col width="13" customWidth="1" min="39" max="39"/>
    <col width="14" customWidth="1" min="40" max="40"/>
    <col width="11" customWidth="1" min="41" max="41"/>
    <col width="12" customWidth="1" min="42" max="42"/>
    <col width="13" customWidth="1" min="43" max="43"/>
    <col width="13" customWidth="1" min="44" max="44"/>
    <col width="13" customWidth="1" min="45" max="45"/>
    <col width="20" customWidth="1" min="46" max="46"/>
    <col width="13" customWidth="1" min="47" max="47"/>
    <col width="13" customWidth="1" min="48" max="48"/>
    <col width="14" customWidth="1" min="49" max="49"/>
    <col width="11" customWidth="1" min="50" max="50"/>
    <col width="12" customWidth="1" min="51" max="51"/>
    <col width="13" customWidth="1" min="52" max="52"/>
    <col width="13" customWidth="1" min="53" max="53"/>
    <col width="13" customWidth="1" min="54" max="54"/>
    <col width="20" customWidth="1" min="55" max="55"/>
    <col width="13" customWidth="1" min="56" max="56"/>
    <col width="13" customWidth="1" min="57" max="57"/>
    <col width="14" customWidth="1" min="58" max="58"/>
    <col width="11" customWidth="1" min="59" max="59"/>
    <col width="12" customWidth="1" min="60" max="60"/>
    <col width="13" customWidth="1" min="61" max="61"/>
    <col width="13" customWidth="1" min="62" max="62"/>
    <col width="13" customWidth="1" min="63" max="63"/>
    <col width="20" customWidth="1" min="64" max="64"/>
    <col width="13" customWidth="1" min="65" max="65"/>
    <col width="13" customWidth="1" min="66" max="66"/>
    <col width="14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20" customWidth="1" min="73" max="73"/>
    <col width="13" customWidth="1" min="74" max="74"/>
    <col width="13" customWidth="1" min="75" max="75"/>
    <col width="14" customWidth="1" min="76" max="76"/>
    <col width="11" customWidth="1" min="77" max="77"/>
    <col width="12" customWidth="1" min="78" max="78"/>
    <col width="13" customWidth="1" min="79" max="79"/>
    <col width="13" customWidth="1" min="80" max="80"/>
    <col width="13" customWidth="1" min="81" max="81"/>
    <col width="20" customWidth="1" min="82" max="82"/>
    <col width="13" customWidth="1" min="83" max="83"/>
    <col width="13" customWidth="1" min="84" max="84"/>
    <col width="14" customWidth="1" min="85" max="85"/>
    <col width="11" customWidth="1" min="86" max="86"/>
    <col width="12" customWidth="1" min="87" max="87"/>
    <col width="13" customWidth="1" min="88" max="88"/>
    <col width="13" customWidth="1" min="89" max="89"/>
    <col width="13" customWidth="1" min="90" max="90"/>
    <col width="20" customWidth="1" min="91" max="91"/>
    <col width="13" customWidth="1" min="92" max="92"/>
    <col width="13" customWidth="1" min="93" max="93"/>
    <col width="14" customWidth="1" min="94" max="94"/>
    <col width="11" customWidth="1" min="95" max="95"/>
    <col width="12" customWidth="1" min="96" max="96"/>
    <col width="13" customWidth="1" min="97" max="97"/>
    <col width="13" customWidth="1" min="98" max="98"/>
    <col width="13" customWidth="1" min="99" max="99"/>
    <col width="20" customWidth="1" min="100" max="100"/>
    <col width="13" customWidth="1" min="101" max="101"/>
    <col width="13" customWidth="1" min="102" max="102"/>
    <col width="14" customWidth="1" min="103" max="103"/>
    <col width="11" customWidth="1" min="104" max="104"/>
    <col width="12" customWidth="1" min="105" max="105"/>
    <col width="13" customWidth="1" min="106" max="106"/>
    <col width="13" customWidth="1" min="107" max="107"/>
    <col width="13" customWidth="1" min="108" max="108"/>
    <col width="20" customWidth="1" min="109" max="109"/>
    <col width="13" customWidth="1" min="110" max="110"/>
    <col width="13" customWidth="1" min="111" max="111"/>
    <col width="14" customWidth="1" min="112" max="112"/>
    <col width="11" customWidth="1" min="113" max="113"/>
    <col width="12" customWidth="1" min="114" max="114"/>
    <col width="13" customWidth="1" min="115" max="115"/>
    <col width="13" customWidth="1" min="116" max="116"/>
    <col width="13" customWidth="1" min="117" max="117"/>
    <col width="20" customWidth="1" min="118" max="118"/>
    <col width="13" customWidth="1" min="119" max="119"/>
    <col width="13" customWidth="1" min="120" max="120"/>
    <col width="14" customWidth="1" min="121" max="121"/>
    <col width="11" customWidth="1" min="122" max="122"/>
    <col width="12" customWidth="1" min="123" max="123"/>
    <col width="13" customWidth="1" min="124" max="124"/>
    <col width="13" customWidth="1" min="125" max="125"/>
    <col width="13" customWidth="1" min="126" max="126"/>
    <col width="20" customWidth="1" min="127" max="127"/>
    <col width="13" customWidth="1" min="128" max="128"/>
    <col width="13" customWidth="1" min="129" max="129"/>
    <col width="14" customWidth="1" min="130" max="130"/>
    <col width="11" customWidth="1" min="131" max="131"/>
    <col width="12" customWidth="1" min="132" max="132"/>
    <col width="13" customWidth="1" min="133" max="133"/>
    <col width="13" customWidth="1" min="134" max="134"/>
    <col width="13" customWidth="1" min="135" max="135"/>
    <col width="20" customWidth="1" min="136" max="136"/>
    <col width="13" customWidth="1" min="137" max="137"/>
    <col width="13" customWidth="1" min="138" max="138"/>
    <col width="14" customWidth="1" min="139" max="139"/>
    <col width="11" customWidth="1" min="140" max="140"/>
    <col width="12" customWidth="1" min="141" max="141"/>
    <col width="13" customWidth="1" min="142" max="142"/>
    <col width="13" customWidth="1" min="143" max="143"/>
    <col width="13" customWidth="1" min="144" max="144"/>
    <col width="20" customWidth="1" min="145" max="145"/>
    <col width="13" customWidth="1" min="146" max="146"/>
    <col width="13" customWidth="1" min="147" max="147"/>
    <col width="14" customWidth="1" min="148" max="148"/>
    <col width="11" customWidth="1" min="149" max="149"/>
    <col width="12" customWidth="1" min="150" max="150"/>
    <col width="13" customWidth="1" min="151" max="151"/>
    <col width="13" customWidth="1" min="152" max="152"/>
    <col width="13" customWidth="1" min="153" max="153"/>
    <col width="20" customWidth="1" min="154" max="154"/>
    <col width="13" customWidth="1" min="155" max="155"/>
    <col width="13" customWidth="1" min="156" max="156"/>
    <col width="14" customWidth="1" min="157" max="157"/>
    <col width="11" customWidth="1" min="158" max="158"/>
    <col width="12" customWidth="1" min="159" max="159"/>
    <col width="13" customWidth="1" min="160" max="160"/>
    <col width="13" customWidth="1" min="161" max="161"/>
    <col width="13" customWidth="1" min="162" max="162"/>
    <col width="20" customWidth="1" min="163" max="163"/>
    <col width="13" customWidth="1" min="164" max="164"/>
    <col width="13" customWidth="1" min="165" max="165"/>
    <col width="14" customWidth="1" min="166" max="166"/>
    <col width="11" customWidth="1" min="167" max="167"/>
    <col width="12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13" customWidth="1" min="173" max="173"/>
    <col width="13" customWidth="1" min="174" max="174"/>
    <col width="14" customWidth="1" min="175" max="175"/>
    <col width="11" customWidth="1" min="176" max="176"/>
    <col width="12" customWidth="1" min="177" max="177"/>
    <col width="13" customWidth="1" min="178" max="178"/>
    <col width="13" customWidth="1" min="179" max="179"/>
    <col width="13" customWidth="1" min="180" max="180"/>
    <col width="20" customWidth="1" min="181" max="181"/>
    <col width="13" customWidth="1" min="182" max="182"/>
    <col width="13" customWidth="1" min="183" max="183"/>
    <col width="14" customWidth="1" min="184" max="184"/>
    <col width="11" customWidth="1" min="185" max="185"/>
    <col width="12" customWidth="1" min="186" max="186"/>
    <col width="13" customWidth="1" min="187" max="187"/>
    <col width="13" customWidth="1" min="188" max="188"/>
    <col width="13" customWidth="1" min="189" max="189"/>
    <col width="20" customWidth="1" min="190" max="190"/>
    <col width="13" customWidth="1" min="191" max="191"/>
    <col width="13" customWidth="1" min="192" max="192"/>
    <col width="14" customWidth="1" min="193" max="193"/>
    <col width="11" customWidth="1" min="194" max="194"/>
    <col width="12" customWidth="1" min="195" max="195"/>
    <col width="13" customWidth="1" min="196" max="196"/>
    <col width="13" customWidth="1" min="197" max="197"/>
    <col width="13" customWidth="1" min="198" max="198"/>
    <col width="20" customWidth="1" min="199" max="199"/>
    <col width="13" customWidth="1" min="200" max="200"/>
    <col width="13" customWidth="1" min="201" max="201"/>
    <col width="14" customWidth="1" min="202" max="202"/>
    <col width="11" customWidth="1" min="203" max="203"/>
    <col width="12" customWidth="1" min="204" max="204"/>
    <col width="13" customWidth="1" min="205" max="205"/>
    <col width="13" customWidth="1" min="206" max="206"/>
    <col width="13" customWidth="1" min="207" max="207"/>
    <col width="20" customWidth="1" min="208" max="208"/>
    <col width="13" customWidth="1" min="209" max="209"/>
    <col width="13" customWidth="1" min="210" max="210"/>
    <col width="14" customWidth="1" min="211" max="211"/>
    <col width="11" customWidth="1" min="212" max="212"/>
    <col width="12" customWidth="1" min="213" max="213"/>
    <col width="13" customWidth="1" min="214" max="214"/>
    <col width="13" customWidth="1" min="215" max="215"/>
    <col width="13" customWidth="1" min="216" max="216"/>
    <col width="20" customWidth="1" min="217" max="217"/>
    <col width="13" customWidth="1" min="218" max="218"/>
    <col width="13" customWidth="1" min="219" max="219"/>
    <col width="14" customWidth="1" min="220" max="220"/>
    <col width="11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20" customWidth="1" min="226" max="226"/>
    <col width="13" customWidth="1" min="227" max="227"/>
    <col width="13" customWidth="1" min="228" max="228"/>
    <col width="14" customWidth="1" min="229" max="229"/>
    <col width="11" customWidth="1" min="230" max="230"/>
    <col width="12" customWidth="1" min="231" max="231"/>
    <col width="13" customWidth="1" min="232" max="232"/>
    <col width="13" customWidth="1" min="233" max="233"/>
    <col width="13" customWidth="1" min="234" max="234"/>
    <col width="20" customWidth="1" min="235" max="235"/>
    <col width="13" customWidth="1" min="236" max="236"/>
    <col width="13" customWidth="1" min="237" max="237"/>
    <col width="14" customWidth="1" min="238" max="238"/>
    <col width="11" customWidth="1" min="239" max="239"/>
    <col width="12" customWidth="1" min="240" max="240"/>
    <col width="13" customWidth="1" min="241" max="241"/>
    <col width="13" customWidth="1" min="242" max="242"/>
    <col width="13" customWidth="1" min="243" max="243"/>
    <col width="20" customWidth="1" min="244" max="244"/>
    <col width="13" customWidth="1" min="245" max="245"/>
    <col width="13" customWidth="1" min="246" max="246"/>
    <col width="14" customWidth="1" min="247" max="247"/>
    <col width="11" customWidth="1" min="248" max="248"/>
    <col width="12" customWidth="1" min="249" max="249"/>
    <col width="13" customWidth="1" min="250" max="250"/>
    <col width="13" customWidth="1" min="251" max="251"/>
    <col width="13" customWidth="1" min="252" max="252"/>
    <col width="20" customWidth="1" min="253" max="253"/>
    <col width="13" customWidth="1" min="254" max="254"/>
    <col width="13" customWidth="1" min="255" max="255"/>
    <col width="14" customWidth="1" min="256" max="256"/>
    <col width="11" customWidth="1" min="257" max="257"/>
    <col width="12" customWidth="1" min="258" max="258"/>
    <col width="13" customWidth="1" min="259" max="259"/>
    <col width="13" customWidth="1" min="260" max="260"/>
    <col width="13" customWidth="1" min="261" max="261"/>
    <col width="20" customWidth="1" min="262" max="262"/>
    <col width="13" customWidth="1" min="263" max="263"/>
    <col width="13" customWidth="1" min="264" max="264"/>
    <col width="14" customWidth="1" min="265" max="265"/>
    <col width="11" customWidth="1" min="266" max="266"/>
    <col width="12" customWidth="1" min="267" max="267"/>
    <col width="13" customWidth="1" min="268" max="268"/>
    <col width="13" customWidth="1" min="269" max="269"/>
    <col width="13" customWidth="1" min="270" max="270"/>
    <col width="20" customWidth="1" min="271" max="271"/>
    <col width="13" customWidth="1" min="272" max="272"/>
    <col width="13" customWidth="1" min="273" max="273"/>
    <col width="14" customWidth="1" min="274" max="274"/>
    <col width="11" customWidth="1" min="275" max="275"/>
    <col width="12" customWidth="1" min="276" max="276"/>
    <col width="13" customWidth="1" min="277" max="277"/>
    <col width="13" customWidth="1" min="278" max="278"/>
    <col width="13" customWidth="1" min="279" max="279"/>
    <col width="20" customWidth="1" min="280" max="280"/>
    <col width="16" customWidth="1" min="281" max="281"/>
    <col width="16" customWidth="1" min="282" max="282"/>
    <col width="16" customWidth="1" min="283" max="283"/>
    <col width="14" customWidth="1" min="284" max="284"/>
    <col width="14" customWidth="1" min="285" max="285"/>
    <col width="14" customWidth="1" min="286" max="286"/>
    <col hidden="1" width="10" customWidth="1" min="287" max="287"/>
    <col hidden="1" width="16" customWidth="1" min="289" max="289"/>
    <col hidden="1" width="16" customWidth="1" min="290" max="290"/>
    <col hidden="1" width="16" customWidth="1" min="291" max="291"/>
    <col hidden="1" width="16" customWidth="1" min="292" max="292"/>
    <col hidden="1" width="16" customWidth="1" min="294" max="294"/>
    <col hidden="1" width="16" customWidth="1" min="295" max="295"/>
  </cols>
  <sheetData>
    <row r="1" ht="32" customHeight="1">
      <c r="A1" s="11">
        <f>"ACOMPANHAMENTO DIÁRIO DE ASSESSORES — MARÇO / "&amp;Configurações!$B$3</f>
        <v/>
      </c>
      <c r="KC1" t="inlineStr">
        <is>
          <t>Dia</t>
        </is>
      </c>
      <c r="KD1" t="inlineStr">
        <is>
          <t>Data</t>
        </is>
      </c>
      <c r="KE1" t="inlineStr">
        <is>
          <t>Produção do Dia</t>
        </is>
      </c>
      <c r="KF1" t="inlineStr">
        <is>
          <t>Captação do Dia</t>
        </is>
      </c>
    </row>
    <row r="2" ht="18" customHeight="1">
      <c r="A2" s="12">
        <f>"Dias no mês: "&amp;$Z$3&amp;"   |   Cada assessor ocupa 1 linha. Role para a direita para ver os dias. Apenas as células destacadas em amarelo são editáveis."</f>
        <v/>
      </c>
      <c r="KC2" s="13" t="n">
        <v>1</v>
      </c>
      <c r="KD2" s="14">
        <f>IF(1&lt;=$Z$3,DATE(Configurações!$B$3,3,1),"")</f>
        <v/>
      </c>
      <c r="KE2" s="13">
        <f>SUM($I$67:$I$79)</f>
        <v/>
      </c>
      <c r="KF2" s="13">
        <f>SUM($D$67:$D$79)</f>
        <v/>
      </c>
      <c r="KH2" t="inlineStr">
        <is>
          <t>COE</t>
        </is>
      </c>
      <c r="KI2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</row>
    <row r="3">
      <c r="Y3" s="15" t="inlineStr">
        <is>
          <t>Dias no mês</t>
        </is>
      </c>
      <c r="Z3" s="16">
        <f>DAY(EOMONTH(DATE(Configurações!$B$3,3,1),0))</f>
        <v/>
      </c>
      <c r="KC3" s="13" t="n">
        <v>2</v>
      </c>
      <c r="KD3" s="14">
        <f>IF(2&lt;=$Z$3,DATE(Configurações!$B$3,3,2),"")</f>
        <v/>
      </c>
      <c r="KE3" s="13">
        <f>SUM($R$67:$R$79)</f>
        <v/>
      </c>
      <c r="KF3" s="13">
        <f>SUM($M$67:$M$79)</f>
        <v/>
      </c>
      <c r="KH3" t="inlineStr">
        <is>
          <t>PREVIDÊNCIA</t>
        </is>
      </c>
      <c r="KI3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</row>
    <row r="4" ht="22" customHeight="1">
      <c r="A4" s="17" t="inlineStr">
        <is>
          <t>📊  INDICADORES DO MÊS</t>
        </is>
      </c>
      <c r="KC4" s="13" t="n">
        <v>3</v>
      </c>
      <c r="KD4" s="14">
        <f>IF(3&lt;=$Z$3,DATE(Configurações!$B$3,3,3),"")</f>
        <v/>
      </c>
      <c r="KE4" s="13">
        <f>SUM($AA$67:$AA$79)</f>
        <v/>
      </c>
      <c r="KF4" s="13">
        <f>SUM($V$67:$V$79)</f>
        <v/>
      </c>
      <c r="KH4" t="inlineStr">
        <is>
          <t>CRÉDITO PRIVADO</t>
        </is>
      </c>
      <c r="KI4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</row>
    <row r="5" ht="26" customHeight="1">
      <c r="A5" s="18" t="inlineStr">
        <is>
          <t>PRODUÇÃO TOTAL DO MÊS</t>
        </is>
      </c>
      <c r="C5" s="18" t="inlineStr">
        <is>
          <t>CAPTAÇÃO LÍQUIDA DO MÊS</t>
        </is>
      </c>
      <c r="E5" s="18" t="inlineStr">
        <is>
          <t>SALDO PULSO TOTAL (ATUAL)</t>
        </is>
      </c>
      <c r="G5" s="18" t="inlineStr">
        <is>
          <t>MÉDIA DIÁRIA DA EQUIPE</t>
        </is>
      </c>
      <c r="I5" s="18" t="inlineStr">
        <is>
          <t>MELHOR DIA DE PRODUÇÃO</t>
        </is>
      </c>
      <c r="K5" s="18" t="inlineStr">
        <is>
          <t>MELHOR ASSESSOR DO MÊS</t>
        </is>
      </c>
      <c r="KC5" s="13" t="n">
        <v>4</v>
      </c>
      <c r="KD5" s="14">
        <f>IF(4&lt;=$Z$3,DATE(Configurações!$B$3,3,4),"")</f>
        <v/>
      </c>
      <c r="KE5" s="13">
        <f>SUM($AJ$67:$AJ$79)</f>
        <v/>
      </c>
      <c r="KF5" s="13">
        <f>SUM($AE$67:$AE$79)</f>
        <v/>
      </c>
      <c r="KH5" t="inlineStr">
        <is>
          <t>TÍTULOS PÚBLICOS</t>
        </is>
      </c>
      <c r="KI5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</row>
    <row r="6" ht="30" customHeight="1">
      <c r="A6" s="19">
        <f>SUM($JU$67:$JU$79)</f>
        <v/>
      </c>
      <c r="C6" s="19">
        <f>SUM($JV$67:$JV$79)</f>
        <v/>
      </c>
      <c r="E6" s="19">
        <f>SUM($JW$67:$JW$79)</f>
        <v/>
      </c>
      <c r="G6" s="19">
        <f>IFERROR(SUM($JU$67:$JU$79)/$Z$3,0)</f>
        <v/>
      </c>
      <c r="I6" s="20">
        <f>IFERROR("Dia "&amp;TEXT(INDEX($KD$2:$KD$32,MATCH(MAX($KE$2:$KE$32),$KE$2:$KE$32,0)),"dd/mm")&amp;"  -  "&amp;TEXT(MAX($KE$2:$KE$32),"R$ #,##0"),"—")</f>
        <v/>
      </c>
      <c r="K6" s="20">
        <f>IFERROR($B$14&amp;"  -  "&amp;TEXT($C$14,"R$ #,##0"),"—")</f>
        <v/>
      </c>
      <c r="KC6" s="13" t="n">
        <v>5</v>
      </c>
      <c r="KD6" s="14">
        <f>IF(5&lt;=$Z$3,DATE(Configurações!$B$3,3,5),"")</f>
        <v/>
      </c>
      <c r="KE6" s="13">
        <f>SUM($AS$67:$AS$79)</f>
        <v/>
      </c>
      <c r="KF6" s="13">
        <f>SUM($AN$67:$AN$79)</f>
        <v/>
      </c>
    </row>
    <row r="7">
      <c r="KC7" s="13" t="n">
        <v>6</v>
      </c>
      <c r="KD7" s="14">
        <f>IF(6&lt;=$Z$3,DATE(Configurações!$B$3,3,6),"")</f>
        <v/>
      </c>
      <c r="KE7" s="13">
        <f>SUM($BB$67:$BB$79)</f>
        <v/>
      </c>
      <c r="KF7" s="13">
        <f>SUM($AW$67:$AW$79)</f>
        <v/>
      </c>
    </row>
    <row r="8" ht="22" customHeight="1">
      <c r="A8" s="17" t="inlineStr">
        <is>
          <t>💰  TOTAIS POR PRODUTO</t>
        </is>
      </c>
      <c r="KC8" s="13" t="n">
        <v>7</v>
      </c>
      <c r="KD8" s="14">
        <f>IF(7&lt;=$Z$3,DATE(Configurações!$B$3,3,7),"")</f>
        <v/>
      </c>
      <c r="KE8" s="13">
        <f>SUM($BK$67:$BK$79)</f>
        <v/>
      </c>
      <c r="KF8" s="13">
        <f>SUM($BF$67:$BF$79)</f>
        <v/>
      </c>
    </row>
    <row r="9" ht="20" customHeight="1">
      <c r="A9" s="18" t="inlineStr">
        <is>
          <t>COE</t>
        </is>
      </c>
      <c r="D9" s="18" t="inlineStr">
        <is>
          <t>PREVIDÊNCIA</t>
        </is>
      </c>
      <c r="G9" s="18" t="inlineStr">
        <is>
          <t>CRÉDITO PRIVADO</t>
        </is>
      </c>
      <c r="J9" s="18" t="inlineStr">
        <is>
          <t>TÍTULOS PÚBLICOS</t>
        </is>
      </c>
      <c r="KC9" s="13" t="n">
        <v>8</v>
      </c>
      <c r="KD9" s="14">
        <f>IF(8&lt;=$Z$3,DATE(Configurações!$B$3,3,8),"")</f>
        <v/>
      </c>
      <c r="KE9" s="13">
        <f>SUM($BT$67:$BT$79)</f>
        <v/>
      </c>
      <c r="KF9" s="13">
        <f>SUM($BO$67:$BO$79)</f>
        <v/>
      </c>
    </row>
    <row r="10" ht="26" customHeight="1">
      <c r="A10" s="19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  <c r="D10" s="19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  <c r="G10" s="19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  <c r="J10" s="19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  <c r="KC10" s="13" t="n">
        <v>9</v>
      </c>
      <c r="KD10" s="14">
        <f>IF(9&lt;=$Z$3,DATE(Configurações!$B$3,3,9),"")</f>
        <v/>
      </c>
      <c r="KE10" s="13">
        <f>SUM($CC$67:$CC$79)</f>
        <v/>
      </c>
      <c r="KF10" s="13">
        <f>SUM($BX$67:$BX$79)</f>
        <v/>
      </c>
    </row>
    <row r="11">
      <c r="KC11" s="13" t="n">
        <v>10</v>
      </c>
      <c r="KD11" s="14">
        <f>IF(10&lt;=$Z$3,DATE(Configurações!$B$3,3,10),"")</f>
        <v/>
      </c>
      <c r="KE11" s="13">
        <f>SUM($CL$67:$CL$79)</f>
        <v/>
      </c>
      <c r="KF11" s="13">
        <f>SUM($CG$67:$CG$79)</f>
        <v/>
      </c>
    </row>
    <row r="12" ht="22" customHeight="1">
      <c r="A12" s="17" t="inlineStr">
        <is>
          <t>🏆  RANKING DE ASSESSORES (TOP 5 EM DESTAQUE)</t>
        </is>
      </c>
      <c r="KC12" s="13" t="n">
        <v>11</v>
      </c>
      <c r="KD12" s="14">
        <f>IF(11&lt;=$Z$3,DATE(Configurações!$B$3,3,11),"")</f>
        <v/>
      </c>
      <c r="KE12" s="13">
        <f>SUM($CU$67:$CU$79)</f>
        <v/>
      </c>
      <c r="KF12" s="13">
        <f>SUM($CP$67:$CP$79)</f>
        <v/>
      </c>
    </row>
    <row r="13" ht="22" customHeight="1">
      <c r="A13" s="5" t="inlineStr">
        <is>
          <t>Pos.</t>
        </is>
      </c>
      <c r="B13" s="5" t="inlineStr">
        <is>
          <t>Assessor</t>
        </is>
      </c>
      <c r="C13" s="5" t="inlineStr">
        <is>
          <t>Produção Total</t>
        </is>
      </c>
      <c r="D13" s="5" t="inlineStr">
        <is>
          <t>Captação Líquida</t>
        </is>
      </c>
      <c r="E13" s="5" t="inlineStr">
        <is>
          <t>Saldo Pulso Atual</t>
        </is>
      </c>
      <c r="F13" s="5" t="inlineStr">
        <is>
          <t>Média Diária</t>
        </is>
      </c>
      <c r="G13" s="5" t="inlineStr">
        <is>
          <t>Meta Mensal</t>
        </is>
      </c>
      <c r="H13" s="5" t="inlineStr">
        <is>
          <t>Status</t>
        </is>
      </c>
      <c r="KC13" s="13" t="n">
        <v>12</v>
      </c>
      <c r="KD13" s="14">
        <f>IF(12&lt;=$Z$3,DATE(Configurações!$B$3,3,12),"")</f>
        <v/>
      </c>
      <c r="KE13" s="13">
        <f>SUM($DD$67:$DD$79)</f>
        <v/>
      </c>
      <c r="KF13" s="13">
        <f>SUM($CY$67:$CY$79)</f>
        <v/>
      </c>
    </row>
    <row r="14" ht="18" customHeight="1">
      <c r="A14" s="21" t="n">
        <v>1</v>
      </c>
      <c r="B14" s="22">
        <f>INDEX($A$67:$A$79,MATCH(LARGE($KA$67:$KA$79,1),$KA$67:$KA$79,0))</f>
        <v/>
      </c>
      <c r="C14" s="23">
        <f>INDEX($JU$67:$JU$79,MATCH(LARGE($KA$67:$KA$79,1),$KA$67:$KA$79,0))</f>
        <v/>
      </c>
      <c r="D14" s="24">
        <f>INDEX($JV$67:$JV$79,MATCH(LARGE($KA$67:$KA$79,1),$KA$67:$KA$79,0))</f>
        <v/>
      </c>
      <c r="E14" s="23">
        <f>INDEX($JW$67:$JW$79,MATCH(LARGE($KA$67:$KA$79,1),$KA$67:$KA$79,0))</f>
        <v/>
      </c>
      <c r="F14" s="23">
        <f>INDEX($JX$67:$JX$79,MATCH(LARGE($KA$67:$KA$79,1),$KA$67:$KA$79,0))</f>
        <v/>
      </c>
      <c r="G14" s="23">
        <f>INDEX($JY$67:$JY$79,MATCH(LARGE($KA$67:$KA$79,1),$KA$67:$KA$79,0))</f>
        <v/>
      </c>
      <c r="H14" s="25">
        <f>IF(G14=0,"— Sem meta",IF(C14&gt;=G14,"✓ Meta atingida","Em andamento"))</f>
        <v/>
      </c>
      <c r="KC14" s="13" t="n">
        <v>13</v>
      </c>
      <c r="KD14" s="14">
        <f>IF(13&lt;=$Z$3,DATE(Configurações!$B$3,3,13),"")</f>
        <v/>
      </c>
      <c r="KE14" s="13">
        <f>SUM($DM$67:$DM$79)</f>
        <v/>
      </c>
      <c r="KF14" s="13">
        <f>SUM($DH$67:$DH$79)</f>
        <v/>
      </c>
    </row>
    <row r="15" ht="18" customHeight="1">
      <c r="A15" s="26" t="n">
        <v>2</v>
      </c>
      <c r="B15" s="27">
        <f>INDEX($A$67:$A$79,MATCH(LARGE($KA$67:$KA$79,2),$KA$67:$KA$79,0))</f>
        <v/>
      </c>
      <c r="C15" s="28">
        <f>INDEX($JU$67:$JU$79,MATCH(LARGE($KA$67:$KA$79,2),$KA$67:$KA$79,0))</f>
        <v/>
      </c>
      <c r="D15" s="29">
        <f>INDEX($JV$67:$JV$79,MATCH(LARGE($KA$67:$KA$79,2),$KA$67:$KA$79,0))</f>
        <v/>
      </c>
      <c r="E15" s="28">
        <f>INDEX($JW$67:$JW$79,MATCH(LARGE($KA$67:$KA$79,2),$KA$67:$KA$79,0))</f>
        <v/>
      </c>
      <c r="F15" s="28">
        <f>INDEX($JX$67:$JX$79,MATCH(LARGE($KA$67:$KA$79,2),$KA$67:$KA$79,0))</f>
        <v/>
      </c>
      <c r="G15" s="28">
        <f>INDEX($JY$67:$JY$79,MATCH(LARGE($KA$67:$KA$79,2),$KA$67:$KA$79,0))</f>
        <v/>
      </c>
      <c r="H15" s="30">
        <f>IF(G15=0,"— Sem meta",IF(C15&gt;=G15,"✓ Meta atingida","Em andamento"))</f>
        <v/>
      </c>
      <c r="KC15" s="13" t="n">
        <v>14</v>
      </c>
      <c r="KD15" s="14">
        <f>IF(14&lt;=$Z$3,DATE(Configurações!$B$3,3,14),"")</f>
        <v/>
      </c>
      <c r="KE15" s="13">
        <f>SUM($DV$67:$DV$79)</f>
        <v/>
      </c>
      <c r="KF15" s="13">
        <f>SUM($DQ$67:$DQ$79)</f>
        <v/>
      </c>
    </row>
    <row r="16" ht="18" customHeight="1">
      <c r="A16" s="31" t="n">
        <v>3</v>
      </c>
      <c r="B16" s="32">
        <f>INDEX($A$67:$A$79,MATCH(LARGE($KA$67:$KA$79,3),$KA$67:$KA$79,0))</f>
        <v/>
      </c>
      <c r="C16" s="33">
        <f>INDEX($JU$67:$JU$79,MATCH(LARGE($KA$67:$KA$79,3),$KA$67:$KA$79,0))</f>
        <v/>
      </c>
      <c r="D16" s="34">
        <f>INDEX($JV$67:$JV$79,MATCH(LARGE($KA$67:$KA$79,3),$KA$67:$KA$79,0))</f>
        <v/>
      </c>
      <c r="E16" s="33">
        <f>INDEX($JW$67:$JW$79,MATCH(LARGE($KA$67:$KA$79,3),$KA$67:$KA$79,0))</f>
        <v/>
      </c>
      <c r="F16" s="33">
        <f>INDEX($JX$67:$JX$79,MATCH(LARGE($KA$67:$KA$79,3),$KA$67:$KA$79,0))</f>
        <v/>
      </c>
      <c r="G16" s="33">
        <f>INDEX($JY$67:$JY$79,MATCH(LARGE($KA$67:$KA$79,3),$KA$67:$KA$79,0))</f>
        <v/>
      </c>
      <c r="H16" s="35">
        <f>IF(G16=0,"— Sem meta",IF(C16&gt;=G16,"✓ Meta atingida","Em andamento"))</f>
        <v/>
      </c>
      <c r="KC16" s="13" t="n">
        <v>15</v>
      </c>
      <c r="KD16" s="14">
        <f>IF(15&lt;=$Z$3,DATE(Configurações!$B$3,3,15),"")</f>
        <v/>
      </c>
      <c r="KE16" s="13">
        <f>SUM($EE$67:$EE$79)</f>
        <v/>
      </c>
      <c r="KF16" s="13">
        <f>SUM($DZ$67:$DZ$79)</f>
        <v/>
      </c>
    </row>
    <row r="17" ht="18" customHeight="1">
      <c r="A17" s="36" t="n">
        <v>4</v>
      </c>
      <c r="B17" s="37">
        <f>INDEX($A$67:$A$79,MATCH(LARGE($KA$67:$KA$79,4),$KA$67:$KA$79,0))</f>
        <v/>
      </c>
      <c r="C17" s="38">
        <f>INDEX($JU$67:$JU$79,MATCH(LARGE($KA$67:$KA$79,4),$KA$67:$KA$79,0))</f>
        <v/>
      </c>
      <c r="D17" s="39">
        <f>INDEX($JV$67:$JV$79,MATCH(LARGE($KA$67:$KA$79,4),$KA$67:$KA$79,0))</f>
        <v/>
      </c>
      <c r="E17" s="38">
        <f>INDEX($JW$67:$JW$79,MATCH(LARGE($KA$67:$KA$79,4),$KA$67:$KA$79,0))</f>
        <v/>
      </c>
      <c r="F17" s="38">
        <f>INDEX($JX$67:$JX$79,MATCH(LARGE($KA$67:$KA$79,4),$KA$67:$KA$79,0))</f>
        <v/>
      </c>
      <c r="G17" s="38">
        <f>INDEX($JY$67:$JY$79,MATCH(LARGE($KA$67:$KA$79,4),$KA$67:$KA$79,0))</f>
        <v/>
      </c>
      <c r="H17" s="40">
        <f>IF(G17=0,"— Sem meta",IF(C17&gt;=G17,"✓ Meta atingida","Em andamento"))</f>
        <v/>
      </c>
      <c r="KC17" s="13" t="n">
        <v>16</v>
      </c>
      <c r="KD17" s="14">
        <f>IF(16&lt;=$Z$3,DATE(Configurações!$B$3,3,16),"")</f>
        <v/>
      </c>
      <c r="KE17" s="13">
        <f>SUM($EN$67:$EN$79)</f>
        <v/>
      </c>
      <c r="KF17" s="13">
        <f>SUM($EI$67:$EI$79)</f>
        <v/>
      </c>
    </row>
    <row r="18" ht="18" customHeight="1">
      <c r="A18" s="36" t="n">
        <v>5</v>
      </c>
      <c r="B18" s="37">
        <f>INDEX($A$67:$A$79,MATCH(LARGE($KA$67:$KA$79,5),$KA$67:$KA$79,0))</f>
        <v/>
      </c>
      <c r="C18" s="38">
        <f>INDEX($JU$67:$JU$79,MATCH(LARGE($KA$67:$KA$79,5),$KA$67:$KA$79,0))</f>
        <v/>
      </c>
      <c r="D18" s="39">
        <f>INDEX($JV$67:$JV$79,MATCH(LARGE($KA$67:$KA$79,5),$KA$67:$KA$79,0))</f>
        <v/>
      </c>
      <c r="E18" s="38">
        <f>INDEX($JW$67:$JW$79,MATCH(LARGE($KA$67:$KA$79,5),$KA$67:$KA$79,0))</f>
        <v/>
      </c>
      <c r="F18" s="38">
        <f>INDEX($JX$67:$JX$79,MATCH(LARGE($KA$67:$KA$79,5),$KA$67:$KA$79,0))</f>
        <v/>
      </c>
      <c r="G18" s="38">
        <f>INDEX($JY$67:$JY$79,MATCH(LARGE($KA$67:$KA$79,5),$KA$67:$KA$79,0))</f>
        <v/>
      </c>
      <c r="H18" s="40">
        <f>IF(G18=0,"— Sem meta",IF(C18&gt;=G18,"✓ Meta atingida","Em andamento"))</f>
        <v/>
      </c>
      <c r="KC18" s="13" t="n">
        <v>17</v>
      </c>
      <c r="KD18" s="14">
        <f>IF(17&lt;=$Z$3,DATE(Configurações!$B$3,3,17),"")</f>
        <v/>
      </c>
      <c r="KE18" s="13">
        <f>SUM($EW$67:$EW$79)</f>
        <v/>
      </c>
      <c r="KF18" s="13">
        <f>SUM($ER$67:$ER$79)</f>
        <v/>
      </c>
    </row>
    <row r="19" ht="18" customHeight="1">
      <c r="A19" s="41" t="n">
        <v>6</v>
      </c>
      <c r="B19" s="42">
        <f>INDEX($A$67:$A$79,MATCH(LARGE($KA$67:$KA$79,6),$KA$67:$KA$79,0))</f>
        <v/>
      </c>
      <c r="C19" s="43">
        <f>INDEX($JU$67:$JU$79,MATCH(LARGE($KA$67:$KA$79,6),$KA$67:$KA$79,0))</f>
        <v/>
      </c>
      <c r="D19" s="44">
        <f>INDEX($JV$67:$JV$79,MATCH(LARGE($KA$67:$KA$79,6),$KA$67:$KA$79,0))</f>
        <v/>
      </c>
      <c r="E19" s="43">
        <f>INDEX($JW$67:$JW$79,MATCH(LARGE($KA$67:$KA$79,6),$KA$67:$KA$79,0))</f>
        <v/>
      </c>
      <c r="F19" s="43">
        <f>INDEX($JX$67:$JX$79,MATCH(LARGE($KA$67:$KA$79,6),$KA$67:$KA$79,0))</f>
        <v/>
      </c>
      <c r="G19" s="43">
        <f>INDEX($JY$67:$JY$79,MATCH(LARGE($KA$67:$KA$79,6),$KA$67:$KA$79,0))</f>
        <v/>
      </c>
      <c r="H19" s="45">
        <f>IF(G19=0,"— Sem meta",IF(C19&gt;=G19,"✓ Meta atingida","Em andamento"))</f>
        <v/>
      </c>
      <c r="KC19" s="13" t="n">
        <v>18</v>
      </c>
      <c r="KD19" s="14">
        <f>IF(18&lt;=$Z$3,DATE(Configurações!$B$3,3,18),"")</f>
        <v/>
      </c>
      <c r="KE19" s="13">
        <f>SUM($FF$67:$FF$79)</f>
        <v/>
      </c>
      <c r="KF19" s="13">
        <f>SUM($FA$67:$FA$79)</f>
        <v/>
      </c>
    </row>
    <row r="20" ht="18" customHeight="1">
      <c r="A20" s="46" t="n">
        <v>7</v>
      </c>
      <c r="B20" s="47">
        <f>INDEX($A$67:$A$79,MATCH(LARGE($KA$67:$KA$79,7),$KA$67:$KA$79,0))</f>
        <v/>
      </c>
      <c r="C20" s="48">
        <f>INDEX($JU$67:$JU$79,MATCH(LARGE($KA$67:$KA$79,7),$KA$67:$KA$79,0))</f>
        <v/>
      </c>
      <c r="D20" s="49">
        <f>INDEX($JV$67:$JV$79,MATCH(LARGE($KA$67:$KA$79,7),$KA$67:$KA$79,0))</f>
        <v/>
      </c>
      <c r="E20" s="48">
        <f>INDEX($JW$67:$JW$79,MATCH(LARGE($KA$67:$KA$79,7),$KA$67:$KA$79,0))</f>
        <v/>
      </c>
      <c r="F20" s="48">
        <f>INDEX($JX$67:$JX$79,MATCH(LARGE($KA$67:$KA$79,7),$KA$67:$KA$79,0))</f>
        <v/>
      </c>
      <c r="G20" s="48">
        <f>INDEX($JY$67:$JY$79,MATCH(LARGE($KA$67:$KA$79,7),$KA$67:$KA$79,0))</f>
        <v/>
      </c>
      <c r="H20" s="50">
        <f>IF(G20=0,"— Sem meta",IF(C20&gt;=G20,"✓ Meta atingida","Em andamento"))</f>
        <v/>
      </c>
      <c r="KC20" s="13" t="n">
        <v>19</v>
      </c>
      <c r="KD20" s="14">
        <f>IF(19&lt;=$Z$3,DATE(Configurações!$B$3,3,19),"")</f>
        <v/>
      </c>
      <c r="KE20" s="13">
        <f>SUM($FO$67:$FO$79)</f>
        <v/>
      </c>
      <c r="KF20" s="13">
        <f>SUM($FJ$67:$FJ$79)</f>
        <v/>
      </c>
    </row>
    <row r="21" ht="18" customHeight="1">
      <c r="A21" s="41" t="n">
        <v>8</v>
      </c>
      <c r="B21" s="42">
        <f>INDEX($A$67:$A$79,MATCH(LARGE($KA$67:$KA$79,8),$KA$67:$KA$79,0))</f>
        <v/>
      </c>
      <c r="C21" s="43">
        <f>INDEX($JU$67:$JU$79,MATCH(LARGE($KA$67:$KA$79,8),$KA$67:$KA$79,0))</f>
        <v/>
      </c>
      <c r="D21" s="44">
        <f>INDEX($JV$67:$JV$79,MATCH(LARGE($KA$67:$KA$79,8),$KA$67:$KA$79,0))</f>
        <v/>
      </c>
      <c r="E21" s="43">
        <f>INDEX($JW$67:$JW$79,MATCH(LARGE($KA$67:$KA$79,8),$KA$67:$KA$79,0))</f>
        <v/>
      </c>
      <c r="F21" s="43">
        <f>INDEX($JX$67:$JX$79,MATCH(LARGE($KA$67:$KA$79,8),$KA$67:$KA$79,0))</f>
        <v/>
      </c>
      <c r="G21" s="43">
        <f>INDEX($JY$67:$JY$79,MATCH(LARGE($KA$67:$KA$79,8),$KA$67:$KA$79,0))</f>
        <v/>
      </c>
      <c r="H21" s="45">
        <f>IF(G21=0,"— Sem meta",IF(C21&gt;=G21,"✓ Meta atingida","Em andamento"))</f>
        <v/>
      </c>
      <c r="KC21" s="13" t="n">
        <v>20</v>
      </c>
      <c r="KD21" s="14">
        <f>IF(20&lt;=$Z$3,DATE(Configurações!$B$3,3,20),"")</f>
        <v/>
      </c>
      <c r="KE21" s="13">
        <f>SUM($FX$67:$FX$79)</f>
        <v/>
      </c>
      <c r="KF21" s="13">
        <f>SUM($FS$67:$FS$79)</f>
        <v/>
      </c>
    </row>
    <row r="22" ht="18" customHeight="1">
      <c r="A22" s="46" t="n">
        <v>9</v>
      </c>
      <c r="B22" s="47">
        <f>INDEX($A$67:$A$79,MATCH(LARGE($KA$67:$KA$79,9),$KA$67:$KA$79,0))</f>
        <v/>
      </c>
      <c r="C22" s="48">
        <f>INDEX($JU$67:$JU$79,MATCH(LARGE($KA$67:$KA$79,9),$KA$67:$KA$79,0))</f>
        <v/>
      </c>
      <c r="D22" s="49">
        <f>INDEX($JV$67:$JV$79,MATCH(LARGE($KA$67:$KA$79,9),$KA$67:$KA$79,0))</f>
        <v/>
      </c>
      <c r="E22" s="48">
        <f>INDEX($JW$67:$JW$79,MATCH(LARGE($KA$67:$KA$79,9),$KA$67:$KA$79,0))</f>
        <v/>
      </c>
      <c r="F22" s="48">
        <f>INDEX($JX$67:$JX$79,MATCH(LARGE($KA$67:$KA$79,9),$KA$67:$KA$79,0))</f>
        <v/>
      </c>
      <c r="G22" s="48">
        <f>INDEX($JY$67:$JY$79,MATCH(LARGE($KA$67:$KA$79,9),$KA$67:$KA$79,0))</f>
        <v/>
      </c>
      <c r="H22" s="50">
        <f>IF(G22=0,"— Sem meta",IF(C22&gt;=G22,"✓ Meta atingida","Em andamento"))</f>
        <v/>
      </c>
      <c r="KC22" s="13" t="n">
        <v>21</v>
      </c>
      <c r="KD22" s="14">
        <f>IF(21&lt;=$Z$3,DATE(Configurações!$B$3,3,21),"")</f>
        <v/>
      </c>
      <c r="KE22" s="13">
        <f>SUM($GG$67:$GG$79)</f>
        <v/>
      </c>
      <c r="KF22" s="13">
        <f>SUM($GB$67:$GB$79)</f>
        <v/>
      </c>
    </row>
    <row r="23" ht="18" customHeight="1">
      <c r="A23" s="41" t="n">
        <v>10</v>
      </c>
      <c r="B23" s="42">
        <f>INDEX($A$67:$A$79,MATCH(LARGE($KA$67:$KA$79,10),$KA$67:$KA$79,0))</f>
        <v/>
      </c>
      <c r="C23" s="43">
        <f>INDEX($JU$67:$JU$79,MATCH(LARGE($KA$67:$KA$79,10),$KA$67:$KA$79,0))</f>
        <v/>
      </c>
      <c r="D23" s="44">
        <f>INDEX($JV$67:$JV$79,MATCH(LARGE($KA$67:$KA$79,10),$KA$67:$KA$79,0))</f>
        <v/>
      </c>
      <c r="E23" s="43">
        <f>INDEX($JW$67:$JW$79,MATCH(LARGE($KA$67:$KA$79,10),$KA$67:$KA$79,0))</f>
        <v/>
      </c>
      <c r="F23" s="43">
        <f>INDEX($JX$67:$JX$79,MATCH(LARGE($KA$67:$KA$79,10),$KA$67:$KA$79,0))</f>
        <v/>
      </c>
      <c r="G23" s="43">
        <f>INDEX($JY$67:$JY$79,MATCH(LARGE($KA$67:$KA$79,10),$KA$67:$KA$79,0))</f>
        <v/>
      </c>
      <c r="H23" s="45">
        <f>IF(G23=0,"— Sem meta",IF(C23&gt;=G23,"✓ Meta atingida","Em andamento"))</f>
        <v/>
      </c>
      <c r="KC23" s="13" t="n">
        <v>22</v>
      </c>
      <c r="KD23" s="14">
        <f>IF(22&lt;=$Z$3,DATE(Configurações!$B$3,3,22),"")</f>
        <v/>
      </c>
      <c r="KE23" s="13">
        <f>SUM($GP$67:$GP$79)</f>
        <v/>
      </c>
      <c r="KF23" s="13">
        <f>SUM($GK$67:$GK$79)</f>
        <v/>
      </c>
    </row>
    <row r="24" ht="18" customHeight="1">
      <c r="A24" s="46" t="n">
        <v>11</v>
      </c>
      <c r="B24" s="47">
        <f>INDEX($A$67:$A$79,MATCH(LARGE($KA$67:$KA$79,11),$KA$67:$KA$79,0))</f>
        <v/>
      </c>
      <c r="C24" s="48">
        <f>INDEX($JU$67:$JU$79,MATCH(LARGE($KA$67:$KA$79,11),$KA$67:$KA$79,0))</f>
        <v/>
      </c>
      <c r="D24" s="49">
        <f>INDEX($JV$67:$JV$79,MATCH(LARGE($KA$67:$KA$79,11),$KA$67:$KA$79,0))</f>
        <v/>
      </c>
      <c r="E24" s="48">
        <f>INDEX($JW$67:$JW$79,MATCH(LARGE($KA$67:$KA$79,11),$KA$67:$KA$79,0))</f>
        <v/>
      </c>
      <c r="F24" s="48">
        <f>INDEX($JX$67:$JX$79,MATCH(LARGE($KA$67:$KA$79,11),$KA$67:$KA$79,0))</f>
        <v/>
      </c>
      <c r="G24" s="48">
        <f>INDEX($JY$67:$JY$79,MATCH(LARGE($KA$67:$KA$79,11),$KA$67:$KA$79,0))</f>
        <v/>
      </c>
      <c r="H24" s="50">
        <f>IF(G24=0,"— Sem meta",IF(C24&gt;=G24,"✓ Meta atingida","Em andamento"))</f>
        <v/>
      </c>
      <c r="KC24" s="13" t="n">
        <v>23</v>
      </c>
      <c r="KD24" s="14">
        <f>IF(23&lt;=$Z$3,DATE(Configurações!$B$3,3,23),"")</f>
        <v/>
      </c>
      <c r="KE24" s="13">
        <f>SUM($GY$67:$GY$79)</f>
        <v/>
      </c>
      <c r="KF24" s="13">
        <f>SUM($GT$67:$GT$79)</f>
        <v/>
      </c>
    </row>
    <row r="25" ht="18" customHeight="1">
      <c r="A25" s="41" t="n">
        <v>12</v>
      </c>
      <c r="B25" s="42">
        <f>INDEX($A$67:$A$79,MATCH(LARGE($KA$67:$KA$79,12),$KA$67:$KA$79,0))</f>
        <v/>
      </c>
      <c r="C25" s="43">
        <f>INDEX($JU$67:$JU$79,MATCH(LARGE($KA$67:$KA$79,12),$KA$67:$KA$79,0))</f>
        <v/>
      </c>
      <c r="D25" s="44">
        <f>INDEX($JV$67:$JV$79,MATCH(LARGE($KA$67:$KA$79,12),$KA$67:$KA$79,0))</f>
        <v/>
      </c>
      <c r="E25" s="43">
        <f>INDEX($JW$67:$JW$79,MATCH(LARGE($KA$67:$KA$79,12),$KA$67:$KA$79,0))</f>
        <v/>
      </c>
      <c r="F25" s="43">
        <f>INDEX($JX$67:$JX$79,MATCH(LARGE($KA$67:$KA$79,12),$KA$67:$KA$79,0))</f>
        <v/>
      </c>
      <c r="G25" s="43">
        <f>INDEX($JY$67:$JY$79,MATCH(LARGE($KA$67:$KA$79,12),$KA$67:$KA$79,0))</f>
        <v/>
      </c>
      <c r="H25" s="45">
        <f>IF(G25=0,"— Sem meta",IF(C25&gt;=G25,"✓ Meta atingida","Em andamento"))</f>
        <v/>
      </c>
      <c r="KC25" s="13" t="n">
        <v>24</v>
      </c>
      <c r="KD25" s="14">
        <f>IF(24&lt;=$Z$3,DATE(Configurações!$B$3,3,24),"")</f>
        <v/>
      </c>
      <c r="KE25" s="13">
        <f>SUM($HH$67:$HH$79)</f>
        <v/>
      </c>
      <c r="KF25" s="13">
        <f>SUM($HC$67:$HC$79)</f>
        <v/>
      </c>
    </row>
    <row r="26" ht="18" customHeight="1">
      <c r="A26" s="46" t="n">
        <v>13</v>
      </c>
      <c r="B26" s="47">
        <f>INDEX($A$67:$A$79,MATCH(LARGE($KA$67:$KA$79,13),$KA$67:$KA$79,0))</f>
        <v/>
      </c>
      <c r="C26" s="48">
        <f>INDEX($JU$67:$JU$79,MATCH(LARGE($KA$67:$KA$79,13),$KA$67:$KA$79,0))</f>
        <v/>
      </c>
      <c r="D26" s="49">
        <f>INDEX($JV$67:$JV$79,MATCH(LARGE($KA$67:$KA$79,13),$KA$67:$KA$79,0))</f>
        <v/>
      </c>
      <c r="E26" s="48">
        <f>INDEX($JW$67:$JW$79,MATCH(LARGE($KA$67:$KA$79,13),$KA$67:$KA$79,0))</f>
        <v/>
      </c>
      <c r="F26" s="48">
        <f>INDEX($JX$67:$JX$79,MATCH(LARGE($KA$67:$KA$79,13),$KA$67:$KA$79,0))</f>
        <v/>
      </c>
      <c r="G26" s="48">
        <f>INDEX($JY$67:$JY$79,MATCH(LARGE($KA$67:$KA$79,13),$KA$67:$KA$79,0))</f>
        <v/>
      </c>
      <c r="H26" s="50">
        <f>IF(G26=0,"— Sem meta",IF(C26&gt;=G26,"✓ Meta atingida","Em andamento"))</f>
        <v/>
      </c>
      <c r="KC26" s="13" t="n">
        <v>25</v>
      </c>
      <c r="KD26" s="14">
        <f>IF(25&lt;=$Z$3,DATE(Configurações!$B$3,3,25),"")</f>
        <v/>
      </c>
      <c r="KE26" s="13">
        <f>SUM($HQ$67:$HQ$79)</f>
        <v/>
      </c>
      <c r="KF26" s="13">
        <f>SUM($HL$67:$HL$79)</f>
        <v/>
      </c>
    </row>
    <row r="27">
      <c r="KC27" s="13" t="n">
        <v>26</v>
      </c>
      <c r="KD27" s="14">
        <f>IF(26&lt;=$Z$3,DATE(Configurações!$B$3,3,26),"")</f>
        <v/>
      </c>
      <c r="KE27" s="13">
        <f>SUM($HZ$67:$HZ$79)</f>
        <v/>
      </c>
      <c r="KF27" s="13">
        <f>SUM($HU$67:$HU$79)</f>
        <v/>
      </c>
    </row>
    <row r="28">
      <c r="KC28" s="13" t="n">
        <v>27</v>
      </c>
      <c r="KD28" s="14">
        <f>IF(27&lt;=$Z$3,DATE(Configurações!$B$3,3,27),"")</f>
        <v/>
      </c>
      <c r="KE28" s="13">
        <f>SUM($II$67:$II$79)</f>
        <v/>
      </c>
      <c r="KF28" s="13">
        <f>SUM($ID$67:$ID$79)</f>
        <v/>
      </c>
    </row>
    <row r="29">
      <c r="KC29" s="13" t="n">
        <v>28</v>
      </c>
      <c r="KD29" s="14">
        <f>IF(28&lt;=$Z$3,DATE(Configurações!$B$3,3,28),"")</f>
        <v/>
      </c>
      <c r="KE29" s="13">
        <f>SUM($IR$67:$IR$79)</f>
        <v/>
      </c>
      <c r="KF29" s="13">
        <f>SUM($IM$67:$IM$79)</f>
        <v/>
      </c>
    </row>
    <row r="30">
      <c r="KC30" s="13" t="n">
        <v>29</v>
      </c>
      <c r="KD30" s="14">
        <f>IF(29&lt;=$Z$3,DATE(Configurações!$B$3,3,29),"")</f>
        <v/>
      </c>
      <c r="KE30" s="13">
        <f>SUM($JA$67:$JA$79)</f>
        <v/>
      </c>
      <c r="KF30" s="13">
        <f>SUM($IV$67:$IV$79)</f>
        <v/>
      </c>
    </row>
    <row r="31">
      <c r="KC31" s="13" t="n">
        <v>30</v>
      </c>
      <c r="KD31" s="14">
        <f>IF(30&lt;=$Z$3,DATE(Configurações!$B$3,3,30),"")</f>
        <v/>
      </c>
      <c r="KE31" s="13">
        <f>SUM($JJ$67:$JJ$79)</f>
        <v/>
      </c>
      <c r="KF31" s="13">
        <f>SUM($JE$67:$JE$79)</f>
        <v/>
      </c>
    </row>
    <row r="32">
      <c r="KC32" s="13" t="n">
        <v>31</v>
      </c>
      <c r="KD32" s="14">
        <f>IF(31&lt;=$Z$3,DATE(Configurações!$B$3,3,31),"")</f>
        <v/>
      </c>
      <c r="KE32" s="13">
        <f>SUM($JS$67:$JS$79)</f>
        <v/>
      </c>
      <c r="KF32" s="13">
        <f>SUM($JN$67:$JN$79)</f>
        <v/>
      </c>
    </row>
    <row r="64" ht="22" customHeight="1">
      <c r="A64" s="51" t="inlineStr">
        <is>
          <t>📋  LANÇAMENTOS DIÁRIOS POR ASSESSOR (role para a direita)</t>
        </is>
      </c>
    </row>
    <row r="65" ht="20" customHeight="1">
      <c r="A65" s="52" t="inlineStr">
        <is>
          <t>Assessor</t>
        </is>
      </c>
      <c r="B65" s="18">
        <f>"Dia 1 — "&amp;IF(1&lt;=$Z$3,TEXT(DATE(Configurações!$B$3,3,1),"dd/mm")&amp;" ("&amp;CHOOSE(WEEKDAY(DATE(Configurações!$B$3,3,1)),"Dom","Seg","Ter","Qua","Qui","Sex","Sáb")&amp;")","—")</f>
        <v/>
      </c>
      <c r="K65" s="18">
        <f>"Dia 2 — "&amp;IF(2&lt;=$Z$3,TEXT(DATE(Configurações!$B$3,3,2),"dd/mm")&amp;" ("&amp;CHOOSE(WEEKDAY(DATE(Configurações!$B$3,3,2)),"Dom","Seg","Ter","Qua","Qui","Sex","Sáb")&amp;")","—")</f>
        <v/>
      </c>
      <c r="T65" s="18">
        <f>"Dia 3 — "&amp;IF(3&lt;=$Z$3,TEXT(DATE(Configurações!$B$3,3,3),"dd/mm")&amp;" ("&amp;CHOOSE(WEEKDAY(DATE(Configurações!$B$3,3,3)),"Dom","Seg","Ter","Qua","Qui","Sex","Sáb")&amp;")","—")</f>
        <v/>
      </c>
      <c r="AC65" s="18">
        <f>"Dia 4 — "&amp;IF(4&lt;=$Z$3,TEXT(DATE(Configurações!$B$3,3,4),"dd/mm")&amp;" ("&amp;CHOOSE(WEEKDAY(DATE(Configurações!$B$3,3,4)),"Dom","Seg","Ter","Qua","Qui","Sex","Sáb")&amp;")","—")</f>
        <v/>
      </c>
      <c r="AL65" s="18">
        <f>"Dia 5 — "&amp;IF(5&lt;=$Z$3,TEXT(DATE(Configurações!$B$3,3,5),"dd/mm")&amp;" ("&amp;CHOOSE(WEEKDAY(DATE(Configurações!$B$3,3,5)),"Dom","Seg","Ter","Qua","Qui","Sex","Sáb")&amp;")","—")</f>
        <v/>
      </c>
      <c r="AU65" s="18">
        <f>"Dia 6 — "&amp;IF(6&lt;=$Z$3,TEXT(DATE(Configurações!$B$3,3,6),"dd/mm")&amp;" ("&amp;CHOOSE(WEEKDAY(DATE(Configurações!$B$3,3,6)),"Dom","Seg","Ter","Qua","Qui","Sex","Sáb")&amp;")","—")</f>
        <v/>
      </c>
      <c r="BD65" s="18">
        <f>"Dia 7 — "&amp;IF(7&lt;=$Z$3,TEXT(DATE(Configurações!$B$3,3,7),"dd/mm")&amp;" ("&amp;CHOOSE(WEEKDAY(DATE(Configurações!$B$3,3,7)),"Dom","Seg","Ter","Qua","Qui","Sex","Sáb")&amp;")","—")</f>
        <v/>
      </c>
      <c r="BM65" s="18">
        <f>"Dia 8 — "&amp;IF(8&lt;=$Z$3,TEXT(DATE(Configurações!$B$3,3,8),"dd/mm")&amp;" ("&amp;CHOOSE(WEEKDAY(DATE(Configurações!$B$3,3,8)),"Dom","Seg","Ter","Qua","Qui","Sex","Sáb")&amp;")","—")</f>
        <v/>
      </c>
      <c r="BV65" s="18">
        <f>"Dia 9 — "&amp;IF(9&lt;=$Z$3,TEXT(DATE(Configurações!$B$3,3,9),"dd/mm")&amp;" ("&amp;CHOOSE(WEEKDAY(DATE(Configurações!$B$3,3,9)),"Dom","Seg","Ter","Qua","Qui","Sex","Sáb")&amp;")","—")</f>
        <v/>
      </c>
      <c r="CE65" s="18">
        <f>"Dia 10 — "&amp;IF(10&lt;=$Z$3,TEXT(DATE(Configurações!$B$3,3,10),"dd/mm")&amp;" ("&amp;CHOOSE(WEEKDAY(DATE(Configurações!$B$3,3,10)),"Dom","Seg","Ter","Qua","Qui","Sex","Sáb")&amp;")","—")</f>
        <v/>
      </c>
      <c r="CN65" s="18">
        <f>"Dia 11 — "&amp;IF(11&lt;=$Z$3,TEXT(DATE(Configurações!$B$3,3,11),"dd/mm")&amp;" ("&amp;CHOOSE(WEEKDAY(DATE(Configurações!$B$3,3,11)),"Dom","Seg","Ter","Qua","Qui","Sex","Sáb")&amp;")","—")</f>
        <v/>
      </c>
      <c r="CW65" s="18">
        <f>"Dia 12 — "&amp;IF(12&lt;=$Z$3,TEXT(DATE(Configurações!$B$3,3,12),"dd/mm")&amp;" ("&amp;CHOOSE(WEEKDAY(DATE(Configurações!$B$3,3,12)),"Dom","Seg","Ter","Qua","Qui","Sex","Sáb")&amp;")","—")</f>
        <v/>
      </c>
      <c r="DF65" s="18">
        <f>"Dia 13 — "&amp;IF(13&lt;=$Z$3,TEXT(DATE(Configurações!$B$3,3,13),"dd/mm")&amp;" ("&amp;CHOOSE(WEEKDAY(DATE(Configurações!$B$3,3,13)),"Dom","Seg","Ter","Qua","Qui","Sex","Sáb")&amp;")","—")</f>
        <v/>
      </c>
      <c r="DO65" s="18">
        <f>"Dia 14 — "&amp;IF(14&lt;=$Z$3,TEXT(DATE(Configurações!$B$3,3,14),"dd/mm")&amp;" ("&amp;CHOOSE(WEEKDAY(DATE(Configurações!$B$3,3,14)),"Dom","Seg","Ter","Qua","Qui","Sex","Sáb")&amp;")","—")</f>
        <v/>
      </c>
      <c r="DX65" s="18">
        <f>"Dia 15 — "&amp;IF(15&lt;=$Z$3,TEXT(DATE(Configurações!$B$3,3,15),"dd/mm")&amp;" ("&amp;CHOOSE(WEEKDAY(DATE(Configurações!$B$3,3,15)),"Dom","Seg","Ter","Qua","Qui","Sex","Sáb")&amp;")","—")</f>
        <v/>
      </c>
      <c r="EG65" s="18">
        <f>"Dia 16 — "&amp;IF(16&lt;=$Z$3,TEXT(DATE(Configurações!$B$3,3,16),"dd/mm")&amp;" ("&amp;CHOOSE(WEEKDAY(DATE(Configurações!$B$3,3,16)),"Dom","Seg","Ter","Qua","Qui","Sex","Sáb")&amp;")","—")</f>
        <v/>
      </c>
      <c r="EP65" s="18">
        <f>"Dia 17 — "&amp;IF(17&lt;=$Z$3,TEXT(DATE(Configurações!$B$3,3,17),"dd/mm")&amp;" ("&amp;CHOOSE(WEEKDAY(DATE(Configurações!$B$3,3,17)),"Dom","Seg","Ter","Qua","Qui","Sex","Sáb")&amp;")","—")</f>
        <v/>
      </c>
      <c r="EY65" s="18">
        <f>"Dia 18 — "&amp;IF(18&lt;=$Z$3,TEXT(DATE(Configurações!$B$3,3,18),"dd/mm")&amp;" ("&amp;CHOOSE(WEEKDAY(DATE(Configurações!$B$3,3,18)),"Dom","Seg","Ter","Qua","Qui","Sex","Sáb")&amp;")","—")</f>
        <v/>
      </c>
      <c r="FH65" s="18">
        <f>"Dia 19 — "&amp;IF(19&lt;=$Z$3,TEXT(DATE(Configurações!$B$3,3,19),"dd/mm")&amp;" ("&amp;CHOOSE(WEEKDAY(DATE(Configurações!$B$3,3,19)),"Dom","Seg","Ter","Qua","Qui","Sex","Sáb")&amp;")","—")</f>
        <v/>
      </c>
      <c r="FQ65" s="18">
        <f>"Dia 20 — "&amp;IF(20&lt;=$Z$3,TEXT(DATE(Configurações!$B$3,3,20),"dd/mm")&amp;" ("&amp;CHOOSE(WEEKDAY(DATE(Configurações!$B$3,3,20)),"Dom","Seg","Ter","Qua","Qui","Sex","Sáb")&amp;")","—")</f>
        <v/>
      </c>
      <c r="FZ65" s="18">
        <f>"Dia 21 — "&amp;IF(21&lt;=$Z$3,TEXT(DATE(Configurações!$B$3,3,21),"dd/mm")&amp;" ("&amp;CHOOSE(WEEKDAY(DATE(Configurações!$B$3,3,21)),"Dom","Seg","Ter","Qua","Qui","Sex","Sáb")&amp;")","—")</f>
        <v/>
      </c>
      <c r="GI65" s="18">
        <f>"Dia 22 — "&amp;IF(22&lt;=$Z$3,TEXT(DATE(Configurações!$B$3,3,22),"dd/mm")&amp;" ("&amp;CHOOSE(WEEKDAY(DATE(Configurações!$B$3,3,22)),"Dom","Seg","Ter","Qua","Qui","Sex","Sáb")&amp;")","—")</f>
        <v/>
      </c>
      <c r="GR65" s="18">
        <f>"Dia 23 — "&amp;IF(23&lt;=$Z$3,TEXT(DATE(Configurações!$B$3,3,23),"dd/mm")&amp;" ("&amp;CHOOSE(WEEKDAY(DATE(Configurações!$B$3,3,23)),"Dom","Seg","Ter","Qua","Qui","Sex","Sáb")&amp;")","—")</f>
        <v/>
      </c>
      <c r="HA65" s="18">
        <f>"Dia 24 — "&amp;IF(24&lt;=$Z$3,TEXT(DATE(Configurações!$B$3,3,24),"dd/mm")&amp;" ("&amp;CHOOSE(WEEKDAY(DATE(Configurações!$B$3,3,24)),"Dom","Seg","Ter","Qua","Qui","Sex","Sáb")&amp;")","—")</f>
        <v/>
      </c>
      <c r="HJ65" s="18">
        <f>"Dia 25 — "&amp;IF(25&lt;=$Z$3,TEXT(DATE(Configurações!$B$3,3,25),"dd/mm")&amp;" ("&amp;CHOOSE(WEEKDAY(DATE(Configurações!$B$3,3,25)),"Dom","Seg","Ter","Qua","Qui","Sex","Sáb")&amp;")","—")</f>
        <v/>
      </c>
      <c r="HS65" s="18">
        <f>"Dia 26 — "&amp;IF(26&lt;=$Z$3,TEXT(DATE(Configurações!$B$3,3,26),"dd/mm")&amp;" ("&amp;CHOOSE(WEEKDAY(DATE(Configurações!$B$3,3,26)),"Dom","Seg","Ter","Qua","Qui","Sex","Sáb")&amp;")","—")</f>
        <v/>
      </c>
      <c r="IB65" s="18">
        <f>"Dia 27 — "&amp;IF(27&lt;=$Z$3,TEXT(DATE(Configurações!$B$3,3,27),"dd/mm")&amp;" ("&amp;CHOOSE(WEEKDAY(DATE(Configurações!$B$3,3,27)),"Dom","Seg","Ter","Qua","Qui","Sex","Sáb")&amp;")","—")</f>
        <v/>
      </c>
      <c r="IK65" s="18">
        <f>"Dia 28 — "&amp;IF(28&lt;=$Z$3,TEXT(DATE(Configurações!$B$3,3,28),"dd/mm")&amp;" ("&amp;CHOOSE(WEEKDAY(DATE(Configurações!$B$3,3,28)),"Dom","Seg","Ter","Qua","Qui","Sex","Sáb")&amp;")","—")</f>
        <v/>
      </c>
      <c r="IT65" s="18">
        <f>"Dia 29 — "&amp;IF(29&lt;=$Z$3,TEXT(DATE(Configurações!$B$3,3,29),"dd/mm")&amp;" ("&amp;CHOOSE(WEEKDAY(DATE(Configurações!$B$3,3,29)),"Dom","Seg","Ter","Qua","Qui","Sex","Sáb")&amp;")","—")</f>
        <v/>
      </c>
      <c r="JC65" s="18">
        <f>"Dia 30 — "&amp;IF(30&lt;=$Z$3,TEXT(DATE(Configurações!$B$3,3,30),"dd/mm")&amp;" ("&amp;CHOOSE(WEEKDAY(DATE(Configurações!$B$3,3,30)),"Dom","Seg","Ter","Qua","Qui","Sex","Sáb")&amp;")","—")</f>
        <v/>
      </c>
      <c r="JL65" s="18">
        <f>"Dia 31 — "&amp;IF(31&lt;=$Z$3,TEXT(DATE(Configurações!$B$3,3,31),"dd/mm")&amp;" ("&amp;CHOOSE(WEEKDAY(DATE(Configurações!$B$3,3,31)),"Dom","Seg","Ter","Qua","Qui","Sex","Sáb")&amp;")","—")</f>
        <v/>
      </c>
      <c r="JU65" s="53" t="inlineStr">
        <is>
          <t>Produção Total (Mês)</t>
        </is>
      </c>
      <c r="JV65" s="53" t="inlineStr">
        <is>
          <t>Captação Líquida (Mês)</t>
        </is>
      </c>
      <c r="JW65" s="53" t="inlineStr">
        <is>
          <t>Saldo Pulso Atual</t>
        </is>
      </c>
      <c r="JX65" s="53" t="inlineStr">
        <is>
          <t>Média Diária</t>
        </is>
      </c>
      <c r="JY65" s="53" t="inlineStr">
        <is>
          <t>Meta Mensal</t>
        </is>
      </c>
      <c r="JZ65" s="53" t="inlineStr">
        <is>
          <t>Status Meta</t>
        </is>
      </c>
      <c r="KA65" s="53" t="inlineStr"/>
    </row>
    <row r="66" ht="26" customHeight="1">
      <c r="B66" s="54" t="inlineStr">
        <is>
          <t>Saldo Pulso</t>
        </is>
      </c>
      <c r="C66" s="54" t="inlineStr">
        <is>
          <t>Saldo Anterior</t>
        </is>
      </c>
      <c r="D66" s="54" t="inlineStr">
        <is>
          <t>Captação Líq.</t>
        </is>
      </c>
      <c r="E66" s="54" t="inlineStr">
        <is>
          <t>COE</t>
        </is>
      </c>
      <c r="F66" s="54" t="inlineStr">
        <is>
          <t>Previdência</t>
        </is>
      </c>
      <c r="G66" s="54" t="inlineStr">
        <is>
          <t>Créd. Privado</t>
        </is>
      </c>
      <c r="H66" s="54" t="inlineStr">
        <is>
          <t>Tít. Públicos</t>
        </is>
      </c>
      <c r="I66" s="54" t="inlineStr">
        <is>
          <t>Produção Tot.</t>
        </is>
      </c>
      <c r="J66" s="54" t="inlineStr">
        <is>
          <t>Obs.</t>
        </is>
      </c>
      <c r="K66" s="54" t="inlineStr">
        <is>
          <t>Saldo Pulso</t>
        </is>
      </c>
      <c r="L66" s="54" t="inlineStr">
        <is>
          <t>Saldo Anterior</t>
        </is>
      </c>
      <c r="M66" s="54" t="inlineStr">
        <is>
          <t>Captação Líq.</t>
        </is>
      </c>
      <c r="N66" s="54" t="inlineStr">
        <is>
          <t>COE</t>
        </is>
      </c>
      <c r="O66" s="54" t="inlineStr">
        <is>
          <t>Previdência</t>
        </is>
      </c>
      <c r="P66" s="54" t="inlineStr">
        <is>
          <t>Créd. Privado</t>
        </is>
      </c>
      <c r="Q66" s="54" t="inlineStr">
        <is>
          <t>Tít. Públicos</t>
        </is>
      </c>
      <c r="R66" s="54" t="inlineStr">
        <is>
          <t>Produção Tot.</t>
        </is>
      </c>
      <c r="S66" s="54" t="inlineStr">
        <is>
          <t>Obs.</t>
        </is>
      </c>
      <c r="T66" s="54" t="inlineStr">
        <is>
          <t>Saldo Pulso</t>
        </is>
      </c>
      <c r="U66" s="54" t="inlineStr">
        <is>
          <t>Saldo Anterior</t>
        </is>
      </c>
      <c r="V66" s="54" t="inlineStr">
        <is>
          <t>Captação Líq.</t>
        </is>
      </c>
      <c r="W66" s="54" t="inlineStr">
        <is>
          <t>COE</t>
        </is>
      </c>
      <c r="X66" s="54" t="inlineStr">
        <is>
          <t>Previdência</t>
        </is>
      </c>
      <c r="Y66" s="54" t="inlineStr">
        <is>
          <t>Créd. Privado</t>
        </is>
      </c>
      <c r="Z66" s="54" t="inlineStr">
        <is>
          <t>Tít. Públicos</t>
        </is>
      </c>
      <c r="AA66" s="54" t="inlineStr">
        <is>
          <t>Produção Tot.</t>
        </is>
      </c>
      <c r="AB66" s="54" t="inlineStr">
        <is>
          <t>Obs.</t>
        </is>
      </c>
      <c r="AC66" s="54" t="inlineStr">
        <is>
          <t>Saldo Pulso</t>
        </is>
      </c>
      <c r="AD66" s="54" t="inlineStr">
        <is>
          <t>Saldo Anterior</t>
        </is>
      </c>
      <c r="AE66" s="54" t="inlineStr">
        <is>
          <t>Captação Líq.</t>
        </is>
      </c>
      <c r="AF66" s="54" t="inlineStr">
        <is>
          <t>COE</t>
        </is>
      </c>
      <c r="AG66" s="54" t="inlineStr">
        <is>
          <t>Previdência</t>
        </is>
      </c>
      <c r="AH66" s="54" t="inlineStr">
        <is>
          <t>Créd. Privado</t>
        </is>
      </c>
      <c r="AI66" s="54" t="inlineStr">
        <is>
          <t>Tít. Públicos</t>
        </is>
      </c>
      <c r="AJ66" s="54" t="inlineStr">
        <is>
          <t>Produção Tot.</t>
        </is>
      </c>
      <c r="AK66" s="54" t="inlineStr">
        <is>
          <t>Obs.</t>
        </is>
      </c>
      <c r="AL66" s="54" t="inlineStr">
        <is>
          <t>Saldo Pulso</t>
        </is>
      </c>
      <c r="AM66" s="54" t="inlineStr">
        <is>
          <t>Saldo Anterior</t>
        </is>
      </c>
      <c r="AN66" s="54" t="inlineStr">
        <is>
          <t>Captação Líq.</t>
        </is>
      </c>
      <c r="AO66" s="54" t="inlineStr">
        <is>
          <t>COE</t>
        </is>
      </c>
      <c r="AP66" s="54" t="inlineStr">
        <is>
          <t>Previdência</t>
        </is>
      </c>
      <c r="AQ66" s="54" t="inlineStr">
        <is>
          <t>Créd. Privado</t>
        </is>
      </c>
      <c r="AR66" s="54" t="inlineStr">
        <is>
          <t>Tít. Públicos</t>
        </is>
      </c>
      <c r="AS66" s="54" t="inlineStr">
        <is>
          <t>Produção Tot.</t>
        </is>
      </c>
      <c r="AT66" s="54" t="inlineStr">
        <is>
          <t>Obs.</t>
        </is>
      </c>
      <c r="AU66" s="54" t="inlineStr">
        <is>
          <t>Saldo Pulso</t>
        </is>
      </c>
      <c r="AV66" s="54" t="inlineStr">
        <is>
          <t>Saldo Anterior</t>
        </is>
      </c>
      <c r="AW66" s="54" t="inlineStr">
        <is>
          <t>Captação Líq.</t>
        </is>
      </c>
      <c r="AX66" s="54" t="inlineStr">
        <is>
          <t>COE</t>
        </is>
      </c>
      <c r="AY66" s="54" t="inlineStr">
        <is>
          <t>Previdência</t>
        </is>
      </c>
      <c r="AZ66" s="54" t="inlineStr">
        <is>
          <t>Créd. Privado</t>
        </is>
      </c>
      <c r="BA66" s="54" t="inlineStr">
        <is>
          <t>Tít. Públicos</t>
        </is>
      </c>
      <c r="BB66" s="54" t="inlineStr">
        <is>
          <t>Produção Tot.</t>
        </is>
      </c>
      <c r="BC66" s="54" t="inlineStr">
        <is>
          <t>Obs.</t>
        </is>
      </c>
      <c r="BD66" s="54" t="inlineStr">
        <is>
          <t>Saldo Pulso</t>
        </is>
      </c>
      <c r="BE66" s="54" t="inlineStr">
        <is>
          <t>Saldo Anterior</t>
        </is>
      </c>
      <c r="BF66" s="54" t="inlineStr">
        <is>
          <t>Captação Líq.</t>
        </is>
      </c>
      <c r="BG66" s="54" t="inlineStr">
        <is>
          <t>COE</t>
        </is>
      </c>
      <c r="BH66" s="54" t="inlineStr">
        <is>
          <t>Previdência</t>
        </is>
      </c>
      <c r="BI66" s="54" t="inlineStr">
        <is>
          <t>Créd. Privado</t>
        </is>
      </c>
      <c r="BJ66" s="54" t="inlineStr">
        <is>
          <t>Tít. Públicos</t>
        </is>
      </c>
      <c r="BK66" s="54" t="inlineStr">
        <is>
          <t>Produção Tot.</t>
        </is>
      </c>
      <c r="BL66" s="54" t="inlineStr">
        <is>
          <t>Obs.</t>
        </is>
      </c>
      <c r="BM66" s="54" t="inlineStr">
        <is>
          <t>Saldo Pulso</t>
        </is>
      </c>
      <c r="BN66" s="54" t="inlineStr">
        <is>
          <t>Saldo Anterior</t>
        </is>
      </c>
      <c r="BO66" s="54" t="inlineStr">
        <is>
          <t>Captação Líq.</t>
        </is>
      </c>
      <c r="BP66" s="54" t="inlineStr">
        <is>
          <t>COE</t>
        </is>
      </c>
      <c r="BQ66" s="54" t="inlineStr">
        <is>
          <t>Previdência</t>
        </is>
      </c>
      <c r="BR66" s="54" t="inlineStr">
        <is>
          <t>Créd. Privado</t>
        </is>
      </c>
      <c r="BS66" s="54" t="inlineStr">
        <is>
          <t>Tít. Públicos</t>
        </is>
      </c>
      <c r="BT66" s="54" t="inlineStr">
        <is>
          <t>Produção Tot.</t>
        </is>
      </c>
      <c r="BU66" s="54" t="inlineStr">
        <is>
          <t>Obs.</t>
        </is>
      </c>
      <c r="BV66" s="54" t="inlineStr">
        <is>
          <t>Saldo Pulso</t>
        </is>
      </c>
      <c r="BW66" s="54" t="inlineStr">
        <is>
          <t>Saldo Anterior</t>
        </is>
      </c>
      <c r="BX66" s="54" t="inlineStr">
        <is>
          <t>Captação Líq.</t>
        </is>
      </c>
      <c r="BY66" s="54" t="inlineStr">
        <is>
          <t>COE</t>
        </is>
      </c>
      <c r="BZ66" s="54" t="inlineStr">
        <is>
          <t>Previdência</t>
        </is>
      </c>
      <c r="CA66" s="54" t="inlineStr">
        <is>
          <t>Créd. Privado</t>
        </is>
      </c>
      <c r="CB66" s="54" t="inlineStr">
        <is>
          <t>Tít. Públicos</t>
        </is>
      </c>
      <c r="CC66" s="54" t="inlineStr">
        <is>
          <t>Produção Tot.</t>
        </is>
      </c>
      <c r="CD66" s="54" t="inlineStr">
        <is>
          <t>Obs.</t>
        </is>
      </c>
      <c r="CE66" s="54" t="inlineStr">
        <is>
          <t>Saldo Pulso</t>
        </is>
      </c>
      <c r="CF66" s="54" t="inlineStr">
        <is>
          <t>Saldo Anterior</t>
        </is>
      </c>
      <c r="CG66" s="54" t="inlineStr">
        <is>
          <t>Captação Líq.</t>
        </is>
      </c>
      <c r="CH66" s="54" t="inlineStr">
        <is>
          <t>COE</t>
        </is>
      </c>
      <c r="CI66" s="54" t="inlineStr">
        <is>
          <t>Previdência</t>
        </is>
      </c>
      <c r="CJ66" s="54" t="inlineStr">
        <is>
          <t>Créd. Privado</t>
        </is>
      </c>
      <c r="CK66" s="54" t="inlineStr">
        <is>
          <t>Tít. Públicos</t>
        </is>
      </c>
      <c r="CL66" s="54" t="inlineStr">
        <is>
          <t>Produção Tot.</t>
        </is>
      </c>
      <c r="CM66" s="54" t="inlineStr">
        <is>
          <t>Obs.</t>
        </is>
      </c>
      <c r="CN66" s="54" t="inlineStr">
        <is>
          <t>Saldo Pulso</t>
        </is>
      </c>
      <c r="CO66" s="54" t="inlineStr">
        <is>
          <t>Saldo Anterior</t>
        </is>
      </c>
      <c r="CP66" s="54" t="inlineStr">
        <is>
          <t>Captação Líq.</t>
        </is>
      </c>
      <c r="CQ66" s="54" t="inlineStr">
        <is>
          <t>COE</t>
        </is>
      </c>
      <c r="CR66" s="54" t="inlineStr">
        <is>
          <t>Previdência</t>
        </is>
      </c>
      <c r="CS66" s="54" t="inlineStr">
        <is>
          <t>Créd. Privado</t>
        </is>
      </c>
      <c r="CT66" s="54" t="inlineStr">
        <is>
          <t>Tít. Públicos</t>
        </is>
      </c>
      <c r="CU66" s="54" t="inlineStr">
        <is>
          <t>Produção Tot.</t>
        </is>
      </c>
      <c r="CV66" s="54" t="inlineStr">
        <is>
          <t>Obs.</t>
        </is>
      </c>
      <c r="CW66" s="54" t="inlineStr">
        <is>
          <t>Saldo Pulso</t>
        </is>
      </c>
      <c r="CX66" s="54" t="inlineStr">
        <is>
          <t>Saldo Anterior</t>
        </is>
      </c>
      <c r="CY66" s="54" t="inlineStr">
        <is>
          <t>Captação Líq.</t>
        </is>
      </c>
      <c r="CZ66" s="54" t="inlineStr">
        <is>
          <t>COE</t>
        </is>
      </c>
      <c r="DA66" s="54" t="inlineStr">
        <is>
          <t>Previdência</t>
        </is>
      </c>
      <c r="DB66" s="54" t="inlineStr">
        <is>
          <t>Créd. Privado</t>
        </is>
      </c>
      <c r="DC66" s="54" t="inlineStr">
        <is>
          <t>Tít. Públicos</t>
        </is>
      </c>
      <c r="DD66" s="54" t="inlineStr">
        <is>
          <t>Produção Tot.</t>
        </is>
      </c>
      <c r="DE66" s="54" t="inlineStr">
        <is>
          <t>Obs.</t>
        </is>
      </c>
      <c r="DF66" s="54" t="inlineStr">
        <is>
          <t>Saldo Pulso</t>
        </is>
      </c>
      <c r="DG66" s="54" t="inlineStr">
        <is>
          <t>Saldo Anterior</t>
        </is>
      </c>
      <c r="DH66" s="54" t="inlineStr">
        <is>
          <t>Captação Líq.</t>
        </is>
      </c>
      <c r="DI66" s="54" t="inlineStr">
        <is>
          <t>COE</t>
        </is>
      </c>
      <c r="DJ66" s="54" t="inlineStr">
        <is>
          <t>Previdência</t>
        </is>
      </c>
      <c r="DK66" s="54" t="inlineStr">
        <is>
          <t>Créd. Privado</t>
        </is>
      </c>
      <c r="DL66" s="54" t="inlineStr">
        <is>
          <t>Tít. Públicos</t>
        </is>
      </c>
      <c r="DM66" s="54" t="inlineStr">
        <is>
          <t>Produção Tot.</t>
        </is>
      </c>
      <c r="DN66" s="54" t="inlineStr">
        <is>
          <t>Obs.</t>
        </is>
      </c>
      <c r="DO66" s="54" t="inlineStr">
        <is>
          <t>Saldo Pulso</t>
        </is>
      </c>
      <c r="DP66" s="54" t="inlineStr">
        <is>
          <t>Saldo Anterior</t>
        </is>
      </c>
      <c r="DQ66" s="54" t="inlineStr">
        <is>
          <t>Captação Líq.</t>
        </is>
      </c>
      <c r="DR66" s="54" t="inlineStr">
        <is>
          <t>COE</t>
        </is>
      </c>
      <c r="DS66" s="54" t="inlineStr">
        <is>
          <t>Previdência</t>
        </is>
      </c>
      <c r="DT66" s="54" t="inlineStr">
        <is>
          <t>Créd. Privado</t>
        </is>
      </c>
      <c r="DU66" s="54" t="inlineStr">
        <is>
          <t>Tít. Públicos</t>
        </is>
      </c>
      <c r="DV66" s="54" t="inlineStr">
        <is>
          <t>Produção Tot.</t>
        </is>
      </c>
      <c r="DW66" s="54" t="inlineStr">
        <is>
          <t>Obs.</t>
        </is>
      </c>
      <c r="DX66" s="54" t="inlineStr">
        <is>
          <t>Saldo Pulso</t>
        </is>
      </c>
      <c r="DY66" s="54" t="inlineStr">
        <is>
          <t>Saldo Anterior</t>
        </is>
      </c>
      <c r="DZ66" s="54" t="inlineStr">
        <is>
          <t>Captação Líq.</t>
        </is>
      </c>
      <c r="EA66" s="54" t="inlineStr">
        <is>
          <t>COE</t>
        </is>
      </c>
      <c r="EB66" s="54" t="inlineStr">
        <is>
          <t>Previdência</t>
        </is>
      </c>
      <c r="EC66" s="54" t="inlineStr">
        <is>
          <t>Créd. Privado</t>
        </is>
      </c>
      <c r="ED66" s="54" t="inlineStr">
        <is>
          <t>Tít. Públicos</t>
        </is>
      </c>
      <c r="EE66" s="54" t="inlineStr">
        <is>
          <t>Produção Tot.</t>
        </is>
      </c>
      <c r="EF66" s="54" t="inlineStr">
        <is>
          <t>Obs.</t>
        </is>
      </c>
      <c r="EG66" s="54" t="inlineStr">
        <is>
          <t>Saldo Pulso</t>
        </is>
      </c>
      <c r="EH66" s="54" t="inlineStr">
        <is>
          <t>Saldo Anterior</t>
        </is>
      </c>
      <c r="EI66" s="54" t="inlineStr">
        <is>
          <t>Captação Líq.</t>
        </is>
      </c>
      <c r="EJ66" s="54" t="inlineStr">
        <is>
          <t>COE</t>
        </is>
      </c>
      <c r="EK66" s="54" t="inlineStr">
        <is>
          <t>Previdência</t>
        </is>
      </c>
      <c r="EL66" s="54" t="inlineStr">
        <is>
          <t>Créd. Privado</t>
        </is>
      </c>
      <c r="EM66" s="54" t="inlineStr">
        <is>
          <t>Tít. Públicos</t>
        </is>
      </c>
      <c r="EN66" s="54" t="inlineStr">
        <is>
          <t>Produção Tot.</t>
        </is>
      </c>
      <c r="EO66" s="54" t="inlineStr">
        <is>
          <t>Obs.</t>
        </is>
      </c>
      <c r="EP66" s="54" t="inlineStr">
        <is>
          <t>Saldo Pulso</t>
        </is>
      </c>
      <c r="EQ66" s="54" t="inlineStr">
        <is>
          <t>Saldo Anterior</t>
        </is>
      </c>
      <c r="ER66" s="54" t="inlineStr">
        <is>
          <t>Captação Líq.</t>
        </is>
      </c>
      <c r="ES66" s="54" t="inlineStr">
        <is>
          <t>COE</t>
        </is>
      </c>
      <c r="ET66" s="54" t="inlineStr">
        <is>
          <t>Previdência</t>
        </is>
      </c>
      <c r="EU66" s="54" t="inlineStr">
        <is>
          <t>Créd. Privado</t>
        </is>
      </c>
      <c r="EV66" s="54" t="inlineStr">
        <is>
          <t>Tít. Públicos</t>
        </is>
      </c>
      <c r="EW66" s="54" t="inlineStr">
        <is>
          <t>Produção Tot.</t>
        </is>
      </c>
      <c r="EX66" s="54" t="inlineStr">
        <is>
          <t>Obs.</t>
        </is>
      </c>
      <c r="EY66" s="54" t="inlineStr">
        <is>
          <t>Saldo Pulso</t>
        </is>
      </c>
      <c r="EZ66" s="54" t="inlineStr">
        <is>
          <t>Saldo Anterior</t>
        </is>
      </c>
      <c r="FA66" s="54" t="inlineStr">
        <is>
          <t>Captação Líq.</t>
        </is>
      </c>
      <c r="FB66" s="54" t="inlineStr">
        <is>
          <t>COE</t>
        </is>
      </c>
      <c r="FC66" s="54" t="inlineStr">
        <is>
          <t>Previdência</t>
        </is>
      </c>
      <c r="FD66" s="54" t="inlineStr">
        <is>
          <t>Créd. Privado</t>
        </is>
      </c>
      <c r="FE66" s="54" t="inlineStr">
        <is>
          <t>Tít. Públicos</t>
        </is>
      </c>
      <c r="FF66" s="54" t="inlineStr">
        <is>
          <t>Produção Tot.</t>
        </is>
      </c>
      <c r="FG66" s="54" t="inlineStr">
        <is>
          <t>Obs.</t>
        </is>
      </c>
      <c r="FH66" s="54" t="inlineStr">
        <is>
          <t>Saldo Pulso</t>
        </is>
      </c>
      <c r="FI66" s="54" t="inlineStr">
        <is>
          <t>Saldo Anterior</t>
        </is>
      </c>
      <c r="FJ66" s="54" t="inlineStr">
        <is>
          <t>Captação Líq.</t>
        </is>
      </c>
      <c r="FK66" s="54" t="inlineStr">
        <is>
          <t>COE</t>
        </is>
      </c>
      <c r="FL66" s="54" t="inlineStr">
        <is>
          <t>Previdência</t>
        </is>
      </c>
      <c r="FM66" s="54" t="inlineStr">
        <is>
          <t>Créd. Privado</t>
        </is>
      </c>
      <c r="FN66" s="54" t="inlineStr">
        <is>
          <t>Tít. Públicos</t>
        </is>
      </c>
      <c r="FO66" s="54" t="inlineStr">
        <is>
          <t>Produção Tot.</t>
        </is>
      </c>
      <c r="FP66" s="54" t="inlineStr">
        <is>
          <t>Obs.</t>
        </is>
      </c>
      <c r="FQ66" s="54" t="inlineStr">
        <is>
          <t>Saldo Pulso</t>
        </is>
      </c>
      <c r="FR66" s="54" t="inlineStr">
        <is>
          <t>Saldo Anterior</t>
        </is>
      </c>
      <c r="FS66" s="54" t="inlineStr">
        <is>
          <t>Captação Líq.</t>
        </is>
      </c>
      <c r="FT66" s="54" t="inlineStr">
        <is>
          <t>COE</t>
        </is>
      </c>
      <c r="FU66" s="54" t="inlineStr">
        <is>
          <t>Previdência</t>
        </is>
      </c>
      <c r="FV66" s="54" t="inlineStr">
        <is>
          <t>Créd. Privado</t>
        </is>
      </c>
      <c r="FW66" s="54" t="inlineStr">
        <is>
          <t>Tít. Públicos</t>
        </is>
      </c>
      <c r="FX66" s="54" t="inlineStr">
        <is>
          <t>Produção Tot.</t>
        </is>
      </c>
      <c r="FY66" s="54" t="inlineStr">
        <is>
          <t>Obs.</t>
        </is>
      </c>
      <c r="FZ66" s="54" t="inlineStr">
        <is>
          <t>Saldo Pulso</t>
        </is>
      </c>
      <c r="GA66" s="54" t="inlineStr">
        <is>
          <t>Saldo Anterior</t>
        </is>
      </c>
      <c r="GB66" s="54" t="inlineStr">
        <is>
          <t>Captação Líq.</t>
        </is>
      </c>
      <c r="GC66" s="54" t="inlineStr">
        <is>
          <t>COE</t>
        </is>
      </c>
      <c r="GD66" s="54" t="inlineStr">
        <is>
          <t>Previdência</t>
        </is>
      </c>
      <c r="GE66" s="54" t="inlineStr">
        <is>
          <t>Créd. Privado</t>
        </is>
      </c>
      <c r="GF66" s="54" t="inlineStr">
        <is>
          <t>Tít. Públicos</t>
        </is>
      </c>
      <c r="GG66" s="54" t="inlineStr">
        <is>
          <t>Produção Tot.</t>
        </is>
      </c>
      <c r="GH66" s="54" t="inlineStr">
        <is>
          <t>Obs.</t>
        </is>
      </c>
      <c r="GI66" s="54" t="inlineStr">
        <is>
          <t>Saldo Pulso</t>
        </is>
      </c>
      <c r="GJ66" s="54" t="inlineStr">
        <is>
          <t>Saldo Anterior</t>
        </is>
      </c>
      <c r="GK66" s="54" t="inlineStr">
        <is>
          <t>Captação Líq.</t>
        </is>
      </c>
      <c r="GL66" s="54" t="inlineStr">
        <is>
          <t>COE</t>
        </is>
      </c>
      <c r="GM66" s="54" t="inlineStr">
        <is>
          <t>Previdência</t>
        </is>
      </c>
      <c r="GN66" s="54" t="inlineStr">
        <is>
          <t>Créd. Privado</t>
        </is>
      </c>
      <c r="GO66" s="54" t="inlineStr">
        <is>
          <t>Tít. Públicos</t>
        </is>
      </c>
      <c r="GP66" s="54" t="inlineStr">
        <is>
          <t>Produção Tot.</t>
        </is>
      </c>
      <c r="GQ66" s="54" t="inlineStr">
        <is>
          <t>Obs.</t>
        </is>
      </c>
      <c r="GR66" s="54" t="inlineStr">
        <is>
          <t>Saldo Pulso</t>
        </is>
      </c>
      <c r="GS66" s="54" t="inlineStr">
        <is>
          <t>Saldo Anterior</t>
        </is>
      </c>
      <c r="GT66" s="54" t="inlineStr">
        <is>
          <t>Captação Líq.</t>
        </is>
      </c>
      <c r="GU66" s="54" t="inlineStr">
        <is>
          <t>COE</t>
        </is>
      </c>
      <c r="GV66" s="54" t="inlineStr">
        <is>
          <t>Previdência</t>
        </is>
      </c>
      <c r="GW66" s="54" t="inlineStr">
        <is>
          <t>Créd. Privado</t>
        </is>
      </c>
      <c r="GX66" s="54" t="inlineStr">
        <is>
          <t>Tít. Públicos</t>
        </is>
      </c>
      <c r="GY66" s="54" t="inlineStr">
        <is>
          <t>Produção Tot.</t>
        </is>
      </c>
      <c r="GZ66" s="54" t="inlineStr">
        <is>
          <t>Obs.</t>
        </is>
      </c>
      <c r="HA66" s="54" t="inlineStr">
        <is>
          <t>Saldo Pulso</t>
        </is>
      </c>
      <c r="HB66" s="54" t="inlineStr">
        <is>
          <t>Saldo Anterior</t>
        </is>
      </c>
      <c r="HC66" s="54" t="inlineStr">
        <is>
          <t>Captação Líq.</t>
        </is>
      </c>
      <c r="HD66" s="54" t="inlineStr">
        <is>
          <t>COE</t>
        </is>
      </c>
      <c r="HE66" s="54" t="inlineStr">
        <is>
          <t>Previdência</t>
        </is>
      </c>
      <c r="HF66" s="54" t="inlineStr">
        <is>
          <t>Créd. Privado</t>
        </is>
      </c>
      <c r="HG66" s="54" t="inlineStr">
        <is>
          <t>Tít. Públicos</t>
        </is>
      </c>
      <c r="HH66" s="54" t="inlineStr">
        <is>
          <t>Produção Tot.</t>
        </is>
      </c>
      <c r="HI66" s="54" t="inlineStr">
        <is>
          <t>Obs.</t>
        </is>
      </c>
      <c r="HJ66" s="54" t="inlineStr">
        <is>
          <t>Saldo Pulso</t>
        </is>
      </c>
      <c r="HK66" s="54" t="inlineStr">
        <is>
          <t>Saldo Anterior</t>
        </is>
      </c>
      <c r="HL66" s="54" t="inlineStr">
        <is>
          <t>Captação Líq.</t>
        </is>
      </c>
      <c r="HM66" s="54" t="inlineStr">
        <is>
          <t>COE</t>
        </is>
      </c>
      <c r="HN66" s="54" t="inlineStr">
        <is>
          <t>Previdência</t>
        </is>
      </c>
      <c r="HO66" s="54" t="inlineStr">
        <is>
          <t>Créd. Privado</t>
        </is>
      </c>
      <c r="HP66" s="54" t="inlineStr">
        <is>
          <t>Tít. Públicos</t>
        </is>
      </c>
      <c r="HQ66" s="54" t="inlineStr">
        <is>
          <t>Produção Tot.</t>
        </is>
      </c>
      <c r="HR66" s="54" t="inlineStr">
        <is>
          <t>Obs.</t>
        </is>
      </c>
      <c r="HS66" s="54" t="inlineStr">
        <is>
          <t>Saldo Pulso</t>
        </is>
      </c>
      <c r="HT66" s="54" t="inlineStr">
        <is>
          <t>Saldo Anterior</t>
        </is>
      </c>
      <c r="HU66" s="54" t="inlineStr">
        <is>
          <t>Captação Líq.</t>
        </is>
      </c>
      <c r="HV66" s="54" t="inlineStr">
        <is>
          <t>COE</t>
        </is>
      </c>
      <c r="HW66" s="54" t="inlineStr">
        <is>
          <t>Previdência</t>
        </is>
      </c>
      <c r="HX66" s="54" t="inlineStr">
        <is>
          <t>Créd. Privado</t>
        </is>
      </c>
      <c r="HY66" s="54" t="inlineStr">
        <is>
          <t>Tít. Públicos</t>
        </is>
      </c>
      <c r="HZ66" s="54" t="inlineStr">
        <is>
          <t>Produção Tot.</t>
        </is>
      </c>
      <c r="IA66" s="54" t="inlineStr">
        <is>
          <t>Obs.</t>
        </is>
      </c>
      <c r="IB66" s="54" t="inlineStr">
        <is>
          <t>Saldo Pulso</t>
        </is>
      </c>
      <c r="IC66" s="54" t="inlineStr">
        <is>
          <t>Saldo Anterior</t>
        </is>
      </c>
      <c r="ID66" s="54" t="inlineStr">
        <is>
          <t>Captação Líq.</t>
        </is>
      </c>
      <c r="IE66" s="54" t="inlineStr">
        <is>
          <t>COE</t>
        </is>
      </c>
      <c r="IF66" s="54" t="inlineStr">
        <is>
          <t>Previdência</t>
        </is>
      </c>
      <c r="IG66" s="54" t="inlineStr">
        <is>
          <t>Créd. Privado</t>
        </is>
      </c>
      <c r="IH66" s="54" t="inlineStr">
        <is>
          <t>Tít. Públicos</t>
        </is>
      </c>
      <c r="II66" s="54" t="inlineStr">
        <is>
          <t>Produção Tot.</t>
        </is>
      </c>
      <c r="IJ66" s="54" t="inlineStr">
        <is>
          <t>Obs.</t>
        </is>
      </c>
      <c r="IK66" s="54" t="inlineStr">
        <is>
          <t>Saldo Pulso</t>
        </is>
      </c>
      <c r="IL66" s="54" t="inlineStr">
        <is>
          <t>Saldo Anterior</t>
        </is>
      </c>
      <c r="IM66" s="54" t="inlineStr">
        <is>
          <t>Captação Líq.</t>
        </is>
      </c>
      <c r="IN66" s="54" t="inlineStr">
        <is>
          <t>COE</t>
        </is>
      </c>
      <c r="IO66" s="54" t="inlineStr">
        <is>
          <t>Previdência</t>
        </is>
      </c>
      <c r="IP66" s="54" t="inlineStr">
        <is>
          <t>Créd. Privado</t>
        </is>
      </c>
      <c r="IQ66" s="54" t="inlineStr">
        <is>
          <t>Tít. Públicos</t>
        </is>
      </c>
      <c r="IR66" s="54" t="inlineStr">
        <is>
          <t>Produção Tot.</t>
        </is>
      </c>
      <c r="IS66" s="54" t="inlineStr">
        <is>
          <t>Obs.</t>
        </is>
      </c>
      <c r="IT66" s="54" t="inlineStr">
        <is>
          <t>Saldo Pulso</t>
        </is>
      </c>
      <c r="IU66" s="54" t="inlineStr">
        <is>
          <t>Saldo Anterior</t>
        </is>
      </c>
      <c r="IV66" s="54" t="inlineStr">
        <is>
          <t>Captação Líq.</t>
        </is>
      </c>
      <c r="IW66" s="54" t="inlineStr">
        <is>
          <t>COE</t>
        </is>
      </c>
      <c r="IX66" s="54" t="inlineStr">
        <is>
          <t>Previdência</t>
        </is>
      </c>
      <c r="IY66" s="54" t="inlineStr">
        <is>
          <t>Créd. Privado</t>
        </is>
      </c>
      <c r="IZ66" s="54" t="inlineStr">
        <is>
          <t>Tít. Públicos</t>
        </is>
      </c>
      <c r="JA66" s="54" t="inlineStr">
        <is>
          <t>Produção Tot.</t>
        </is>
      </c>
      <c r="JB66" s="54" t="inlineStr">
        <is>
          <t>Obs.</t>
        </is>
      </c>
      <c r="JC66" s="54" t="inlineStr">
        <is>
          <t>Saldo Pulso</t>
        </is>
      </c>
      <c r="JD66" s="54" t="inlineStr">
        <is>
          <t>Saldo Anterior</t>
        </is>
      </c>
      <c r="JE66" s="54" t="inlineStr">
        <is>
          <t>Captação Líq.</t>
        </is>
      </c>
      <c r="JF66" s="54" t="inlineStr">
        <is>
          <t>COE</t>
        </is>
      </c>
      <c r="JG66" s="54" t="inlineStr">
        <is>
          <t>Previdência</t>
        </is>
      </c>
      <c r="JH66" s="54" t="inlineStr">
        <is>
          <t>Créd. Privado</t>
        </is>
      </c>
      <c r="JI66" s="54" t="inlineStr">
        <is>
          <t>Tít. Públicos</t>
        </is>
      </c>
      <c r="JJ66" s="54" t="inlineStr">
        <is>
          <t>Produção Tot.</t>
        </is>
      </c>
      <c r="JK66" s="54" t="inlineStr">
        <is>
          <t>Obs.</t>
        </is>
      </c>
      <c r="JL66" s="54" t="inlineStr">
        <is>
          <t>Saldo Pulso</t>
        </is>
      </c>
      <c r="JM66" s="54" t="inlineStr">
        <is>
          <t>Saldo Anterior</t>
        </is>
      </c>
      <c r="JN66" s="54" t="inlineStr">
        <is>
          <t>Captação Líq.</t>
        </is>
      </c>
      <c r="JO66" s="54" t="inlineStr">
        <is>
          <t>COE</t>
        </is>
      </c>
      <c r="JP66" s="54" t="inlineStr">
        <is>
          <t>Previdência</t>
        </is>
      </c>
      <c r="JQ66" s="54" t="inlineStr">
        <is>
          <t>Créd. Privado</t>
        </is>
      </c>
      <c r="JR66" s="54" t="inlineStr">
        <is>
          <t>Tít. Públicos</t>
        </is>
      </c>
      <c r="JS66" s="54" t="inlineStr">
        <is>
          <t>Produção Tot.</t>
        </is>
      </c>
      <c r="JT66" s="54" t="inlineStr">
        <is>
          <t>Obs.</t>
        </is>
      </c>
      <c r="JU66" s="55" t="n"/>
      <c r="JV66" s="55" t="n"/>
      <c r="JW66" s="55" t="n"/>
      <c r="JX66" s="55" t="n"/>
      <c r="JY66" s="55" t="n"/>
      <c r="JZ66" s="55" t="n"/>
      <c r="KA66" s="55" t="n"/>
    </row>
    <row r="67" ht="20" customHeight="1">
      <c r="A67" s="56">
        <f>IF(Configurações!$B$7="","Assessor 1",Configurações!$B$7)</f>
        <v/>
      </c>
      <c r="B67" s="57" t="n"/>
      <c r="C67" s="58">
        <f>'Fevereiro'!$JW67</f>
        <v/>
      </c>
      <c r="D67" s="59" t="n"/>
      <c r="E67" s="57" t="n"/>
      <c r="F67" s="57" t="n"/>
      <c r="G67" s="57" t="n"/>
      <c r="H67" s="57" t="n"/>
      <c r="I67" s="60">
        <f>SUM(E67:H67)</f>
        <v/>
      </c>
      <c r="J67" s="61" t="n"/>
      <c r="K67" s="57" t="n"/>
      <c r="L67" s="58">
        <f>B67</f>
        <v/>
      </c>
      <c r="M67" s="59" t="n"/>
      <c r="N67" s="57" t="n"/>
      <c r="O67" s="57" t="n"/>
      <c r="P67" s="57" t="n"/>
      <c r="Q67" s="57" t="n"/>
      <c r="R67" s="60">
        <f>SUM(N67:Q67)</f>
        <v/>
      </c>
      <c r="S67" s="61" t="n"/>
      <c r="T67" s="57" t="n"/>
      <c r="U67" s="58">
        <f>K67</f>
        <v/>
      </c>
      <c r="V67" s="59" t="n"/>
      <c r="W67" s="57" t="n"/>
      <c r="X67" s="57" t="n"/>
      <c r="Y67" s="57" t="n"/>
      <c r="Z67" s="57" t="n"/>
      <c r="AA67" s="60">
        <f>SUM(W67:Z67)</f>
        <v/>
      </c>
      <c r="AB67" s="61" t="n"/>
      <c r="AC67" s="57" t="n"/>
      <c r="AD67" s="58">
        <f>T67</f>
        <v/>
      </c>
      <c r="AE67" s="59" t="n"/>
      <c r="AF67" s="57" t="n"/>
      <c r="AG67" s="57" t="n"/>
      <c r="AH67" s="57" t="n"/>
      <c r="AI67" s="57" t="n"/>
      <c r="AJ67" s="60">
        <f>SUM(AF67:AI67)</f>
        <v/>
      </c>
      <c r="AK67" s="61" t="n"/>
      <c r="AL67" s="57" t="n"/>
      <c r="AM67" s="58">
        <f>AC67</f>
        <v/>
      </c>
      <c r="AN67" s="59" t="n"/>
      <c r="AO67" s="57" t="n"/>
      <c r="AP67" s="57" t="n"/>
      <c r="AQ67" s="57" t="n"/>
      <c r="AR67" s="57" t="n"/>
      <c r="AS67" s="60">
        <f>SUM(AO67:AR67)</f>
        <v/>
      </c>
      <c r="AT67" s="61" t="n"/>
      <c r="AU67" s="57" t="n"/>
      <c r="AV67" s="58">
        <f>AL67</f>
        <v/>
      </c>
      <c r="AW67" s="59" t="n"/>
      <c r="AX67" s="57" t="n"/>
      <c r="AY67" s="57" t="n"/>
      <c r="AZ67" s="57" t="n"/>
      <c r="BA67" s="57" t="n"/>
      <c r="BB67" s="60">
        <f>SUM(AX67:BA67)</f>
        <v/>
      </c>
      <c r="BC67" s="61" t="n"/>
      <c r="BD67" s="57" t="n"/>
      <c r="BE67" s="58">
        <f>AU67</f>
        <v/>
      </c>
      <c r="BF67" s="59" t="n"/>
      <c r="BG67" s="57" t="n"/>
      <c r="BH67" s="57" t="n"/>
      <c r="BI67" s="57" t="n"/>
      <c r="BJ67" s="57" t="n"/>
      <c r="BK67" s="60">
        <f>SUM(BG67:BJ67)</f>
        <v/>
      </c>
      <c r="BL67" s="61" t="n"/>
      <c r="BM67" s="57" t="n"/>
      <c r="BN67" s="58">
        <f>BD67</f>
        <v/>
      </c>
      <c r="BO67" s="59" t="n"/>
      <c r="BP67" s="57" t="n"/>
      <c r="BQ67" s="57" t="n"/>
      <c r="BR67" s="57" t="n"/>
      <c r="BS67" s="57" t="n"/>
      <c r="BT67" s="60">
        <f>SUM(BP67:BS67)</f>
        <v/>
      </c>
      <c r="BU67" s="61" t="n"/>
      <c r="BV67" s="57" t="n"/>
      <c r="BW67" s="58">
        <f>BM67</f>
        <v/>
      </c>
      <c r="BX67" s="59" t="n"/>
      <c r="BY67" s="57" t="n"/>
      <c r="BZ67" s="57" t="n"/>
      <c r="CA67" s="57" t="n"/>
      <c r="CB67" s="57" t="n"/>
      <c r="CC67" s="60">
        <f>SUM(BY67:CB67)</f>
        <v/>
      </c>
      <c r="CD67" s="61" t="n"/>
      <c r="CE67" s="57" t="n"/>
      <c r="CF67" s="58">
        <f>BV67</f>
        <v/>
      </c>
      <c r="CG67" s="59" t="n"/>
      <c r="CH67" s="57" t="n"/>
      <c r="CI67" s="57" t="n"/>
      <c r="CJ67" s="57" t="n"/>
      <c r="CK67" s="57" t="n"/>
      <c r="CL67" s="60">
        <f>SUM(CH67:CK67)</f>
        <v/>
      </c>
      <c r="CM67" s="61" t="n"/>
      <c r="CN67" s="57" t="n"/>
      <c r="CO67" s="58">
        <f>CE67</f>
        <v/>
      </c>
      <c r="CP67" s="59" t="n"/>
      <c r="CQ67" s="57" t="n"/>
      <c r="CR67" s="57" t="n"/>
      <c r="CS67" s="57" t="n"/>
      <c r="CT67" s="57" t="n"/>
      <c r="CU67" s="60">
        <f>SUM(CQ67:CT67)</f>
        <v/>
      </c>
      <c r="CV67" s="61" t="n"/>
      <c r="CW67" s="57" t="n"/>
      <c r="CX67" s="58">
        <f>CN67</f>
        <v/>
      </c>
      <c r="CY67" s="59" t="n"/>
      <c r="CZ67" s="57" t="n"/>
      <c r="DA67" s="57" t="n"/>
      <c r="DB67" s="57" t="n"/>
      <c r="DC67" s="57" t="n"/>
      <c r="DD67" s="60">
        <f>SUM(CZ67:DC67)</f>
        <v/>
      </c>
      <c r="DE67" s="61" t="n"/>
      <c r="DF67" s="57" t="n"/>
      <c r="DG67" s="58">
        <f>CW67</f>
        <v/>
      </c>
      <c r="DH67" s="59" t="n"/>
      <c r="DI67" s="57" t="n"/>
      <c r="DJ67" s="57" t="n"/>
      <c r="DK67" s="57" t="n"/>
      <c r="DL67" s="57" t="n"/>
      <c r="DM67" s="60">
        <f>SUM(DI67:DL67)</f>
        <v/>
      </c>
      <c r="DN67" s="61" t="n"/>
      <c r="DO67" s="57" t="n"/>
      <c r="DP67" s="58">
        <f>DF67</f>
        <v/>
      </c>
      <c r="DQ67" s="59" t="n"/>
      <c r="DR67" s="57" t="n"/>
      <c r="DS67" s="57" t="n"/>
      <c r="DT67" s="57" t="n"/>
      <c r="DU67" s="57" t="n"/>
      <c r="DV67" s="60">
        <f>SUM(DR67:DU67)</f>
        <v/>
      </c>
      <c r="DW67" s="61" t="n"/>
      <c r="DX67" s="57" t="n"/>
      <c r="DY67" s="58">
        <f>DO67</f>
        <v/>
      </c>
      <c r="DZ67" s="59" t="n"/>
      <c r="EA67" s="57" t="n"/>
      <c r="EB67" s="57" t="n"/>
      <c r="EC67" s="57" t="n"/>
      <c r="ED67" s="57" t="n"/>
      <c r="EE67" s="60">
        <f>SUM(EA67:ED67)</f>
        <v/>
      </c>
      <c r="EF67" s="61" t="n"/>
      <c r="EG67" s="57" t="n"/>
      <c r="EH67" s="58">
        <f>DX67</f>
        <v/>
      </c>
      <c r="EI67" s="59" t="n"/>
      <c r="EJ67" s="57" t="n"/>
      <c r="EK67" s="57" t="n"/>
      <c r="EL67" s="57" t="n"/>
      <c r="EM67" s="57" t="n"/>
      <c r="EN67" s="60">
        <f>SUM(EJ67:EM67)</f>
        <v/>
      </c>
      <c r="EO67" s="61" t="n"/>
      <c r="EP67" s="57" t="n"/>
      <c r="EQ67" s="58">
        <f>EG67</f>
        <v/>
      </c>
      <c r="ER67" s="59" t="n"/>
      <c r="ES67" s="57" t="n"/>
      <c r="ET67" s="57" t="n"/>
      <c r="EU67" s="57" t="n"/>
      <c r="EV67" s="57" t="n"/>
      <c r="EW67" s="60">
        <f>SUM(ES67:EV67)</f>
        <v/>
      </c>
      <c r="EX67" s="61" t="n"/>
      <c r="EY67" s="57" t="n"/>
      <c r="EZ67" s="58">
        <f>EP67</f>
        <v/>
      </c>
      <c r="FA67" s="59" t="n"/>
      <c r="FB67" s="57" t="n"/>
      <c r="FC67" s="57" t="n"/>
      <c r="FD67" s="57" t="n"/>
      <c r="FE67" s="57" t="n"/>
      <c r="FF67" s="60">
        <f>SUM(FB67:FE67)</f>
        <v/>
      </c>
      <c r="FG67" s="61" t="n"/>
      <c r="FH67" s="57" t="n"/>
      <c r="FI67" s="58">
        <f>EY67</f>
        <v/>
      </c>
      <c r="FJ67" s="59" t="n"/>
      <c r="FK67" s="57" t="n"/>
      <c r="FL67" s="57" t="n"/>
      <c r="FM67" s="57" t="n"/>
      <c r="FN67" s="57" t="n"/>
      <c r="FO67" s="60">
        <f>SUM(FK67:FN67)</f>
        <v/>
      </c>
      <c r="FP67" s="61" t="n"/>
      <c r="FQ67" s="57" t="n"/>
      <c r="FR67" s="58">
        <f>FH67</f>
        <v/>
      </c>
      <c r="FS67" s="59" t="n"/>
      <c r="FT67" s="57" t="n"/>
      <c r="FU67" s="57" t="n"/>
      <c r="FV67" s="57" t="n"/>
      <c r="FW67" s="57" t="n"/>
      <c r="FX67" s="60">
        <f>SUM(FT67:FW67)</f>
        <v/>
      </c>
      <c r="FY67" s="61" t="n"/>
      <c r="FZ67" s="57" t="n"/>
      <c r="GA67" s="58">
        <f>FQ67</f>
        <v/>
      </c>
      <c r="GB67" s="59" t="n"/>
      <c r="GC67" s="57" t="n"/>
      <c r="GD67" s="57" t="n"/>
      <c r="GE67" s="57" t="n"/>
      <c r="GF67" s="57" t="n"/>
      <c r="GG67" s="60">
        <f>SUM(GC67:GF67)</f>
        <v/>
      </c>
      <c r="GH67" s="61" t="n"/>
      <c r="GI67" s="57" t="n"/>
      <c r="GJ67" s="58">
        <f>FZ67</f>
        <v/>
      </c>
      <c r="GK67" s="59" t="n"/>
      <c r="GL67" s="57" t="n"/>
      <c r="GM67" s="57" t="n"/>
      <c r="GN67" s="57" t="n"/>
      <c r="GO67" s="57" t="n"/>
      <c r="GP67" s="60">
        <f>SUM(GL67:GO67)</f>
        <v/>
      </c>
      <c r="GQ67" s="61" t="n"/>
      <c r="GR67" s="57" t="n"/>
      <c r="GS67" s="58">
        <f>GI67</f>
        <v/>
      </c>
      <c r="GT67" s="59" t="n"/>
      <c r="GU67" s="57" t="n"/>
      <c r="GV67" s="57" t="n"/>
      <c r="GW67" s="57" t="n"/>
      <c r="GX67" s="57" t="n"/>
      <c r="GY67" s="60">
        <f>SUM(GU67:GX67)</f>
        <v/>
      </c>
      <c r="GZ67" s="61" t="n"/>
      <c r="HA67" s="57" t="n"/>
      <c r="HB67" s="58">
        <f>GR67</f>
        <v/>
      </c>
      <c r="HC67" s="59" t="n"/>
      <c r="HD67" s="57" t="n"/>
      <c r="HE67" s="57" t="n"/>
      <c r="HF67" s="57" t="n"/>
      <c r="HG67" s="57" t="n"/>
      <c r="HH67" s="60">
        <f>SUM(HD67:HG67)</f>
        <v/>
      </c>
      <c r="HI67" s="61" t="n"/>
      <c r="HJ67" s="57" t="n"/>
      <c r="HK67" s="58">
        <f>HA67</f>
        <v/>
      </c>
      <c r="HL67" s="59" t="n"/>
      <c r="HM67" s="57" t="n"/>
      <c r="HN67" s="57" t="n"/>
      <c r="HO67" s="57" t="n"/>
      <c r="HP67" s="57" t="n"/>
      <c r="HQ67" s="60">
        <f>SUM(HM67:HP67)</f>
        <v/>
      </c>
      <c r="HR67" s="61" t="n"/>
      <c r="HS67" s="57" t="n"/>
      <c r="HT67" s="58">
        <f>HJ67</f>
        <v/>
      </c>
      <c r="HU67" s="59" t="n"/>
      <c r="HV67" s="57" t="n"/>
      <c r="HW67" s="57" t="n"/>
      <c r="HX67" s="57" t="n"/>
      <c r="HY67" s="57" t="n"/>
      <c r="HZ67" s="60">
        <f>SUM(HV67:HY67)</f>
        <v/>
      </c>
      <c r="IA67" s="61" t="n"/>
      <c r="IB67" s="57" t="n"/>
      <c r="IC67" s="58">
        <f>HS67</f>
        <v/>
      </c>
      <c r="ID67" s="59" t="n"/>
      <c r="IE67" s="57" t="n"/>
      <c r="IF67" s="57" t="n"/>
      <c r="IG67" s="57" t="n"/>
      <c r="IH67" s="57" t="n"/>
      <c r="II67" s="60">
        <f>SUM(IE67:IH67)</f>
        <v/>
      </c>
      <c r="IJ67" s="61" t="n"/>
      <c r="IK67" s="57" t="n"/>
      <c r="IL67" s="58">
        <f>IB67</f>
        <v/>
      </c>
      <c r="IM67" s="59" t="n"/>
      <c r="IN67" s="57" t="n"/>
      <c r="IO67" s="57" t="n"/>
      <c r="IP67" s="57" t="n"/>
      <c r="IQ67" s="57" t="n"/>
      <c r="IR67" s="60">
        <f>SUM(IN67:IQ67)</f>
        <v/>
      </c>
      <c r="IS67" s="61" t="n"/>
      <c r="IT67" s="57" t="n"/>
      <c r="IU67" s="58">
        <f>IK67</f>
        <v/>
      </c>
      <c r="IV67" s="59" t="n"/>
      <c r="IW67" s="57" t="n"/>
      <c r="IX67" s="57" t="n"/>
      <c r="IY67" s="57" t="n"/>
      <c r="IZ67" s="57" t="n"/>
      <c r="JA67" s="60">
        <f>SUM(IW67:IZ67)</f>
        <v/>
      </c>
      <c r="JB67" s="61" t="n"/>
      <c r="JC67" s="57" t="n"/>
      <c r="JD67" s="58">
        <f>IT67</f>
        <v/>
      </c>
      <c r="JE67" s="59" t="n"/>
      <c r="JF67" s="57" t="n"/>
      <c r="JG67" s="57" t="n"/>
      <c r="JH67" s="57" t="n"/>
      <c r="JI67" s="57" t="n"/>
      <c r="JJ67" s="60">
        <f>SUM(JF67:JI67)</f>
        <v/>
      </c>
      <c r="JK67" s="61" t="n"/>
      <c r="JL67" s="57" t="n"/>
      <c r="JM67" s="58">
        <f>JC67</f>
        <v/>
      </c>
      <c r="JN67" s="59" t="n"/>
      <c r="JO67" s="57" t="n"/>
      <c r="JP67" s="57" t="n"/>
      <c r="JQ67" s="57" t="n"/>
      <c r="JR67" s="57" t="n"/>
      <c r="JS67" s="60">
        <f>SUM(JO67:JR67)</f>
        <v/>
      </c>
      <c r="JT67" s="61" t="n"/>
      <c r="JU67" s="62">
        <f>I67+R67+AA67+AJ67+AS67+BB67+BK67+BT67+CC67+CL67+CU67+DD67+DM67+DV67+EE67+EN67+EW67+FF67+FO67+FX67+GG67+GP67+GY67+HH67+HQ67+HZ67+II67+IR67+JA67+JJ67+JS67</f>
        <v/>
      </c>
      <c r="JV67" s="63">
        <f>D67+M67+V67+AE67+AN67+AW67+BF67+BO67+BX67+CG67+CP67+CY67+DH67+DQ67+DZ67+EI67+ER67+FA67+FJ67+FS67+GB67+GK67+GT67+HC67+HL67+HU67+ID67+IM67+IV67+JE67+JN67</f>
        <v/>
      </c>
      <c r="JW67" s="62">
        <f>CHOOSE($Z$3,B67, K67, T67, AC67, AL67, AU67, BD67, BM67, BV67, CE67, CN67, CW67, DF67, DO67, DX67, EG67, EP67, EY67, FH67, FQ67, FZ67, GI67, GR67, HA67, HJ67, HS67, IB67, IK67, IT67, JC67, JL67)</f>
        <v/>
      </c>
      <c r="JX67" s="62">
        <f>IFERROR(JU67/$Z$3,0)</f>
        <v/>
      </c>
      <c r="JY67" s="62">
        <f>Configurações!$C$7</f>
        <v/>
      </c>
      <c r="JZ67" s="64">
        <f>IF(JY67=0,"— Sem meta",IF(JU67&gt;=JY67,"✓ Atingida","Em andamento"))</f>
        <v/>
      </c>
      <c r="KA67" s="65">
        <f>JU67+(13*0.0000001)</f>
        <v/>
      </c>
    </row>
    <row r="68" ht="20" customHeight="1">
      <c r="A68" s="56">
        <f>IF(Configurações!$B$8="","Assessor 2",Configurações!$B$8)</f>
        <v/>
      </c>
      <c r="B68" s="57" t="n"/>
      <c r="C68" s="66">
        <f>'Fevereiro'!$JW68</f>
        <v/>
      </c>
      <c r="D68" s="59" t="n"/>
      <c r="E68" s="57" t="n"/>
      <c r="F68" s="57" t="n"/>
      <c r="G68" s="57" t="n"/>
      <c r="H68" s="57" t="n"/>
      <c r="I68" s="67">
        <f>SUM(E68:H68)</f>
        <v/>
      </c>
      <c r="J68" s="61" t="n"/>
      <c r="K68" s="57" t="n"/>
      <c r="L68" s="66">
        <f>B68</f>
        <v/>
      </c>
      <c r="M68" s="59" t="n"/>
      <c r="N68" s="57" t="n"/>
      <c r="O68" s="57" t="n"/>
      <c r="P68" s="57" t="n"/>
      <c r="Q68" s="57" t="n"/>
      <c r="R68" s="67">
        <f>SUM(N68:Q68)</f>
        <v/>
      </c>
      <c r="S68" s="61" t="n"/>
      <c r="T68" s="57" t="n"/>
      <c r="U68" s="66">
        <f>K68</f>
        <v/>
      </c>
      <c r="V68" s="59" t="n"/>
      <c r="W68" s="57" t="n"/>
      <c r="X68" s="57" t="n"/>
      <c r="Y68" s="57" t="n"/>
      <c r="Z68" s="57" t="n"/>
      <c r="AA68" s="67">
        <f>SUM(W68:Z68)</f>
        <v/>
      </c>
      <c r="AB68" s="61" t="n"/>
      <c r="AC68" s="57" t="n"/>
      <c r="AD68" s="66">
        <f>T68</f>
        <v/>
      </c>
      <c r="AE68" s="59" t="n"/>
      <c r="AF68" s="57" t="n"/>
      <c r="AG68" s="57" t="n"/>
      <c r="AH68" s="57" t="n"/>
      <c r="AI68" s="57" t="n"/>
      <c r="AJ68" s="67">
        <f>SUM(AF68:AI68)</f>
        <v/>
      </c>
      <c r="AK68" s="61" t="n"/>
      <c r="AL68" s="57" t="n"/>
      <c r="AM68" s="66">
        <f>AC68</f>
        <v/>
      </c>
      <c r="AN68" s="59" t="n"/>
      <c r="AO68" s="57" t="n"/>
      <c r="AP68" s="57" t="n"/>
      <c r="AQ68" s="57" t="n"/>
      <c r="AR68" s="57" t="n"/>
      <c r="AS68" s="67">
        <f>SUM(AO68:AR68)</f>
        <v/>
      </c>
      <c r="AT68" s="61" t="n"/>
      <c r="AU68" s="57" t="n"/>
      <c r="AV68" s="66">
        <f>AL68</f>
        <v/>
      </c>
      <c r="AW68" s="59" t="n"/>
      <c r="AX68" s="57" t="n"/>
      <c r="AY68" s="57" t="n"/>
      <c r="AZ68" s="57" t="n"/>
      <c r="BA68" s="57" t="n"/>
      <c r="BB68" s="67">
        <f>SUM(AX68:BA68)</f>
        <v/>
      </c>
      <c r="BC68" s="61" t="n"/>
      <c r="BD68" s="57" t="n"/>
      <c r="BE68" s="66">
        <f>AU68</f>
        <v/>
      </c>
      <c r="BF68" s="59" t="n"/>
      <c r="BG68" s="57" t="n"/>
      <c r="BH68" s="57" t="n"/>
      <c r="BI68" s="57" t="n"/>
      <c r="BJ68" s="57" t="n"/>
      <c r="BK68" s="67">
        <f>SUM(BG68:BJ68)</f>
        <v/>
      </c>
      <c r="BL68" s="61" t="n"/>
      <c r="BM68" s="57" t="n"/>
      <c r="BN68" s="66">
        <f>BD68</f>
        <v/>
      </c>
      <c r="BO68" s="59" t="n"/>
      <c r="BP68" s="57" t="n"/>
      <c r="BQ68" s="57" t="n"/>
      <c r="BR68" s="57" t="n"/>
      <c r="BS68" s="57" t="n"/>
      <c r="BT68" s="67">
        <f>SUM(BP68:BS68)</f>
        <v/>
      </c>
      <c r="BU68" s="61" t="n"/>
      <c r="BV68" s="57" t="n"/>
      <c r="BW68" s="66">
        <f>BM68</f>
        <v/>
      </c>
      <c r="BX68" s="59" t="n"/>
      <c r="BY68" s="57" t="n"/>
      <c r="BZ68" s="57" t="n"/>
      <c r="CA68" s="57" t="n"/>
      <c r="CB68" s="57" t="n"/>
      <c r="CC68" s="67">
        <f>SUM(BY68:CB68)</f>
        <v/>
      </c>
      <c r="CD68" s="61" t="n"/>
      <c r="CE68" s="57" t="n"/>
      <c r="CF68" s="66">
        <f>BV68</f>
        <v/>
      </c>
      <c r="CG68" s="59" t="n"/>
      <c r="CH68" s="57" t="n"/>
      <c r="CI68" s="57" t="n"/>
      <c r="CJ68" s="57" t="n"/>
      <c r="CK68" s="57" t="n"/>
      <c r="CL68" s="67">
        <f>SUM(CH68:CK68)</f>
        <v/>
      </c>
      <c r="CM68" s="61" t="n"/>
      <c r="CN68" s="57" t="n"/>
      <c r="CO68" s="66">
        <f>CE68</f>
        <v/>
      </c>
      <c r="CP68" s="59" t="n"/>
      <c r="CQ68" s="57" t="n"/>
      <c r="CR68" s="57" t="n"/>
      <c r="CS68" s="57" t="n"/>
      <c r="CT68" s="57" t="n"/>
      <c r="CU68" s="67">
        <f>SUM(CQ68:CT68)</f>
        <v/>
      </c>
      <c r="CV68" s="61" t="n"/>
      <c r="CW68" s="57" t="n"/>
      <c r="CX68" s="66">
        <f>CN68</f>
        <v/>
      </c>
      <c r="CY68" s="59" t="n"/>
      <c r="CZ68" s="57" t="n"/>
      <c r="DA68" s="57" t="n"/>
      <c r="DB68" s="57" t="n"/>
      <c r="DC68" s="57" t="n"/>
      <c r="DD68" s="67">
        <f>SUM(CZ68:DC68)</f>
        <v/>
      </c>
      <c r="DE68" s="61" t="n"/>
      <c r="DF68" s="57" t="n"/>
      <c r="DG68" s="66">
        <f>CW68</f>
        <v/>
      </c>
      <c r="DH68" s="59" t="n"/>
      <c r="DI68" s="57" t="n"/>
      <c r="DJ68" s="57" t="n"/>
      <c r="DK68" s="57" t="n"/>
      <c r="DL68" s="57" t="n"/>
      <c r="DM68" s="67">
        <f>SUM(DI68:DL68)</f>
        <v/>
      </c>
      <c r="DN68" s="61" t="n"/>
      <c r="DO68" s="57" t="n"/>
      <c r="DP68" s="66">
        <f>DF68</f>
        <v/>
      </c>
      <c r="DQ68" s="59" t="n"/>
      <c r="DR68" s="57" t="n"/>
      <c r="DS68" s="57" t="n"/>
      <c r="DT68" s="57" t="n"/>
      <c r="DU68" s="57" t="n"/>
      <c r="DV68" s="67">
        <f>SUM(DR68:DU68)</f>
        <v/>
      </c>
      <c r="DW68" s="61" t="n"/>
      <c r="DX68" s="57" t="n"/>
      <c r="DY68" s="66">
        <f>DO68</f>
        <v/>
      </c>
      <c r="DZ68" s="59" t="n"/>
      <c r="EA68" s="57" t="n"/>
      <c r="EB68" s="57" t="n"/>
      <c r="EC68" s="57" t="n"/>
      <c r="ED68" s="57" t="n"/>
      <c r="EE68" s="67">
        <f>SUM(EA68:ED68)</f>
        <v/>
      </c>
      <c r="EF68" s="61" t="n"/>
      <c r="EG68" s="57" t="n"/>
      <c r="EH68" s="66">
        <f>DX68</f>
        <v/>
      </c>
      <c r="EI68" s="59" t="n"/>
      <c r="EJ68" s="57" t="n"/>
      <c r="EK68" s="57" t="n"/>
      <c r="EL68" s="57" t="n"/>
      <c r="EM68" s="57" t="n"/>
      <c r="EN68" s="67">
        <f>SUM(EJ68:EM68)</f>
        <v/>
      </c>
      <c r="EO68" s="61" t="n"/>
      <c r="EP68" s="57" t="n"/>
      <c r="EQ68" s="66">
        <f>EG68</f>
        <v/>
      </c>
      <c r="ER68" s="59" t="n"/>
      <c r="ES68" s="57" t="n"/>
      <c r="ET68" s="57" t="n"/>
      <c r="EU68" s="57" t="n"/>
      <c r="EV68" s="57" t="n"/>
      <c r="EW68" s="67">
        <f>SUM(ES68:EV68)</f>
        <v/>
      </c>
      <c r="EX68" s="61" t="n"/>
      <c r="EY68" s="57" t="n"/>
      <c r="EZ68" s="66">
        <f>EP68</f>
        <v/>
      </c>
      <c r="FA68" s="59" t="n"/>
      <c r="FB68" s="57" t="n"/>
      <c r="FC68" s="57" t="n"/>
      <c r="FD68" s="57" t="n"/>
      <c r="FE68" s="57" t="n"/>
      <c r="FF68" s="67">
        <f>SUM(FB68:FE68)</f>
        <v/>
      </c>
      <c r="FG68" s="61" t="n"/>
      <c r="FH68" s="57" t="n"/>
      <c r="FI68" s="66">
        <f>EY68</f>
        <v/>
      </c>
      <c r="FJ68" s="59" t="n"/>
      <c r="FK68" s="57" t="n"/>
      <c r="FL68" s="57" t="n"/>
      <c r="FM68" s="57" t="n"/>
      <c r="FN68" s="57" t="n"/>
      <c r="FO68" s="67">
        <f>SUM(FK68:FN68)</f>
        <v/>
      </c>
      <c r="FP68" s="61" t="n"/>
      <c r="FQ68" s="57" t="n"/>
      <c r="FR68" s="66">
        <f>FH68</f>
        <v/>
      </c>
      <c r="FS68" s="59" t="n"/>
      <c r="FT68" s="57" t="n"/>
      <c r="FU68" s="57" t="n"/>
      <c r="FV68" s="57" t="n"/>
      <c r="FW68" s="57" t="n"/>
      <c r="FX68" s="67">
        <f>SUM(FT68:FW68)</f>
        <v/>
      </c>
      <c r="FY68" s="61" t="n"/>
      <c r="FZ68" s="57" t="n"/>
      <c r="GA68" s="66">
        <f>FQ68</f>
        <v/>
      </c>
      <c r="GB68" s="59" t="n"/>
      <c r="GC68" s="57" t="n"/>
      <c r="GD68" s="57" t="n"/>
      <c r="GE68" s="57" t="n"/>
      <c r="GF68" s="57" t="n"/>
      <c r="GG68" s="67">
        <f>SUM(GC68:GF68)</f>
        <v/>
      </c>
      <c r="GH68" s="61" t="n"/>
      <c r="GI68" s="57" t="n"/>
      <c r="GJ68" s="66">
        <f>FZ68</f>
        <v/>
      </c>
      <c r="GK68" s="59" t="n"/>
      <c r="GL68" s="57" t="n"/>
      <c r="GM68" s="57" t="n"/>
      <c r="GN68" s="57" t="n"/>
      <c r="GO68" s="57" t="n"/>
      <c r="GP68" s="67">
        <f>SUM(GL68:GO68)</f>
        <v/>
      </c>
      <c r="GQ68" s="61" t="n"/>
      <c r="GR68" s="57" t="n"/>
      <c r="GS68" s="66">
        <f>GI68</f>
        <v/>
      </c>
      <c r="GT68" s="59" t="n"/>
      <c r="GU68" s="57" t="n"/>
      <c r="GV68" s="57" t="n"/>
      <c r="GW68" s="57" t="n"/>
      <c r="GX68" s="57" t="n"/>
      <c r="GY68" s="67">
        <f>SUM(GU68:GX68)</f>
        <v/>
      </c>
      <c r="GZ68" s="61" t="n"/>
      <c r="HA68" s="57" t="n"/>
      <c r="HB68" s="66">
        <f>GR68</f>
        <v/>
      </c>
      <c r="HC68" s="59" t="n"/>
      <c r="HD68" s="57" t="n"/>
      <c r="HE68" s="57" t="n"/>
      <c r="HF68" s="57" t="n"/>
      <c r="HG68" s="57" t="n"/>
      <c r="HH68" s="67">
        <f>SUM(HD68:HG68)</f>
        <v/>
      </c>
      <c r="HI68" s="61" t="n"/>
      <c r="HJ68" s="57" t="n"/>
      <c r="HK68" s="66">
        <f>HA68</f>
        <v/>
      </c>
      <c r="HL68" s="59" t="n"/>
      <c r="HM68" s="57" t="n"/>
      <c r="HN68" s="57" t="n"/>
      <c r="HO68" s="57" t="n"/>
      <c r="HP68" s="57" t="n"/>
      <c r="HQ68" s="67">
        <f>SUM(HM68:HP68)</f>
        <v/>
      </c>
      <c r="HR68" s="61" t="n"/>
      <c r="HS68" s="57" t="n"/>
      <c r="HT68" s="66">
        <f>HJ68</f>
        <v/>
      </c>
      <c r="HU68" s="59" t="n"/>
      <c r="HV68" s="57" t="n"/>
      <c r="HW68" s="57" t="n"/>
      <c r="HX68" s="57" t="n"/>
      <c r="HY68" s="57" t="n"/>
      <c r="HZ68" s="67">
        <f>SUM(HV68:HY68)</f>
        <v/>
      </c>
      <c r="IA68" s="61" t="n"/>
      <c r="IB68" s="57" t="n"/>
      <c r="IC68" s="66">
        <f>HS68</f>
        <v/>
      </c>
      <c r="ID68" s="59" t="n"/>
      <c r="IE68" s="57" t="n"/>
      <c r="IF68" s="57" t="n"/>
      <c r="IG68" s="57" t="n"/>
      <c r="IH68" s="57" t="n"/>
      <c r="II68" s="67">
        <f>SUM(IE68:IH68)</f>
        <v/>
      </c>
      <c r="IJ68" s="61" t="n"/>
      <c r="IK68" s="57" t="n"/>
      <c r="IL68" s="66">
        <f>IB68</f>
        <v/>
      </c>
      <c r="IM68" s="59" t="n"/>
      <c r="IN68" s="57" t="n"/>
      <c r="IO68" s="57" t="n"/>
      <c r="IP68" s="57" t="n"/>
      <c r="IQ68" s="57" t="n"/>
      <c r="IR68" s="67">
        <f>SUM(IN68:IQ68)</f>
        <v/>
      </c>
      <c r="IS68" s="61" t="n"/>
      <c r="IT68" s="57" t="n"/>
      <c r="IU68" s="66">
        <f>IK68</f>
        <v/>
      </c>
      <c r="IV68" s="59" t="n"/>
      <c r="IW68" s="57" t="n"/>
      <c r="IX68" s="57" t="n"/>
      <c r="IY68" s="57" t="n"/>
      <c r="IZ68" s="57" t="n"/>
      <c r="JA68" s="67">
        <f>SUM(IW68:IZ68)</f>
        <v/>
      </c>
      <c r="JB68" s="61" t="n"/>
      <c r="JC68" s="57" t="n"/>
      <c r="JD68" s="66">
        <f>IT68</f>
        <v/>
      </c>
      <c r="JE68" s="59" t="n"/>
      <c r="JF68" s="57" t="n"/>
      <c r="JG68" s="57" t="n"/>
      <c r="JH68" s="57" t="n"/>
      <c r="JI68" s="57" t="n"/>
      <c r="JJ68" s="67">
        <f>SUM(JF68:JI68)</f>
        <v/>
      </c>
      <c r="JK68" s="61" t="n"/>
      <c r="JL68" s="57" t="n"/>
      <c r="JM68" s="66">
        <f>JC68</f>
        <v/>
      </c>
      <c r="JN68" s="59" t="n"/>
      <c r="JO68" s="57" t="n"/>
      <c r="JP68" s="57" t="n"/>
      <c r="JQ68" s="57" t="n"/>
      <c r="JR68" s="57" t="n"/>
      <c r="JS68" s="67">
        <f>SUM(JO68:JR68)</f>
        <v/>
      </c>
      <c r="JT68" s="61" t="n"/>
      <c r="JU68" s="62">
        <f>I68+R68+AA68+AJ68+AS68+BB68+BK68+BT68+CC68+CL68+CU68+DD68+DM68+DV68+EE68+EN68+EW68+FF68+FO68+FX68+GG68+GP68+GY68+HH68+HQ68+HZ68+II68+IR68+JA68+JJ68+JS68</f>
        <v/>
      </c>
      <c r="JV68" s="63">
        <f>D68+M68+V68+AE68+AN68+AW68+BF68+BO68+BX68+CG68+CP68+CY68+DH68+DQ68+DZ68+EI68+ER68+FA68+FJ68+FS68+GB68+GK68+GT68+HC68+HL68+HU68+ID68+IM68+IV68+JE68+JN68</f>
        <v/>
      </c>
      <c r="JW68" s="62">
        <f>CHOOSE($Z$3,B68, K68, T68, AC68, AL68, AU68, BD68, BM68, BV68, CE68, CN68, CW68, DF68, DO68, DX68, EG68, EP68, EY68, FH68, FQ68, FZ68, GI68, GR68, HA68, HJ68, HS68, IB68, IK68, IT68, JC68, JL68)</f>
        <v/>
      </c>
      <c r="JX68" s="62">
        <f>IFERROR(JU68/$Z$3,0)</f>
        <v/>
      </c>
      <c r="JY68" s="62">
        <f>Configurações!$C$8</f>
        <v/>
      </c>
      <c r="JZ68" s="64">
        <f>IF(JY68=0,"— Sem meta",IF(JU68&gt;=JY68,"✓ Atingida","Em andamento"))</f>
        <v/>
      </c>
      <c r="KA68" s="65">
        <f>JU68+(12*0.0000001)</f>
        <v/>
      </c>
    </row>
    <row r="69" ht="20" customHeight="1">
      <c r="A69" s="56">
        <f>IF(Configurações!$B$9="","Assessor 3",Configurações!$B$9)</f>
        <v/>
      </c>
      <c r="B69" s="57" t="n"/>
      <c r="C69" s="58">
        <f>'Fevereiro'!$JW69</f>
        <v/>
      </c>
      <c r="D69" s="59" t="n"/>
      <c r="E69" s="57" t="n"/>
      <c r="F69" s="57" t="n"/>
      <c r="G69" s="57" t="n"/>
      <c r="H69" s="57" t="n"/>
      <c r="I69" s="60">
        <f>SUM(E69:H69)</f>
        <v/>
      </c>
      <c r="J69" s="61" t="n"/>
      <c r="K69" s="57" t="n"/>
      <c r="L69" s="58">
        <f>B69</f>
        <v/>
      </c>
      <c r="M69" s="59" t="n"/>
      <c r="N69" s="57" t="n"/>
      <c r="O69" s="57" t="n"/>
      <c r="P69" s="57" t="n"/>
      <c r="Q69" s="57" t="n"/>
      <c r="R69" s="60">
        <f>SUM(N69:Q69)</f>
        <v/>
      </c>
      <c r="S69" s="61" t="n"/>
      <c r="T69" s="57" t="n"/>
      <c r="U69" s="58">
        <f>K69</f>
        <v/>
      </c>
      <c r="V69" s="59" t="n"/>
      <c r="W69" s="57" t="n"/>
      <c r="X69" s="57" t="n"/>
      <c r="Y69" s="57" t="n"/>
      <c r="Z69" s="57" t="n"/>
      <c r="AA69" s="60">
        <f>SUM(W69:Z69)</f>
        <v/>
      </c>
      <c r="AB69" s="61" t="n"/>
      <c r="AC69" s="57" t="n"/>
      <c r="AD69" s="58">
        <f>T69</f>
        <v/>
      </c>
      <c r="AE69" s="59" t="n"/>
      <c r="AF69" s="57" t="n"/>
      <c r="AG69" s="57" t="n"/>
      <c r="AH69" s="57" t="n"/>
      <c r="AI69" s="57" t="n"/>
      <c r="AJ69" s="60">
        <f>SUM(AF69:AI69)</f>
        <v/>
      </c>
      <c r="AK69" s="61" t="n"/>
      <c r="AL69" s="57" t="n"/>
      <c r="AM69" s="58">
        <f>AC69</f>
        <v/>
      </c>
      <c r="AN69" s="59" t="n"/>
      <c r="AO69" s="57" t="n"/>
      <c r="AP69" s="57" t="n"/>
      <c r="AQ69" s="57" t="n"/>
      <c r="AR69" s="57" t="n"/>
      <c r="AS69" s="60">
        <f>SUM(AO69:AR69)</f>
        <v/>
      </c>
      <c r="AT69" s="61" t="n"/>
      <c r="AU69" s="57" t="n"/>
      <c r="AV69" s="58">
        <f>AL69</f>
        <v/>
      </c>
      <c r="AW69" s="59" t="n"/>
      <c r="AX69" s="57" t="n"/>
      <c r="AY69" s="57" t="n"/>
      <c r="AZ69" s="57" t="n"/>
      <c r="BA69" s="57" t="n"/>
      <c r="BB69" s="60">
        <f>SUM(AX69:BA69)</f>
        <v/>
      </c>
      <c r="BC69" s="61" t="n"/>
      <c r="BD69" s="57" t="n"/>
      <c r="BE69" s="58">
        <f>AU69</f>
        <v/>
      </c>
      <c r="BF69" s="59" t="n"/>
      <c r="BG69" s="57" t="n"/>
      <c r="BH69" s="57" t="n"/>
      <c r="BI69" s="57" t="n"/>
      <c r="BJ69" s="57" t="n"/>
      <c r="BK69" s="60">
        <f>SUM(BG69:BJ69)</f>
        <v/>
      </c>
      <c r="BL69" s="61" t="n"/>
      <c r="BM69" s="57" t="n"/>
      <c r="BN69" s="58">
        <f>BD69</f>
        <v/>
      </c>
      <c r="BO69" s="59" t="n"/>
      <c r="BP69" s="57" t="n"/>
      <c r="BQ69" s="57" t="n"/>
      <c r="BR69" s="57" t="n"/>
      <c r="BS69" s="57" t="n"/>
      <c r="BT69" s="60">
        <f>SUM(BP69:BS69)</f>
        <v/>
      </c>
      <c r="BU69" s="61" t="n"/>
      <c r="BV69" s="57" t="n"/>
      <c r="BW69" s="58">
        <f>BM69</f>
        <v/>
      </c>
      <c r="BX69" s="59" t="n"/>
      <c r="BY69" s="57" t="n"/>
      <c r="BZ69" s="57" t="n"/>
      <c r="CA69" s="57" t="n"/>
      <c r="CB69" s="57" t="n"/>
      <c r="CC69" s="60">
        <f>SUM(BY69:CB69)</f>
        <v/>
      </c>
      <c r="CD69" s="61" t="n"/>
      <c r="CE69" s="57" t="n"/>
      <c r="CF69" s="58">
        <f>BV69</f>
        <v/>
      </c>
      <c r="CG69" s="59" t="n"/>
      <c r="CH69" s="57" t="n"/>
      <c r="CI69" s="57" t="n"/>
      <c r="CJ69" s="57" t="n"/>
      <c r="CK69" s="57" t="n"/>
      <c r="CL69" s="60">
        <f>SUM(CH69:CK69)</f>
        <v/>
      </c>
      <c r="CM69" s="61" t="n"/>
      <c r="CN69" s="57" t="n"/>
      <c r="CO69" s="58">
        <f>CE69</f>
        <v/>
      </c>
      <c r="CP69" s="59" t="n"/>
      <c r="CQ69" s="57" t="n"/>
      <c r="CR69" s="57" t="n"/>
      <c r="CS69" s="57" t="n"/>
      <c r="CT69" s="57" t="n"/>
      <c r="CU69" s="60">
        <f>SUM(CQ69:CT69)</f>
        <v/>
      </c>
      <c r="CV69" s="61" t="n"/>
      <c r="CW69" s="57" t="n"/>
      <c r="CX69" s="58">
        <f>CN69</f>
        <v/>
      </c>
      <c r="CY69" s="59" t="n"/>
      <c r="CZ69" s="57" t="n"/>
      <c r="DA69" s="57" t="n"/>
      <c r="DB69" s="57" t="n"/>
      <c r="DC69" s="57" t="n"/>
      <c r="DD69" s="60">
        <f>SUM(CZ69:DC69)</f>
        <v/>
      </c>
      <c r="DE69" s="61" t="n"/>
      <c r="DF69" s="57" t="n"/>
      <c r="DG69" s="58">
        <f>CW69</f>
        <v/>
      </c>
      <c r="DH69" s="59" t="n"/>
      <c r="DI69" s="57" t="n"/>
      <c r="DJ69" s="57" t="n"/>
      <c r="DK69" s="57" t="n"/>
      <c r="DL69" s="57" t="n"/>
      <c r="DM69" s="60">
        <f>SUM(DI69:DL69)</f>
        <v/>
      </c>
      <c r="DN69" s="61" t="n"/>
      <c r="DO69" s="57" t="n"/>
      <c r="DP69" s="58">
        <f>DF69</f>
        <v/>
      </c>
      <c r="DQ69" s="59" t="n"/>
      <c r="DR69" s="57" t="n"/>
      <c r="DS69" s="57" t="n"/>
      <c r="DT69" s="57" t="n"/>
      <c r="DU69" s="57" t="n"/>
      <c r="DV69" s="60">
        <f>SUM(DR69:DU69)</f>
        <v/>
      </c>
      <c r="DW69" s="61" t="n"/>
      <c r="DX69" s="57" t="n"/>
      <c r="DY69" s="58">
        <f>DO69</f>
        <v/>
      </c>
      <c r="DZ69" s="59" t="n"/>
      <c r="EA69" s="57" t="n"/>
      <c r="EB69" s="57" t="n"/>
      <c r="EC69" s="57" t="n"/>
      <c r="ED69" s="57" t="n"/>
      <c r="EE69" s="60">
        <f>SUM(EA69:ED69)</f>
        <v/>
      </c>
      <c r="EF69" s="61" t="n"/>
      <c r="EG69" s="57" t="n"/>
      <c r="EH69" s="58">
        <f>DX69</f>
        <v/>
      </c>
      <c r="EI69" s="59" t="n"/>
      <c r="EJ69" s="57" t="n"/>
      <c r="EK69" s="57" t="n"/>
      <c r="EL69" s="57" t="n"/>
      <c r="EM69" s="57" t="n"/>
      <c r="EN69" s="60">
        <f>SUM(EJ69:EM69)</f>
        <v/>
      </c>
      <c r="EO69" s="61" t="n"/>
      <c r="EP69" s="57" t="n"/>
      <c r="EQ69" s="58">
        <f>EG69</f>
        <v/>
      </c>
      <c r="ER69" s="59" t="n"/>
      <c r="ES69" s="57" t="n"/>
      <c r="ET69" s="57" t="n"/>
      <c r="EU69" s="57" t="n"/>
      <c r="EV69" s="57" t="n"/>
      <c r="EW69" s="60">
        <f>SUM(ES69:EV69)</f>
        <v/>
      </c>
      <c r="EX69" s="61" t="n"/>
      <c r="EY69" s="57" t="n"/>
      <c r="EZ69" s="58">
        <f>EP69</f>
        <v/>
      </c>
      <c r="FA69" s="59" t="n"/>
      <c r="FB69" s="57" t="n"/>
      <c r="FC69" s="57" t="n"/>
      <c r="FD69" s="57" t="n"/>
      <c r="FE69" s="57" t="n"/>
      <c r="FF69" s="60">
        <f>SUM(FB69:FE69)</f>
        <v/>
      </c>
      <c r="FG69" s="61" t="n"/>
      <c r="FH69" s="57" t="n"/>
      <c r="FI69" s="58">
        <f>EY69</f>
        <v/>
      </c>
      <c r="FJ69" s="59" t="n"/>
      <c r="FK69" s="57" t="n"/>
      <c r="FL69" s="57" t="n"/>
      <c r="FM69" s="57" t="n"/>
      <c r="FN69" s="57" t="n"/>
      <c r="FO69" s="60">
        <f>SUM(FK69:FN69)</f>
        <v/>
      </c>
      <c r="FP69" s="61" t="n"/>
      <c r="FQ69" s="57" t="n"/>
      <c r="FR69" s="58">
        <f>FH69</f>
        <v/>
      </c>
      <c r="FS69" s="59" t="n"/>
      <c r="FT69" s="57" t="n"/>
      <c r="FU69" s="57" t="n"/>
      <c r="FV69" s="57" t="n"/>
      <c r="FW69" s="57" t="n"/>
      <c r="FX69" s="60">
        <f>SUM(FT69:FW69)</f>
        <v/>
      </c>
      <c r="FY69" s="61" t="n"/>
      <c r="FZ69" s="57" t="n"/>
      <c r="GA69" s="58">
        <f>FQ69</f>
        <v/>
      </c>
      <c r="GB69" s="59" t="n"/>
      <c r="GC69" s="57" t="n"/>
      <c r="GD69" s="57" t="n"/>
      <c r="GE69" s="57" t="n"/>
      <c r="GF69" s="57" t="n"/>
      <c r="GG69" s="60">
        <f>SUM(GC69:GF69)</f>
        <v/>
      </c>
      <c r="GH69" s="61" t="n"/>
      <c r="GI69" s="57" t="n"/>
      <c r="GJ69" s="58">
        <f>FZ69</f>
        <v/>
      </c>
      <c r="GK69" s="59" t="n"/>
      <c r="GL69" s="57" t="n"/>
      <c r="GM69" s="57" t="n"/>
      <c r="GN69" s="57" t="n"/>
      <c r="GO69" s="57" t="n"/>
      <c r="GP69" s="60">
        <f>SUM(GL69:GO69)</f>
        <v/>
      </c>
      <c r="GQ69" s="61" t="n"/>
      <c r="GR69" s="57" t="n"/>
      <c r="GS69" s="58">
        <f>GI69</f>
        <v/>
      </c>
      <c r="GT69" s="59" t="n"/>
      <c r="GU69" s="57" t="n"/>
      <c r="GV69" s="57" t="n"/>
      <c r="GW69" s="57" t="n"/>
      <c r="GX69" s="57" t="n"/>
      <c r="GY69" s="60">
        <f>SUM(GU69:GX69)</f>
        <v/>
      </c>
      <c r="GZ69" s="61" t="n"/>
      <c r="HA69" s="57" t="n"/>
      <c r="HB69" s="58">
        <f>GR69</f>
        <v/>
      </c>
      <c r="HC69" s="59" t="n"/>
      <c r="HD69" s="57" t="n"/>
      <c r="HE69" s="57" t="n"/>
      <c r="HF69" s="57" t="n"/>
      <c r="HG69" s="57" t="n"/>
      <c r="HH69" s="60">
        <f>SUM(HD69:HG69)</f>
        <v/>
      </c>
      <c r="HI69" s="61" t="n"/>
      <c r="HJ69" s="57" t="n"/>
      <c r="HK69" s="58">
        <f>HA69</f>
        <v/>
      </c>
      <c r="HL69" s="59" t="n"/>
      <c r="HM69" s="57" t="n"/>
      <c r="HN69" s="57" t="n"/>
      <c r="HO69" s="57" t="n"/>
      <c r="HP69" s="57" t="n"/>
      <c r="HQ69" s="60">
        <f>SUM(HM69:HP69)</f>
        <v/>
      </c>
      <c r="HR69" s="61" t="n"/>
      <c r="HS69" s="57" t="n"/>
      <c r="HT69" s="58">
        <f>HJ69</f>
        <v/>
      </c>
      <c r="HU69" s="59" t="n"/>
      <c r="HV69" s="57" t="n"/>
      <c r="HW69" s="57" t="n"/>
      <c r="HX69" s="57" t="n"/>
      <c r="HY69" s="57" t="n"/>
      <c r="HZ69" s="60">
        <f>SUM(HV69:HY69)</f>
        <v/>
      </c>
      <c r="IA69" s="61" t="n"/>
      <c r="IB69" s="57" t="n"/>
      <c r="IC69" s="58">
        <f>HS69</f>
        <v/>
      </c>
      <c r="ID69" s="59" t="n"/>
      <c r="IE69" s="57" t="n"/>
      <c r="IF69" s="57" t="n"/>
      <c r="IG69" s="57" t="n"/>
      <c r="IH69" s="57" t="n"/>
      <c r="II69" s="60">
        <f>SUM(IE69:IH69)</f>
        <v/>
      </c>
      <c r="IJ69" s="61" t="n"/>
      <c r="IK69" s="57" t="n"/>
      <c r="IL69" s="58">
        <f>IB69</f>
        <v/>
      </c>
      <c r="IM69" s="59" t="n"/>
      <c r="IN69" s="57" t="n"/>
      <c r="IO69" s="57" t="n"/>
      <c r="IP69" s="57" t="n"/>
      <c r="IQ69" s="57" t="n"/>
      <c r="IR69" s="60">
        <f>SUM(IN69:IQ69)</f>
        <v/>
      </c>
      <c r="IS69" s="61" t="n"/>
      <c r="IT69" s="57" t="n"/>
      <c r="IU69" s="58">
        <f>IK69</f>
        <v/>
      </c>
      <c r="IV69" s="59" t="n"/>
      <c r="IW69" s="57" t="n"/>
      <c r="IX69" s="57" t="n"/>
      <c r="IY69" s="57" t="n"/>
      <c r="IZ69" s="57" t="n"/>
      <c r="JA69" s="60">
        <f>SUM(IW69:IZ69)</f>
        <v/>
      </c>
      <c r="JB69" s="61" t="n"/>
      <c r="JC69" s="57" t="n"/>
      <c r="JD69" s="58">
        <f>IT69</f>
        <v/>
      </c>
      <c r="JE69" s="59" t="n"/>
      <c r="JF69" s="57" t="n"/>
      <c r="JG69" s="57" t="n"/>
      <c r="JH69" s="57" t="n"/>
      <c r="JI69" s="57" t="n"/>
      <c r="JJ69" s="60">
        <f>SUM(JF69:JI69)</f>
        <v/>
      </c>
      <c r="JK69" s="61" t="n"/>
      <c r="JL69" s="57" t="n"/>
      <c r="JM69" s="58">
        <f>JC69</f>
        <v/>
      </c>
      <c r="JN69" s="59" t="n"/>
      <c r="JO69" s="57" t="n"/>
      <c r="JP69" s="57" t="n"/>
      <c r="JQ69" s="57" t="n"/>
      <c r="JR69" s="57" t="n"/>
      <c r="JS69" s="60">
        <f>SUM(JO69:JR69)</f>
        <v/>
      </c>
      <c r="JT69" s="61" t="n"/>
      <c r="JU69" s="62">
        <f>I69+R69+AA69+AJ69+AS69+BB69+BK69+BT69+CC69+CL69+CU69+DD69+DM69+DV69+EE69+EN69+EW69+FF69+FO69+FX69+GG69+GP69+GY69+HH69+HQ69+HZ69+II69+IR69+JA69+JJ69+JS69</f>
        <v/>
      </c>
      <c r="JV69" s="63">
        <f>D69+M69+V69+AE69+AN69+AW69+BF69+BO69+BX69+CG69+CP69+CY69+DH69+DQ69+DZ69+EI69+ER69+FA69+FJ69+FS69+GB69+GK69+GT69+HC69+HL69+HU69+ID69+IM69+IV69+JE69+JN69</f>
        <v/>
      </c>
      <c r="JW69" s="62">
        <f>CHOOSE($Z$3,B69, K69, T69, AC69, AL69, AU69, BD69, BM69, BV69, CE69, CN69, CW69, DF69, DO69, DX69, EG69, EP69, EY69, FH69, FQ69, FZ69, GI69, GR69, HA69, HJ69, HS69, IB69, IK69, IT69, JC69, JL69)</f>
        <v/>
      </c>
      <c r="JX69" s="62">
        <f>IFERROR(JU69/$Z$3,0)</f>
        <v/>
      </c>
      <c r="JY69" s="62">
        <f>Configurações!$C$9</f>
        <v/>
      </c>
      <c r="JZ69" s="64">
        <f>IF(JY69=0,"— Sem meta",IF(JU69&gt;=JY69,"✓ Atingida","Em andamento"))</f>
        <v/>
      </c>
      <c r="KA69" s="65">
        <f>JU69+(11*0.0000001)</f>
        <v/>
      </c>
    </row>
    <row r="70" ht="20" customHeight="1">
      <c r="A70" s="56">
        <f>IF(Configurações!$B$10="","Assessor 4",Configurações!$B$10)</f>
        <v/>
      </c>
      <c r="B70" s="57" t="n"/>
      <c r="C70" s="66">
        <f>'Fevereiro'!$JW70</f>
        <v/>
      </c>
      <c r="D70" s="59" t="n"/>
      <c r="E70" s="57" t="n"/>
      <c r="F70" s="57" t="n"/>
      <c r="G70" s="57" t="n"/>
      <c r="H70" s="57" t="n"/>
      <c r="I70" s="67">
        <f>SUM(E70:H70)</f>
        <v/>
      </c>
      <c r="J70" s="61" t="n"/>
      <c r="K70" s="57" t="n"/>
      <c r="L70" s="66">
        <f>B70</f>
        <v/>
      </c>
      <c r="M70" s="59" t="n"/>
      <c r="N70" s="57" t="n"/>
      <c r="O70" s="57" t="n"/>
      <c r="P70" s="57" t="n"/>
      <c r="Q70" s="57" t="n"/>
      <c r="R70" s="67">
        <f>SUM(N70:Q70)</f>
        <v/>
      </c>
      <c r="S70" s="61" t="n"/>
      <c r="T70" s="57" t="n"/>
      <c r="U70" s="66">
        <f>K70</f>
        <v/>
      </c>
      <c r="V70" s="59" t="n"/>
      <c r="W70" s="57" t="n"/>
      <c r="X70" s="57" t="n"/>
      <c r="Y70" s="57" t="n"/>
      <c r="Z70" s="57" t="n"/>
      <c r="AA70" s="67">
        <f>SUM(W70:Z70)</f>
        <v/>
      </c>
      <c r="AB70" s="61" t="n"/>
      <c r="AC70" s="57" t="n"/>
      <c r="AD70" s="66">
        <f>T70</f>
        <v/>
      </c>
      <c r="AE70" s="59" t="n"/>
      <c r="AF70" s="57" t="n"/>
      <c r="AG70" s="57" t="n"/>
      <c r="AH70" s="57" t="n"/>
      <c r="AI70" s="57" t="n"/>
      <c r="AJ70" s="67">
        <f>SUM(AF70:AI70)</f>
        <v/>
      </c>
      <c r="AK70" s="61" t="n"/>
      <c r="AL70" s="57" t="n"/>
      <c r="AM70" s="66">
        <f>AC70</f>
        <v/>
      </c>
      <c r="AN70" s="59" t="n"/>
      <c r="AO70" s="57" t="n"/>
      <c r="AP70" s="57" t="n"/>
      <c r="AQ70" s="57" t="n"/>
      <c r="AR70" s="57" t="n"/>
      <c r="AS70" s="67">
        <f>SUM(AO70:AR70)</f>
        <v/>
      </c>
      <c r="AT70" s="61" t="n"/>
      <c r="AU70" s="57" t="n"/>
      <c r="AV70" s="66">
        <f>AL70</f>
        <v/>
      </c>
      <c r="AW70" s="59" t="n"/>
      <c r="AX70" s="57" t="n"/>
      <c r="AY70" s="57" t="n"/>
      <c r="AZ70" s="57" t="n"/>
      <c r="BA70" s="57" t="n"/>
      <c r="BB70" s="67">
        <f>SUM(AX70:BA70)</f>
        <v/>
      </c>
      <c r="BC70" s="61" t="n"/>
      <c r="BD70" s="57" t="n"/>
      <c r="BE70" s="66">
        <f>AU70</f>
        <v/>
      </c>
      <c r="BF70" s="59" t="n"/>
      <c r="BG70" s="57" t="n"/>
      <c r="BH70" s="57" t="n"/>
      <c r="BI70" s="57" t="n"/>
      <c r="BJ70" s="57" t="n"/>
      <c r="BK70" s="67">
        <f>SUM(BG70:BJ70)</f>
        <v/>
      </c>
      <c r="BL70" s="61" t="n"/>
      <c r="BM70" s="57" t="n"/>
      <c r="BN70" s="66">
        <f>BD70</f>
        <v/>
      </c>
      <c r="BO70" s="59" t="n"/>
      <c r="BP70" s="57" t="n"/>
      <c r="BQ70" s="57" t="n"/>
      <c r="BR70" s="57" t="n"/>
      <c r="BS70" s="57" t="n"/>
      <c r="BT70" s="67">
        <f>SUM(BP70:BS70)</f>
        <v/>
      </c>
      <c r="BU70" s="61" t="n"/>
      <c r="BV70" s="57" t="n"/>
      <c r="BW70" s="66">
        <f>BM70</f>
        <v/>
      </c>
      <c r="BX70" s="59" t="n"/>
      <c r="BY70" s="57" t="n"/>
      <c r="BZ70" s="57" t="n"/>
      <c r="CA70" s="57" t="n"/>
      <c r="CB70" s="57" t="n"/>
      <c r="CC70" s="67">
        <f>SUM(BY70:CB70)</f>
        <v/>
      </c>
      <c r="CD70" s="61" t="n"/>
      <c r="CE70" s="57" t="n"/>
      <c r="CF70" s="66">
        <f>BV70</f>
        <v/>
      </c>
      <c r="CG70" s="59" t="n"/>
      <c r="CH70" s="57" t="n"/>
      <c r="CI70" s="57" t="n"/>
      <c r="CJ70" s="57" t="n"/>
      <c r="CK70" s="57" t="n"/>
      <c r="CL70" s="67">
        <f>SUM(CH70:CK70)</f>
        <v/>
      </c>
      <c r="CM70" s="61" t="n"/>
      <c r="CN70" s="57" t="n"/>
      <c r="CO70" s="66">
        <f>CE70</f>
        <v/>
      </c>
      <c r="CP70" s="59" t="n"/>
      <c r="CQ70" s="57" t="n"/>
      <c r="CR70" s="57" t="n"/>
      <c r="CS70" s="57" t="n"/>
      <c r="CT70" s="57" t="n"/>
      <c r="CU70" s="67">
        <f>SUM(CQ70:CT70)</f>
        <v/>
      </c>
      <c r="CV70" s="61" t="n"/>
      <c r="CW70" s="57" t="n"/>
      <c r="CX70" s="66">
        <f>CN70</f>
        <v/>
      </c>
      <c r="CY70" s="59" t="n"/>
      <c r="CZ70" s="57" t="n"/>
      <c r="DA70" s="57" t="n"/>
      <c r="DB70" s="57" t="n"/>
      <c r="DC70" s="57" t="n"/>
      <c r="DD70" s="67">
        <f>SUM(CZ70:DC70)</f>
        <v/>
      </c>
      <c r="DE70" s="61" t="n"/>
      <c r="DF70" s="57" t="n"/>
      <c r="DG70" s="66">
        <f>CW70</f>
        <v/>
      </c>
      <c r="DH70" s="59" t="n"/>
      <c r="DI70" s="57" t="n"/>
      <c r="DJ70" s="57" t="n"/>
      <c r="DK70" s="57" t="n"/>
      <c r="DL70" s="57" t="n"/>
      <c r="DM70" s="67">
        <f>SUM(DI70:DL70)</f>
        <v/>
      </c>
      <c r="DN70" s="61" t="n"/>
      <c r="DO70" s="57" t="n"/>
      <c r="DP70" s="66">
        <f>DF70</f>
        <v/>
      </c>
      <c r="DQ70" s="59" t="n"/>
      <c r="DR70" s="57" t="n"/>
      <c r="DS70" s="57" t="n"/>
      <c r="DT70" s="57" t="n"/>
      <c r="DU70" s="57" t="n"/>
      <c r="DV70" s="67">
        <f>SUM(DR70:DU70)</f>
        <v/>
      </c>
      <c r="DW70" s="61" t="n"/>
      <c r="DX70" s="57" t="n"/>
      <c r="DY70" s="66">
        <f>DO70</f>
        <v/>
      </c>
      <c r="DZ70" s="59" t="n"/>
      <c r="EA70" s="57" t="n"/>
      <c r="EB70" s="57" t="n"/>
      <c r="EC70" s="57" t="n"/>
      <c r="ED70" s="57" t="n"/>
      <c r="EE70" s="67">
        <f>SUM(EA70:ED70)</f>
        <v/>
      </c>
      <c r="EF70" s="61" t="n"/>
      <c r="EG70" s="57" t="n"/>
      <c r="EH70" s="66">
        <f>DX70</f>
        <v/>
      </c>
      <c r="EI70" s="59" t="n"/>
      <c r="EJ70" s="57" t="n"/>
      <c r="EK70" s="57" t="n"/>
      <c r="EL70" s="57" t="n"/>
      <c r="EM70" s="57" t="n"/>
      <c r="EN70" s="67">
        <f>SUM(EJ70:EM70)</f>
        <v/>
      </c>
      <c r="EO70" s="61" t="n"/>
      <c r="EP70" s="57" t="n"/>
      <c r="EQ70" s="66">
        <f>EG70</f>
        <v/>
      </c>
      <c r="ER70" s="59" t="n"/>
      <c r="ES70" s="57" t="n"/>
      <c r="ET70" s="57" t="n"/>
      <c r="EU70" s="57" t="n"/>
      <c r="EV70" s="57" t="n"/>
      <c r="EW70" s="67">
        <f>SUM(ES70:EV70)</f>
        <v/>
      </c>
      <c r="EX70" s="61" t="n"/>
      <c r="EY70" s="57" t="n"/>
      <c r="EZ70" s="66">
        <f>EP70</f>
        <v/>
      </c>
      <c r="FA70" s="59" t="n"/>
      <c r="FB70" s="57" t="n"/>
      <c r="FC70" s="57" t="n"/>
      <c r="FD70" s="57" t="n"/>
      <c r="FE70" s="57" t="n"/>
      <c r="FF70" s="67">
        <f>SUM(FB70:FE70)</f>
        <v/>
      </c>
      <c r="FG70" s="61" t="n"/>
      <c r="FH70" s="57" t="n"/>
      <c r="FI70" s="66">
        <f>EY70</f>
        <v/>
      </c>
      <c r="FJ70" s="59" t="n"/>
      <c r="FK70" s="57" t="n"/>
      <c r="FL70" s="57" t="n"/>
      <c r="FM70" s="57" t="n"/>
      <c r="FN70" s="57" t="n"/>
      <c r="FO70" s="67">
        <f>SUM(FK70:FN70)</f>
        <v/>
      </c>
      <c r="FP70" s="61" t="n"/>
      <c r="FQ70" s="57" t="n"/>
      <c r="FR70" s="66">
        <f>FH70</f>
        <v/>
      </c>
      <c r="FS70" s="59" t="n"/>
      <c r="FT70" s="57" t="n"/>
      <c r="FU70" s="57" t="n"/>
      <c r="FV70" s="57" t="n"/>
      <c r="FW70" s="57" t="n"/>
      <c r="FX70" s="67">
        <f>SUM(FT70:FW70)</f>
        <v/>
      </c>
      <c r="FY70" s="61" t="n"/>
      <c r="FZ70" s="57" t="n"/>
      <c r="GA70" s="66">
        <f>FQ70</f>
        <v/>
      </c>
      <c r="GB70" s="59" t="n"/>
      <c r="GC70" s="57" t="n"/>
      <c r="GD70" s="57" t="n"/>
      <c r="GE70" s="57" t="n"/>
      <c r="GF70" s="57" t="n"/>
      <c r="GG70" s="67">
        <f>SUM(GC70:GF70)</f>
        <v/>
      </c>
      <c r="GH70" s="61" t="n"/>
      <c r="GI70" s="57" t="n"/>
      <c r="GJ70" s="66">
        <f>FZ70</f>
        <v/>
      </c>
      <c r="GK70" s="59" t="n"/>
      <c r="GL70" s="57" t="n"/>
      <c r="GM70" s="57" t="n"/>
      <c r="GN70" s="57" t="n"/>
      <c r="GO70" s="57" t="n"/>
      <c r="GP70" s="67">
        <f>SUM(GL70:GO70)</f>
        <v/>
      </c>
      <c r="GQ70" s="61" t="n"/>
      <c r="GR70" s="57" t="n"/>
      <c r="GS70" s="66">
        <f>GI70</f>
        <v/>
      </c>
      <c r="GT70" s="59" t="n"/>
      <c r="GU70" s="57" t="n"/>
      <c r="GV70" s="57" t="n"/>
      <c r="GW70" s="57" t="n"/>
      <c r="GX70" s="57" t="n"/>
      <c r="GY70" s="67">
        <f>SUM(GU70:GX70)</f>
        <v/>
      </c>
      <c r="GZ70" s="61" t="n"/>
      <c r="HA70" s="57" t="n"/>
      <c r="HB70" s="66">
        <f>GR70</f>
        <v/>
      </c>
      <c r="HC70" s="59" t="n"/>
      <c r="HD70" s="57" t="n"/>
      <c r="HE70" s="57" t="n"/>
      <c r="HF70" s="57" t="n"/>
      <c r="HG70" s="57" t="n"/>
      <c r="HH70" s="67">
        <f>SUM(HD70:HG70)</f>
        <v/>
      </c>
      <c r="HI70" s="61" t="n"/>
      <c r="HJ70" s="57" t="n"/>
      <c r="HK70" s="66">
        <f>HA70</f>
        <v/>
      </c>
      <c r="HL70" s="59" t="n"/>
      <c r="HM70" s="57" t="n"/>
      <c r="HN70" s="57" t="n"/>
      <c r="HO70" s="57" t="n"/>
      <c r="HP70" s="57" t="n"/>
      <c r="HQ70" s="67">
        <f>SUM(HM70:HP70)</f>
        <v/>
      </c>
      <c r="HR70" s="61" t="n"/>
      <c r="HS70" s="57" t="n"/>
      <c r="HT70" s="66">
        <f>HJ70</f>
        <v/>
      </c>
      <c r="HU70" s="59" t="n"/>
      <c r="HV70" s="57" t="n"/>
      <c r="HW70" s="57" t="n"/>
      <c r="HX70" s="57" t="n"/>
      <c r="HY70" s="57" t="n"/>
      <c r="HZ70" s="67">
        <f>SUM(HV70:HY70)</f>
        <v/>
      </c>
      <c r="IA70" s="61" t="n"/>
      <c r="IB70" s="57" t="n"/>
      <c r="IC70" s="66">
        <f>HS70</f>
        <v/>
      </c>
      <c r="ID70" s="59" t="n"/>
      <c r="IE70" s="57" t="n"/>
      <c r="IF70" s="57" t="n"/>
      <c r="IG70" s="57" t="n"/>
      <c r="IH70" s="57" t="n"/>
      <c r="II70" s="67">
        <f>SUM(IE70:IH70)</f>
        <v/>
      </c>
      <c r="IJ70" s="61" t="n"/>
      <c r="IK70" s="57" t="n"/>
      <c r="IL70" s="66">
        <f>IB70</f>
        <v/>
      </c>
      <c r="IM70" s="59" t="n"/>
      <c r="IN70" s="57" t="n"/>
      <c r="IO70" s="57" t="n"/>
      <c r="IP70" s="57" t="n"/>
      <c r="IQ70" s="57" t="n"/>
      <c r="IR70" s="67">
        <f>SUM(IN70:IQ70)</f>
        <v/>
      </c>
      <c r="IS70" s="61" t="n"/>
      <c r="IT70" s="57" t="n"/>
      <c r="IU70" s="66">
        <f>IK70</f>
        <v/>
      </c>
      <c r="IV70" s="59" t="n"/>
      <c r="IW70" s="57" t="n"/>
      <c r="IX70" s="57" t="n"/>
      <c r="IY70" s="57" t="n"/>
      <c r="IZ70" s="57" t="n"/>
      <c r="JA70" s="67">
        <f>SUM(IW70:IZ70)</f>
        <v/>
      </c>
      <c r="JB70" s="61" t="n"/>
      <c r="JC70" s="57" t="n"/>
      <c r="JD70" s="66">
        <f>IT70</f>
        <v/>
      </c>
      <c r="JE70" s="59" t="n"/>
      <c r="JF70" s="57" t="n"/>
      <c r="JG70" s="57" t="n"/>
      <c r="JH70" s="57" t="n"/>
      <c r="JI70" s="57" t="n"/>
      <c r="JJ70" s="67">
        <f>SUM(JF70:JI70)</f>
        <v/>
      </c>
      <c r="JK70" s="61" t="n"/>
      <c r="JL70" s="57" t="n"/>
      <c r="JM70" s="66">
        <f>JC70</f>
        <v/>
      </c>
      <c r="JN70" s="59" t="n"/>
      <c r="JO70" s="57" t="n"/>
      <c r="JP70" s="57" t="n"/>
      <c r="JQ70" s="57" t="n"/>
      <c r="JR70" s="57" t="n"/>
      <c r="JS70" s="67">
        <f>SUM(JO70:JR70)</f>
        <v/>
      </c>
      <c r="JT70" s="61" t="n"/>
      <c r="JU70" s="62">
        <f>I70+R70+AA70+AJ70+AS70+BB70+BK70+BT70+CC70+CL70+CU70+DD70+DM70+DV70+EE70+EN70+EW70+FF70+FO70+FX70+GG70+GP70+GY70+HH70+HQ70+HZ70+II70+IR70+JA70+JJ70+JS70</f>
        <v/>
      </c>
      <c r="JV70" s="63">
        <f>D70+M70+V70+AE70+AN70+AW70+BF70+BO70+BX70+CG70+CP70+CY70+DH70+DQ70+DZ70+EI70+ER70+FA70+FJ70+FS70+GB70+GK70+GT70+HC70+HL70+HU70+ID70+IM70+IV70+JE70+JN70</f>
        <v/>
      </c>
      <c r="JW70" s="62">
        <f>CHOOSE($Z$3,B70, K70, T70, AC70, AL70, AU70, BD70, BM70, BV70, CE70, CN70, CW70, DF70, DO70, DX70, EG70, EP70, EY70, FH70, FQ70, FZ70, GI70, GR70, HA70, HJ70, HS70, IB70, IK70, IT70, JC70, JL70)</f>
        <v/>
      </c>
      <c r="JX70" s="62">
        <f>IFERROR(JU70/$Z$3,0)</f>
        <v/>
      </c>
      <c r="JY70" s="62">
        <f>Configurações!$C$10</f>
        <v/>
      </c>
      <c r="JZ70" s="64">
        <f>IF(JY70=0,"— Sem meta",IF(JU70&gt;=JY70,"✓ Atingida","Em andamento"))</f>
        <v/>
      </c>
      <c r="KA70" s="65">
        <f>JU70+(10*0.0000001)</f>
        <v/>
      </c>
    </row>
    <row r="71" ht="20" customHeight="1">
      <c r="A71" s="56">
        <f>IF(Configurações!$B$11="","Assessor 5",Configurações!$B$11)</f>
        <v/>
      </c>
      <c r="B71" s="57" t="n"/>
      <c r="C71" s="58">
        <f>'Fevereiro'!$JW71</f>
        <v/>
      </c>
      <c r="D71" s="59" t="n"/>
      <c r="E71" s="57" t="n"/>
      <c r="F71" s="57" t="n"/>
      <c r="G71" s="57" t="n"/>
      <c r="H71" s="57" t="n"/>
      <c r="I71" s="60">
        <f>SUM(E71:H71)</f>
        <v/>
      </c>
      <c r="J71" s="61" t="n"/>
      <c r="K71" s="57" t="n"/>
      <c r="L71" s="58">
        <f>B71</f>
        <v/>
      </c>
      <c r="M71" s="59" t="n"/>
      <c r="N71" s="57" t="n"/>
      <c r="O71" s="57" t="n"/>
      <c r="P71" s="57" t="n"/>
      <c r="Q71" s="57" t="n"/>
      <c r="R71" s="60">
        <f>SUM(N71:Q71)</f>
        <v/>
      </c>
      <c r="S71" s="61" t="n"/>
      <c r="T71" s="57" t="n"/>
      <c r="U71" s="58">
        <f>K71</f>
        <v/>
      </c>
      <c r="V71" s="59" t="n"/>
      <c r="W71" s="57" t="n"/>
      <c r="X71" s="57" t="n"/>
      <c r="Y71" s="57" t="n"/>
      <c r="Z71" s="57" t="n"/>
      <c r="AA71" s="60">
        <f>SUM(W71:Z71)</f>
        <v/>
      </c>
      <c r="AB71" s="61" t="n"/>
      <c r="AC71" s="57" t="n"/>
      <c r="AD71" s="58">
        <f>T71</f>
        <v/>
      </c>
      <c r="AE71" s="59" t="n"/>
      <c r="AF71" s="57" t="n"/>
      <c r="AG71" s="57" t="n"/>
      <c r="AH71" s="57" t="n"/>
      <c r="AI71" s="57" t="n"/>
      <c r="AJ71" s="60">
        <f>SUM(AF71:AI71)</f>
        <v/>
      </c>
      <c r="AK71" s="61" t="n"/>
      <c r="AL71" s="57" t="n"/>
      <c r="AM71" s="58">
        <f>AC71</f>
        <v/>
      </c>
      <c r="AN71" s="59" t="n"/>
      <c r="AO71" s="57" t="n"/>
      <c r="AP71" s="57" t="n"/>
      <c r="AQ71" s="57" t="n"/>
      <c r="AR71" s="57" t="n"/>
      <c r="AS71" s="60">
        <f>SUM(AO71:AR71)</f>
        <v/>
      </c>
      <c r="AT71" s="61" t="n"/>
      <c r="AU71" s="57" t="n"/>
      <c r="AV71" s="58">
        <f>AL71</f>
        <v/>
      </c>
      <c r="AW71" s="59" t="n"/>
      <c r="AX71" s="57" t="n"/>
      <c r="AY71" s="57" t="n"/>
      <c r="AZ71" s="57" t="n"/>
      <c r="BA71" s="57" t="n"/>
      <c r="BB71" s="60">
        <f>SUM(AX71:BA71)</f>
        <v/>
      </c>
      <c r="BC71" s="61" t="n"/>
      <c r="BD71" s="57" t="n"/>
      <c r="BE71" s="58">
        <f>AU71</f>
        <v/>
      </c>
      <c r="BF71" s="59" t="n"/>
      <c r="BG71" s="57" t="n"/>
      <c r="BH71" s="57" t="n"/>
      <c r="BI71" s="57" t="n"/>
      <c r="BJ71" s="57" t="n"/>
      <c r="BK71" s="60">
        <f>SUM(BG71:BJ71)</f>
        <v/>
      </c>
      <c r="BL71" s="61" t="n"/>
      <c r="BM71" s="57" t="n"/>
      <c r="BN71" s="58">
        <f>BD71</f>
        <v/>
      </c>
      <c r="BO71" s="59" t="n"/>
      <c r="BP71" s="57" t="n"/>
      <c r="BQ71" s="57" t="n"/>
      <c r="BR71" s="57" t="n"/>
      <c r="BS71" s="57" t="n"/>
      <c r="BT71" s="60">
        <f>SUM(BP71:BS71)</f>
        <v/>
      </c>
      <c r="BU71" s="61" t="n"/>
      <c r="BV71" s="57" t="n"/>
      <c r="BW71" s="58">
        <f>BM71</f>
        <v/>
      </c>
      <c r="BX71" s="59" t="n"/>
      <c r="BY71" s="57" t="n"/>
      <c r="BZ71" s="57" t="n"/>
      <c r="CA71" s="57" t="n"/>
      <c r="CB71" s="57" t="n"/>
      <c r="CC71" s="60">
        <f>SUM(BY71:CB71)</f>
        <v/>
      </c>
      <c r="CD71" s="61" t="n"/>
      <c r="CE71" s="57" t="n"/>
      <c r="CF71" s="58">
        <f>BV71</f>
        <v/>
      </c>
      <c r="CG71" s="59" t="n"/>
      <c r="CH71" s="57" t="n"/>
      <c r="CI71" s="57" t="n"/>
      <c r="CJ71" s="57" t="n"/>
      <c r="CK71" s="57" t="n"/>
      <c r="CL71" s="60">
        <f>SUM(CH71:CK71)</f>
        <v/>
      </c>
      <c r="CM71" s="61" t="n"/>
      <c r="CN71" s="57" t="n"/>
      <c r="CO71" s="58">
        <f>CE71</f>
        <v/>
      </c>
      <c r="CP71" s="59" t="n"/>
      <c r="CQ71" s="57" t="n"/>
      <c r="CR71" s="57" t="n"/>
      <c r="CS71" s="57" t="n"/>
      <c r="CT71" s="57" t="n"/>
      <c r="CU71" s="60">
        <f>SUM(CQ71:CT71)</f>
        <v/>
      </c>
      <c r="CV71" s="61" t="n"/>
      <c r="CW71" s="57" t="n"/>
      <c r="CX71" s="58">
        <f>CN71</f>
        <v/>
      </c>
      <c r="CY71" s="59" t="n"/>
      <c r="CZ71" s="57" t="n"/>
      <c r="DA71" s="57" t="n"/>
      <c r="DB71" s="57" t="n"/>
      <c r="DC71" s="57" t="n"/>
      <c r="DD71" s="60">
        <f>SUM(CZ71:DC71)</f>
        <v/>
      </c>
      <c r="DE71" s="61" t="n"/>
      <c r="DF71" s="57" t="n"/>
      <c r="DG71" s="58">
        <f>CW71</f>
        <v/>
      </c>
      <c r="DH71" s="59" t="n"/>
      <c r="DI71" s="57" t="n"/>
      <c r="DJ71" s="57" t="n"/>
      <c r="DK71" s="57" t="n"/>
      <c r="DL71" s="57" t="n"/>
      <c r="DM71" s="60">
        <f>SUM(DI71:DL71)</f>
        <v/>
      </c>
      <c r="DN71" s="61" t="n"/>
      <c r="DO71" s="57" t="n"/>
      <c r="DP71" s="58">
        <f>DF71</f>
        <v/>
      </c>
      <c r="DQ71" s="59" t="n"/>
      <c r="DR71" s="57" t="n"/>
      <c r="DS71" s="57" t="n"/>
      <c r="DT71" s="57" t="n"/>
      <c r="DU71" s="57" t="n"/>
      <c r="DV71" s="60">
        <f>SUM(DR71:DU71)</f>
        <v/>
      </c>
      <c r="DW71" s="61" t="n"/>
      <c r="DX71" s="57" t="n"/>
      <c r="DY71" s="58">
        <f>DO71</f>
        <v/>
      </c>
      <c r="DZ71" s="59" t="n"/>
      <c r="EA71" s="57" t="n"/>
      <c r="EB71" s="57" t="n"/>
      <c r="EC71" s="57" t="n"/>
      <c r="ED71" s="57" t="n"/>
      <c r="EE71" s="60">
        <f>SUM(EA71:ED71)</f>
        <v/>
      </c>
      <c r="EF71" s="61" t="n"/>
      <c r="EG71" s="57" t="n"/>
      <c r="EH71" s="58">
        <f>DX71</f>
        <v/>
      </c>
      <c r="EI71" s="59" t="n"/>
      <c r="EJ71" s="57" t="n"/>
      <c r="EK71" s="57" t="n"/>
      <c r="EL71" s="57" t="n"/>
      <c r="EM71" s="57" t="n"/>
      <c r="EN71" s="60">
        <f>SUM(EJ71:EM71)</f>
        <v/>
      </c>
      <c r="EO71" s="61" t="n"/>
      <c r="EP71" s="57" t="n"/>
      <c r="EQ71" s="58">
        <f>EG71</f>
        <v/>
      </c>
      <c r="ER71" s="59" t="n"/>
      <c r="ES71" s="57" t="n"/>
      <c r="ET71" s="57" t="n"/>
      <c r="EU71" s="57" t="n"/>
      <c r="EV71" s="57" t="n"/>
      <c r="EW71" s="60">
        <f>SUM(ES71:EV71)</f>
        <v/>
      </c>
      <c r="EX71" s="61" t="n"/>
      <c r="EY71" s="57" t="n"/>
      <c r="EZ71" s="58">
        <f>EP71</f>
        <v/>
      </c>
      <c r="FA71" s="59" t="n"/>
      <c r="FB71" s="57" t="n"/>
      <c r="FC71" s="57" t="n"/>
      <c r="FD71" s="57" t="n"/>
      <c r="FE71" s="57" t="n"/>
      <c r="FF71" s="60">
        <f>SUM(FB71:FE71)</f>
        <v/>
      </c>
      <c r="FG71" s="61" t="n"/>
      <c r="FH71" s="57" t="n"/>
      <c r="FI71" s="58">
        <f>EY71</f>
        <v/>
      </c>
      <c r="FJ71" s="59" t="n"/>
      <c r="FK71" s="57" t="n"/>
      <c r="FL71" s="57" t="n"/>
      <c r="FM71" s="57" t="n"/>
      <c r="FN71" s="57" t="n"/>
      <c r="FO71" s="60">
        <f>SUM(FK71:FN71)</f>
        <v/>
      </c>
      <c r="FP71" s="61" t="n"/>
      <c r="FQ71" s="57" t="n"/>
      <c r="FR71" s="58">
        <f>FH71</f>
        <v/>
      </c>
      <c r="FS71" s="59" t="n"/>
      <c r="FT71" s="57" t="n"/>
      <c r="FU71" s="57" t="n"/>
      <c r="FV71" s="57" t="n"/>
      <c r="FW71" s="57" t="n"/>
      <c r="FX71" s="60">
        <f>SUM(FT71:FW71)</f>
        <v/>
      </c>
      <c r="FY71" s="61" t="n"/>
      <c r="FZ71" s="57" t="n"/>
      <c r="GA71" s="58">
        <f>FQ71</f>
        <v/>
      </c>
      <c r="GB71" s="59" t="n"/>
      <c r="GC71" s="57" t="n"/>
      <c r="GD71" s="57" t="n"/>
      <c r="GE71" s="57" t="n"/>
      <c r="GF71" s="57" t="n"/>
      <c r="GG71" s="60">
        <f>SUM(GC71:GF71)</f>
        <v/>
      </c>
      <c r="GH71" s="61" t="n"/>
      <c r="GI71" s="57" t="n"/>
      <c r="GJ71" s="58">
        <f>FZ71</f>
        <v/>
      </c>
      <c r="GK71" s="59" t="n"/>
      <c r="GL71" s="57" t="n"/>
      <c r="GM71" s="57" t="n"/>
      <c r="GN71" s="57" t="n"/>
      <c r="GO71" s="57" t="n"/>
      <c r="GP71" s="60">
        <f>SUM(GL71:GO71)</f>
        <v/>
      </c>
      <c r="GQ71" s="61" t="n"/>
      <c r="GR71" s="57" t="n"/>
      <c r="GS71" s="58">
        <f>GI71</f>
        <v/>
      </c>
      <c r="GT71" s="59" t="n"/>
      <c r="GU71" s="57" t="n"/>
      <c r="GV71" s="57" t="n"/>
      <c r="GW71" s="57" t="n"/>
      <c r="GX71" s="57" t="n"/>
      <c r="GY71" s="60">
        <f>SUM(GU71:GX71)</f>
        <v/>
      </c>
      <c r="GZ71" s="61" t="n"/>
      <c r="HA71" s="57" t="n"/>
      <c r="HB71" s="58">
        <f>GR71</f>
        <v/>
      </c>
      <c r="HC71" s="59" t="n"/>
      <c r="HD71" s="57" t="n"/>
      <c r="HE71" s="57" t="n"/>
      <c r="HF71" s="57" t="n"/>
      <c r="HG71" s="57" t="n"/>
      <c r="HH71" s="60">
        <f>SUM(HD71:HG71)</f>
        <v/>
      </c>
      <c r="HI71" s="61" t="n"/>
      <c r="HJ71" s="57" t="n"/>
      <c r="HK71" s="58">
        <f>HA71</f>
        <v/>
      </c>
      <c r="HL71" s="59" t="n"/>
      <c r="HM71" s="57" t="n"/>
      <c r="HN71" s="57" t="n"/>
      <c r="HO71" s="57" t="n"/>
      <c r="HP71" s="57" t="n"/>
      <c r="HQ71" s="60">
        <f>SUM(HM71:HP71)</f>
        <v/>
      </c>
      <c r="HR71" s="61" t="n"/>
      <c r="HS71" s="57" t="n"/>
      <c r="HT71" s="58">
        <f>HJ71</f>
        <v/>
      </c>
      <c r="HU71" s="59" t="n"/>
      <c r="HV71" s="57" t="n"/>
      <c r="HW71" s="57" t="n"/>
      <c r="HX71" s="57" t="n"/>
      <c r="HY71" s="57" t="n"/>
      <c r="HZ71" s="60">
        <f>SUM(HV71:HY71)</f>
        <v/>
      </c>
      <c r="IA71" s="61" t="n"/>
      <c r="IB71" s="57" t="n"/>
      <c r="IC71" s="58">
        <f>HS71</f>
        <v/>
      </c>
      <c r="ID71" s="59" t="n"/>
      <c r="IE71" s="57" t="n"/>
      <c r="IF71" s="57" t="n"/>
      <c r="IG71" s="57" t="n"/>
      <c r="IH71" s="57" t="n"/>
      <c r="II71" s="60">
        <f>SUM(IE71:IH71)</f>
        <v/>
      </c>
      <c r="IJ71" s="61" t="n"/>
      <c r="IK71" s="57" t="n"/>
      <c r="IL71" s="58">
        <f>IB71</f>
        <v/>
      </c>
      <c r="IM71" s="59" t="n"/>
      <c r="IN71" s="57" t="n"/>
      <c r="IO71" s="57" t="n"/>
      <c r="IP71" s="57" t="n"/>
      <c r="IQ71" s="57" t="n"/>
      <c r="IR71" s="60">
        <f>SUM(IN71:IQ71)</f>
        <v/>
      </c>
      <c r="IS71" s="61" t="n"/>
      <c r="IT71" s="57" t="n"/>
      <c r="IU71" s="58">
        <f>IK71</f>
        <v/>
      </c>
      <c r="IV71" s="59" t="n"/>
      <c r="IW71" s="57" t="n"/>
      <c r="IX71" s="57" t="n"/>
      <c r="IY71" s="57" t="n"/>
      <c r="IZ71" s="57" t="n"/>
      <c r="JA71" s="60">
        <f>SUM(IW71:IZ71)</f>
        <v/>
      </c>
      <c r="JB71" s="61" t="n"/>
      <c r="JC71" s="57" t="n"/>
      <c r="JD71" s="58">
        <f>IT71</f>
        <v/>
      </c>
      <c r="JE71" s="59" t="n"/>
      <c r="JF71" s="57" t="n"/>
      <c r="JG71" s="57" t="n"/>
      <c r="JH71" s="57" t="n"/>
      <c r="JI71" s="57" t="n"/>
      <c r="JJ71" s="60">
        <f>SUM(JF71:JI71)</f>
        <v/>
      </c>
      <c r="JK71" s="61" t="n"/>
      <c r="JL71" s="57" t="n"/>
      <c r="JM71" s="58">
        <f>JC71</f>
        <v/>
      </c>
      <c r="JN71" s="59" t="n"/>
      <c r="JO71" s="57" t="n"/>
      <c r="JP71" s="57" t="n"/>
      <c r="JQ71" s="57" t="n"/>
      <c r="JR71" s="57" t="n"/>
      <c r="JS71" s="60">
        <f>SUM(JO71:JR71)</f>
        <v/>
      </c>
      <c r="JT71" s="61" t="n"/>
      <c r="JU71" s="62">
        <f>I71+R71+AA71+AJ71+AS71+BB71+BK71+BT71+CC71+CL71+CU71+DD71+DM71+DV71+EE71+EN71+EW71+FF71+FO71+FX71+GG71+GP71+GY71+HH71+HQ71+HZ71+II71+IR71+JA71+JJ71+JS71</f>
        <v/>
      </c>
      <c r="JV71" s="63">
        <f>D71+M71+V71+AE71+AN71+AW71+BF71+BO71+BX71+CG71+CP71+CY71+DH71+DQ71+DZ71+EI71+ER71+FA71+FJ71+FS71+GB71+GK71+GT71+HC71+HL71+HU71+ID71+IM71+IV71+JE71+JN71</f>
        <v/>
      </c>
      <c r="JW71" s="62">
        <f>CHOOSE($Z$3,B71, K71, T71, AC71, AL71, AU71, BD71, BM71, BV71, CE71, CN71, CW71, DF71, DO71, DX71, EG71, EP71, EY71, FH71, FQ71, FZ71, GI71, GR71, HA71, HJ71, HS71, IB71, IK71, IT71, JC71, JL71)</f>
        <v/>
      </c>
      <c r="JX71" s="62">
        <f>IFERROR(JU71/$Z$3,0)</f>
        <v/>
      </c>
      <c r="JY71" s="62">
        <f>Configurações!$C$11</f>
        <v/>
      </c>
      <c r="JZ71" s="64">
        <f>IF(JY71=0,"— Sem meta",IF(JU71&gt;=JY71,"✓ Atingida","Em andamento"))</f>
        <v/>
      </c>
      <c r="KA71" s="65">
        <f>JU71+(9*0.0000001)</f>
        <v/>
      </c>
    </row>
    <row r="72" ht="20" customHeight="1">
      <c r="A72" s="56">
        <f>IF(Configurações!$B$12="","Assessor 6",Configurações!$B$12)</f>
        <v/>
      </c>
      <c r="B72" s="57" t="n"/>
      <c r="C72" s="66">
        <f>'Fevereiro'!$JW72</f>
        <v/>
      </c>
      <c r="D72" s="59" t="n"/>
      <c r="E72" s="57" t="n"/>
      <c r="F72" s="57" t="n"/>
      <c r="G72" s="57" t="n"/>
      <c r="H72" s="57" t="n"/>
      <c r="I72" s="67">
        <f>SUM(E72:H72)</f>
        <v/>
      </c>
      <c r="J72" s="61" t="n"/>
      <c r="K72" s="57" t="n"/>
      <c r="L72" s="66">
        <f>B72</f>
        <v/>
      </c>
      <c r="M72" s="59" t="n"/>
      <c r="N72" s="57" t="n"/>
      <c r="O72" s="57" t="n"/>
      <c r="P72" s="57" t="n"/>
      <c r="Q72" s="57" t="n"/>
      <c r="R72" s="67">
        <f>SUM(N72:Q72)</f>
        <v/>
      </c>
      <c r="S72" s="61" t="n"/>
      <c r="T72" s="57" t="n"/>
      <c r="U72" s="66">
        <f>K72</f>
        <v/>
      </c>
      <c r="V72" s="59" t="n"/>
      <c r="W72" s="57" t="n"/>
      <c r="X72" s="57" t="n"/>
      <c r="Y72" s="57" t="n"/>
      <c r="Z72" s="57" t="n"/>
      <c r="AA72" s="67">
        <f>SUM(W72:Z72)</f>
        <v/>
      </c>
      <c r="AB72" s="61" t="n"/>
      <c r="AC72" s="57" t="n"/>
      <c r="AD72" s="66">
        <f>T72</f>
        <v/>
      </c>
      <c r="AE72" s="59" t="n"/>
      <c r="AF72" s="57" t="n"/>
      <c r="AG72" s="57" t="n"/>
      <c r="AH72" s="57" t="n"/>
      <c r="AI72" s="57" t="n"/>
      <c r="AJ72" s="67">
        <f>SUM(AF72:AI72)</f>
        <v/>
      </c>
      <c r="AK72" s="61" t="n"/>
      <c r="AL72" s="57" t="n"/>
      <c r="AM72" s="66">
        <f>AC72</f>
        <v/>
      </c>
      <c r="AN72" s="59" t="n"/>
      <c r="AO72" s="57" t="n"/>
      <c r="AP72" s="57" t="n"/>
      <c r="AQ72" s="57" t="n"/>
      <c r="AR72" s="57" t="n"/>
      <c r="AS72" s="67">
        <f>SUM(AO72:AR72)</f>
        <v/>
      </c>
      <c r="AT72" s="61" t="n"/>
      <c r="AU72" s="57" t="n"/>
      <c r="AV72" s="66">
        <f>AL72</f>
        <v/>
      </c>
      <c r="AW72" s="59" t="n"/>
      <c r="AX72" s="57" t="n"/>
      <c r="AY72" s="57" t="n"/>
      <c r="AZ72" s="57" t="n"/>
      <c r="BA72" s="57" t="n"/>
      <c r="BB72" s="67">
        <f>SUM(AX72:BA72)</f>
        <v/>
      </c>
      <c r="BC72" s="61" t="n"/>
      <c r="BD72" s="57" t="n"/>
      <c r="BE72" s="66">
        <f>AU72</f>
        <v/>
      </c>
      <c r="BF72" s="59" t="n"/>
      <c r="BG72" s="57" t="n"/>
      <c r="BH72" s="57" t="n"/>
      <c r="BI72" s="57" t="n"/>
      <c r="BJ72" s="57" t="n"/>
      <c r="BK72" s="67">
        <f>SUM(BG72:BJ72)</f>
        <v/>
      </c>
      <c r="BL72" s="61" t="n"/>
      <c r="BM72" s="57" t="n"/>
      <c r="BN72" s="66">
        <f>BD72</f>
        <v/>
      </c>
      <c r="BO72" s="59" t="n"/>
      <c r="BP72" s="57" t="n"/>
      <c r="BQ72" s="57" t="n"/>
      <c r="BR72" s="57" t="n"/>
      <c r="BS72" s="57" t="n"/>
      <c r="BT72" s="67">
        <f>SUM(BP72:BS72)</f>
        <v/>
      </c>
      <c r="BU72" s="61" t="n"/>
      <c r="BV72" s="57" t="n"/>
      <c r="BW72" s="66">
        <f>BM72</f>
        <v/>
      </c>
      <c r="BX72" s="59" t="n"/>
      <c r="BY72" s="57" t="n"/>
      <c r="BZ72" s="57" t="n"/>
      <c r="CA72" s="57" t="n"/>
      <c r="CB72" s="57" t="n"/>
      <c r="CC72" s="67">
        <f>SUM(BY72:CB72)</f>
        <v/>
      </c>
      <c r="CD72" s="61" t="n"/>
      <c r="CE72" s="57" t="n"/>
      <c r="CF72" s="66">
        <f>BV72</f>
        <v/>
      </c>
      <c r="CG72" s="59" t="n"/>
      <c r="CH72" s="57" t="n"/>
      <c r="CI72" s="57" t="n"/>
      <c r="CJ72" s="57" t="n"/>
      <c r="CK72" s="57" t="n"/>
      <c r="CL72" s="67">
        <f>SUM(CH72:CK72)</f>
        <v/>
      </c>
      <c r="CM72" s="61" t="n"/>
      <c r="CN72" s="57" t="n"/>
      <c r="CO72" s="66">
        <f>CE72</f>
        <v/>
      </c>
      <c r="CP72" s="59" t="n"/>
      <c r="CQ72" s="57" t="n"/>
      <c r="CR72" s="57" t="n"/>
      <c r="CS72" s="57" t="n"/>
      <c r="CT72" s="57" t="n"/>
      <c r="CU72" s="67">
        <f>SUM(CQ72:CT72)</f>
        <v/>
      </c>
      <c r="CV72" s="61" t="n"/>
      <c r="CW72" s="57" t="n"/>
      <c r="CX72" s="66">
        <f>CN72</f>
        <v/>
      </c>
      <c r="CY72" s="59" t="n"/>
      <c r="CZ72" s="57" t="n"/>
      <c r="DA72" s="57" t="n"/>
      <c r="DB72" s="57" t="n"/>
      <c r="DC72" s="57" t="n"/>
      <c r="DD72" s="67">
        <f>SUM(CZ72:DC72)</f>
        <v/>
      </c>
      <c r="DE72" s="61" t="n"/>
      <c r="DF72" s="57" t="n"/>
      <c r="DG72" s="66">
        <f>CW72</f>
        <v/>
      </c>
      <c r="DH72" s="59" t="n"/>
      <c r="DI72" s="57" t="n"/>
      <c r="DJ72" s="57" t="n"/>
      <c r="DK72" s="57" t="n"/>
      <c r="DL72" s="57" t="n"/>
      <c r="DM72" s="67">
        <f>SUM(DI72:DL72)</f>
        <v/>
      </c>
      <c r="DN72" s="61" t="n"/>
      <c r="DO72" s="57" t="n"/>
      <c r="DP72" s="66">
        <f>DF72</f>
        <v/>
      </c>
      <c r="DQ72" s="59" t="n"/>
      <c r="DR72" s="57" t="n"/>
      <c r="DS72" s="57" t="n"/>
      <c r="DT72" s="57" t="n"/>
      <c r="DU72" s="57" t="n"/>
      <c r="DV72" s="67">
        <f>SUM(DR72:DU72)</f>
        <v/>
      </c>
      <c r="DW72" s="61" t="n"/>
      <c r="DX72" s="57" t="n"/>
      <c r="DY72" s="66">
        <f>DO72</f>
        <v/>
      </c>
      <c r="DZ72" s="59" t="n"/>
      <c r="EA72" s="57" t="n"/>
      <c r="EB72" s="57" t="n"/>
      <c r="EC72" s="57" t="n"/>
      <c r="ED72" s="57" t="n"/>
      <c r="EE72" s="67">
        <f>SUM(EA72:ED72)</f>
        <v/>
      </c>
      <c r="EF72" s="61" t="n"/>
      <c r="EG72" s="57" t="n"/>
      <c r="EH72" s="66">
        <f>DX72</f>
        <v/>
      </c>
      <c r="EI72" s="59" t="n"/>
      <c r="EJ72" s="57" t="n"/>
      <c r="EK72" s="57" t="n"/>
      <c r="EL72" s="57" t="n"/>
      <c r="EM72" s="57" t="n"/>
      <c r="EN72" s="67">
        <f>SUM(EJ72:EM72)</f>
        <v/>
      </c>
      <c r="EO72" s="61" t="n"/>
      <c r="EP72" s="57" t="n"/>
      <c r="EQ72" s="66">
        <f>EG72</f>
        <v/>
      </c>
      <c r="ER72" s="59" t="n"/>
      <c r="ES72" s="57" t="n"/>
      <c r="ET72" s="57" t="n"/>
      <c r="EU72" s="57" t="n"/>
      <c r="EV72" s="57" t="n"/>
      <c r="EW72" s="67">
        <f>SUM(ES72:EV72)</f>
        <v/>
      </c>
      <c r="EX72" s="61" t="n"/>
      <c r="EY72" s="57" t="n"/>
      <c r="EZ72" s="66">
        <f>EP72</f>
        <v/>
      </c>
      <c r="FA72" s="59" t="n"/>
      <c r="FB72" s="57" t="n"/>
      <c r="FC72" s="57" t="n"/>
      <c r="FD72" s="57" t="n"/>
      <c r="FE72" s="57" t="n"/>
      <c r="FF72" s="67">
        <f>SUM(FB72:FE72)</f>
        <v/>
      </c>
      <c r="FG72" s="61" t="n"/>
      <c r="FH72" s="57" t="n"/>
      <c r="FI72" s="66">
        <f>EY72</f>
        <v/>
      </c>
      <c r="FJ72" s="59" t="n"/>
      <c r="FK72" s="57" t="n"/>
      <c r="FL72" s="57" t="n"/>
      <c r="FM72" s="57" t="n"/>
      <c r="FN72" s="57" t="n"/>
      <c r="FO72" s="67">
        <f>SUM(FK72:FN72)</f>
        <v/>
      </c>
      <c r="FP72" s="61" t="n"/>
      <c r="FQ72" s="57" t="n"/>
      <c r="FR72" s="66">
        <f>FH72</f>
        <v/>
      </c>
      <c r="FS72" s="59" t="n"/>
      <c r="FT72" s="57" t="n"/>
      <c r="FU72" s="57" t="n"/>
      <c r="FV72" s="57" t="n"/>
      <c r="FW72" s="57" t="n"/>
      <c r="FX72" s="67">
        <f>SUM(FT72:FW72)</f>
        <v/>
      </c>
      <c r="FY72" s="61" t="n"/>
      <c r="FZ72" s="57" t="n"/>
      <c r="GA72" s="66">
        <f>FQ72</f>
        <v/>
      </c>
      <c r="GB72" s="59" t="n"/>
      <c r="GC72" s="57" t="n"/>
      <c r="GD72" s="57" t="n"/>
      <c r="GE72" s="57" t="n"/>
      <c r="GF72" s="57" t="n"/>
      <c r="GG72" s="67">
        <f>SUM(GC72:GF72)</f>
        <v/>
      </c>
      <c r="GH72" s="61" t="n"/>
      <c r="GI72" s="57" t="n"/>
      <c r="GJ72" s="66">
        <f>FZ72</f>
        <v/>
      </c>
      <c r="GK72" s="59" t="n"/>
      <c r="GL72" s="57" t="n"/>
      <c r="GM72" s="57" t="n"/>
      <c r="GN72" s="57" t="n"/>
      <c r="GO72" s="57" t="n"/>
      <c r="GP72" s="67">
        <f>SUM(GL72:GO72)</f>
        <v/>
      </c>
      <c r="GQ72" s="61" t="n"/>
      <c r="GR72" s="57" t="n"/>
      <c r="GS72" s="66">
        <f>GI72</f>
        <v/>
      </c>
      <c r="GT72" s="59" t="n"/>
      <c r="GU72" s="57" t="n"/>
      <c r="GV72" s="57" t="n"/>
      <c r="GW72" s="57" t="n"/>
      <c r="GX72" s="57" t="n"/>
      <c r="GY72" s="67">
        <f>SUM(GU72:GX72)</f>
        <v/>
      </c>
      <c r="GZ72" s="61" t="n"/>
      <c r="HA72" s="57" t="n"/>
      <c r="HB72" s="66">
        <f>GR72</f>
        <v/>
      </c>
      <c r="HC72" s="59" t="n"/>
      <c r="HD72" s="57" t="n"/>
      <c r="HE72" s="57" t="n"/>
      <c r="HF72" s="57" t="n"/>
      <c r="HG72" s="57" t="n"/>
      <c r="HH72" s="67">
        <f>SUM(HD72:HG72)</f>
        <v/>
      </c>
      <c r="HI72" s="61" t="n"/>
      <c r="HJ72" s="57" t="n"/>
      <c r="HK72" s="66">
        <f>HA72</f>
        <v/>
      </c>
      <c r="HL72" s="59" t="n"/>
      <c r="HM72" s="57" t="n"/>
      <c r="HN72" s="57" t="n"/>
      <c r="HO72" s="57" t="n"/>
      <c r="HP72" s="57" t="n"/>
      <c r="HQ72" s="67">
        <f>SUM(HM72:HP72)</f>
        <v/>
      </c>
      <c r="HR72" s="61" t="n"/>
      <c r="HS72" s="57" t="n"/>
      <c r="HT72" s="66">
        <f>HJ72</f>
        <v/>
      </c>
      <c r="HU72" s="59" t="n"/>
      <c r="HV72" s="57" t="n"/>
      <c r="HW72" s="57" t="n"/>
      <c r="HX72" s="57" t="n"/>
      <c r="HY72" s="57" t="n"/>
      <c r="HZ72" s="67">
        <f>SUM(HV72:HY72)</f>
        <v/>
      </c>
      <c r="IA72" s="61" t="n"/>
      <c r="IB72" s="57" t="n"/>
      <c r="IC72" s="66">
        <f>HS72</f>
        <v/>
      </c>
      <c r="ID72" s="59" t="n"/>
      <c r="IE72" s="57" t="n"/>
      <c r="IF72" s="57" t="n"/>
      <c r="IG72" s="57" t="n"/>
      <c r="IH72" s="57" t="n"/>
      <c r="II72" s="67">
        <f>SUM(IE72:IH72)</f>
        <v/>
      </c>
      <c r="IJ72" s="61" t="n"/>
      <c r="IK72" s="57" t="n"/>
      <c r="IL72" s="66">
        <f>IB72</f>
        <v/>
      </c>
      <c r="IM72" s="59" t="n"/>
      <c r="IN72" s="57" t="n"/>
      <c r="IO72" s="57" t="n"/>
      <c r="IP72" s="57" t="n"/>
      <c r="IQ72" s="57" t="n"/>
      <c r="IR72" s="67">
        <f>SUM(IN72:IQ72)</f>
        <v/>
      </c>
      <c r="IS72" s="61" t="n"/>
      <c r="IT72" s="57" t="n"/>
      <c r="IU72" s="66">
        <f>IK72</f>
        <v/>
      </c>
      <c r="IV72" s="59" t="n"/>
      <c r="IW72" s="57" t="n"/>
      <c r="IX72" s="57" t="n"/>
      <c r="IY72" s="57" t="n"/>
      <c r="IZ72" s="57" t="n"/>
      <c r="JA72" s="67">
        <f>SUM(IW72:IZ72)</f>
        <v/>
      </c>
      <c r="JB72" s="61" t="n"/>
      <c r="JC72" s="57" t="n"/>
      <c r="JD72" s="66">
        <f>IT72</f>
        <v/>
      </c>
      <c r="JE72" s="59" t="n"/>
      <c r="JF72" s="57" t="n"/>
      <c r="JG72" s="57" t="n"/>
      <c r="JH72" s="57" t="n"/>
      <c r="JI72" s="57" t="n"/>
      <c r="JJ72" s="67">
        <f>SUM(JF72:JI72)</f>
        <v/>
      </c>
      <c r="JK72" s="61" t="n"/>
      <c r="JL72" s="57" t="n"/>
      <c r="JM72" s="66">
        <f>JC72</f>
        <v/>
      </c>
      <c r="JN72" s="59" t="n"/>
      <c r="JO72" s="57" t="n"/>
      <c r="JP72" s="57" t="n"/>
      <c r="JQ72" s="57" t="n"/>
      <c r="JR72" s="57" t="n"/>
      <c r="JS72" s="67">
        <f>SUM(JO72:JR72)</f>
        <v/>
      </c>
      <c r="JT72" s="61" t="n"/>
      <c r="JU72" s="62">
        <f>I72+R72+AA72+AJ72+AS72+BB72+BK72+BT72+CC72+CL72+CU72+DD72+DM72+DV72+EE72+EN72+EW72+FF72+FO72+FX72+GG72+GP72+GY72+HH72+HQ72+HZ72+II72+IR72+JA72+JJ72+JS72</f>
        <v/>
      </c>
      <c r="JV72" s="63">
        <f>D72+M72+V72+AE72+AN72+AW72+BF72+BO72+BX72+CG72+CP72+CY72+DH72+DQ72+DZ72+EI72+ER72+FA72+FJ72+FS72+GB72+GK72+GT72+HC72+HL72+HU72+ID72+IM72+IV72+JE72+JN72</f>
        <v/>
      </c>
      <c r="JW72" s="62">
        <f>CHOOSE($Z$3,B72, K72, T72, AC72, AL72, AU72, BD72, BM72, BV72, CE72, CN72, CW72, DF72, DO72, DX72, EG72, EP72, EY72, FH72, FQ72, FZ72, GI72, GR72, HA72, HJ72, HS72, IB72, IK72, IT72, JC72, JL72)</f>
        <v/>
      </c>
      <c r="JX72" s="62">
        <f>IFERROR(JU72/$Z$3,0)</f>
        <v/>
      </c>
      <c r="JY72" s="62">
        <f>Configurações!$C$12</f>
        <v/>
      </c>
      <c r="JZ72" s="64">
        <f>IF(JY72=0,"— Sem meta",IF(JU72&gt;=JY72,"✓ Atingida","Em andamento"))</f>
        <v/>
      </c>
      <c r="KA72" s="65">
        <f>JU72+(8*0.0000001)</f>
        <v/>
      </c>
    </row>
    <row r="73" ht="20" customHeight="1">
      <c r="A73" s="56">
        <f>IF(Configurações!$B$13="","Assessor 7",Configurações!$B$13)</f>
        <v/>
      </c>
      <c r="B73" s="57" t="n"/>
      <c r="C73" s="58">
        <f>'Fevereiro'!$JW73</f>
        <v/>
      </c>
      <c r="D73" s="59" t="n"/>
      <c r="E73" s="57" t="n"/>
      <c r="F73" s="57" t="n"/>
      <c r="G73" s="57" t="n"/>
      <c r="H73" s="57" t="n"/>
      <c r="I73" s="60">
        <f>SUM(E73:H73)</f>
        <v/>
      </c>
      <c r="J73" s="61" t="n"/>
      <c r="K73" s="57" t="n"/>
      <c r="L73" s="58">
        <f>B73</f>
        <v/>
      </c>
      <c r="M73" s="59" t="n"/>
      <c r="N73" s="57" t="n"/>
      <c r="O73" s="57" t="n"/>
      <c r="P73" s="57" t="n"/>
      <c r="Q73" s="57" t="n"/>
      <c r="R73" s="60">
        <f>SUM(N73:Q73)</f>
        <v/>
      </c>
      <c r="S73" s="61" t="n"/>
      <c r="T73" s="57" t="n"/>
      <c r="U73" s="58">
        <f>K73</f>
        <v/>
      </c>
      <c r="V73" s="59" t="n"/>
      <c r="W73" s="57" t="n"/>
      <c r="X73" s="57" t="n"/>
      <c r="Y73" s="57" t="n"/>
      <c r="Z73" s="57" t="n"/>
      <c r="AA73" s="60">
        <f>SUM(W73:Z73)</f>
        <v/>
      </c>
      <c r="AB73" s="61" t="n"/>
      <c r="AC73" s="57" t="n"/>
      <c r="AD73" s="58">
        <f>T73</f>
        <v/>
      </c>
      <c r="AE73" s="59" t="n"/>
      <c r="AF73" s="57" t="n"/>
      <c r="AG73" s="57" t="n"/>
      <c r="AH73" s="57" t="n"/>
      <c r="AI73" s="57" t="n"/>
      <c r="AJ73" s="60">
        <f>SUM(AF73:AI73)</f>
        <v/>
      </c>
      <c r="AK73" s="61" t="n"/>
      <c r="AL73" s="57" t="n"/>
      <c r="AM73" s="58">
        <f>AC73</f>
        <v/>
      </c>
      <c r="AN73" s="59" t="n"/>
      <c r="AO73" s="57" t="n"/>
      <c r="AP73" s="57" t="n"/>
      <c r="AQ73" s="57" t="n"/>
      <c r="AR73" s="57" t="n"/>
      <c r="AS73" s="60">
        <f>SUM(AO73:AR73)</f>
        <v/>
      </c>
      <c r="AT73" s="61" t="n"/>
      <c r="AU73" s="57" t="n"/>
      <c r="AV73" s="58">
        <f>AL73</f>
        <v/>
      </c>
      <c r="AW73" s="59" t="n"/>
      <c r="AX73" s="57" t="n"/>
      <c r="AY73" s="57" t="n"/>
      <c r="AZ73" s="57" t="n"/>
      <c r="BA73" s="57" t="n"/>
      <c r="BB73" s="60">
        <f>SUM(AX73:BA73)</f>
        <v/>
      </c>
      <c r="BC73" s="61" t="n"/>
      <c r="BD73" s="57" t="n"/>
      <c r="BE73" s="58">
        <f>AU73</f>
        <v/>
      </c>
      <c r="BF73" s="59" t="n"/>
      <c r="BG73" s="57" t="n"/>
      <c r="BH73" s="57" t="n"/>
      <c r="BI73" s="57" t="n"/>
      <c r="BJ73" s="57" t="n"/>
      <c r="BK73" s="60">
        <f>SUM(BG73:BJ73)</f>
        <v/>
      </c>
      <c r="BL73" s="61" t="n"/>
      <c r="BM73" s="57" t="n"/>
      <c r="BN73" s="58">
        <f>BD73</f>
        <v/>
      </c>
      <c r="BO73" s="59" t="n"/>
      <c r="BP73" s="57" t="n"/>
      <c r="BQ73" s="57" t="n"/>
      <c r="BR73" s="57" t="n"/>
      <c r="BS73" s="57" t="n"/>
      <c r="BT73" s="60">
        <f>SUM(BP73:BS73)</f>
        <v/>
      </c>
      <c r="BU73" s="61" t="n"/>
      <c r="BV73" s="57" t="n"/>
      <c r="BW73" s="58">
        <f>BM73</f>
        <v/>
      </c>
      <c r="BX73" s="59" t="n"/>
      <c r="BY73" s="57" t="n"/>
      <c r="BZ73" s="57" t="n"/>
      <c r="CA73" s="57" t="n"/>
      <c r="CB73" s="57" t="n"/>
      <c r="CC73" s="60">
        <f>SUM(BY73:CB73)</f>
        <v/>
      </c>
      <c r="CD73" s="61" t="n"/>
      <c r="CE73" s="57" t="n"/>
      <c r="CF73" s="58">
        <f>BV73</f>
        <v/>
      </c>
      <c r="CG73" s="59" t="n"/>
      <c r="CH73" s="57" t="n"/>
      <c r="CI73" s="57" t="n"/>
      <c r="CJ73" s="57" t="n"/>
      <c r="CK73" s="57" t="n"/>
      <c r="CL73" s="60">
        <f>SUM(CH73:CK73)</f>
        <v/>
      </c>
      <c r="CM73" s="61" t="n"/>
      <c r="CN73" s="57" t="n"/>
      <c r="CO73" s="58">
        <f>CE73</f>
        <v/>
      </c>
      <c r="CP73" s="59" t="n"/>
      <c r="CQ73" s="57" t="n"/>
      <c r="CR73" s="57" t="n"/>
      <c r="CS73" s="57" t="n"/>
      <c r="CT73" s="57" t="n"/>
      <c r="CU73" s="60">
        <f>SUM(CQ73:CT73)</f>
        <v/>
      </c>
      <c r="CV73" s="61" t="n"/>
      <c r="CW73" s="57" t="n"/>
      <c r="CX73" s="58">
        <f>CN73</f>
        <v/>
      </c>
      <c r="CY73" s="59" t="n"/>
      <c r="CZ73" s="57" t="n"/>
      <c r="DA73" s="57" t="n"/>
      <c r="DB73" s="57" t="n"/>
      <c r="DC73" s="57" t="n"/>
      <c r="DD73" s="60">
        <f>SUM(CZ73:DC73)</f>
        <v/>
      </c>
      <c r="DE73" s="61" t="n"/>
      <c r="DF73" s="57" t="n"/>
      <c r="DG73" s="58">
        <f>CW73</f>
        <v/>
      </c>
      <c r="DH73" s="59" t="n"/>
      <c r="DI73" s="57" t="n"/>
      <c r="DJ73" s="57" t="n"/>
      <c r="DK73" s="57" t="n"/>
      <c r="DL73" s="57" t="n"/>
      <c r="DM73" s="60">
        <f>SUM(DI73:DL73)</f>
        <v/>
      </c>
      <c r="DN73" s="61" t="n"/>
      <c r="DO73" s="57" t="n"/>
      <c r="DP73" s="58">
        <f>DF73</f>
        <v/>
      </c>
      <c r="DQ73" s="59" t="n"/>
      <c r="DR73" s="57" t="n"/>
      <c r="DS73" s="57" t="n"/>
      <c r="DT73" s="57" t="n"/>
      <c r="DU73" s="57" t="n"/>
      <c r="DV73" s="60">
        <f>SUM(DR73:DU73)</f>
        <v/>
      </c>
      <c r="DW73" s="61" t="n"/>
      <c r="DX73" s="57" t="n"/>
      <c r="DY73" s="58">
        <f>DO73</f>
        <v/>
      </c>
      <c r="DZ73" s="59" t="n"/>
      <c r="EA73" s="57" t="n"/>
      <c r="EB73" s="57" t="n"/>
      <c r="EC73" s="57" t="n"/>
      <c r="ED73" s="57" t="n"/>
      <c r="EE73" s="60">
        <f>SUM(EA73:ED73)</f>
        <v/>
      </c>
      <c r="EF73" s="61" t="n"/>
      <c r="EG73" s="57" t="n"/>
      <c r="EH73" s="58">
        <f>DX73</f>
        <v/>
      </c>
      <c r="EI73" s="59" t="n"/>
      <c r="EJ73" s="57" t="n"/>
      <c r="EK73" s="57" t="n"/>
      <c r="EL73" s="57" t="n"/>
      <c r="EM73" s="57" t="n"/>
      <c r="EN73" s="60">
        <f>SUM(EJ73:EM73)</f>
        <v/>
      </c>
      <c r="EO73" s="61" t="n"/>
      <c r="EP73" s="57" t="n"/>
      <c r="EQ73" s="58">
        <f>EG73</f>
        <v/>
      </c>
      <c r="ER73" s="59" t="n"/>
      <c r="ES73" s="57" t="n"/>
      <c r="ET73" s="57" t="n"/>
      <c r="EU73" s="57" t="n"/>
      <c r="EV73" s="57" t="n"/>
      <c r="EW73" s="60">
        <f>SUM(ES73:EV73)</f>
        <v/>
      </c>
      <c r="EX73" s="61" t="n"/>
      <c r="EY73" s="57" t="n"/>
      <c r="EZ73" s="58">
        <f>EP73</f>
        <v/>
      </c>
      <c r="FA73" s="59" t="n"/>
      <c r="FB73" s="57" t="n"/>
      <c r="FC73" s="57" t="n"/>
      <c r="FD73" s="57" t="n"/>
      <c r="FE73" s="57" t="n"/>
      <c r="FF73" s="60">
        <f>SUM(FB73:FE73)</f>
        <v/>
      </c>
      <c r="FG73" s="61" t="n"/>
      <c r="FH73" s="57" t="n"/>
      <c r="FI73" s="58">
        <f>EY73</f>
        <v/>
      </c>
      <c r="FJ73" s="59" t="n"/>
      <c r="FK73" s="57" t="n"/>
      <c r="FL73" s="57" t="n"/>
      <c r="FM73" s="57" t="n"/>
      <c r="FN73" s="57" t="n"/>
      <c r="FO73" s="60">
        <f>SUM(FK73:FN73)</f>
        <v/>
      </c>
      <c r="FP73" s="61" t="n"/>
      <c r="FQ73" s="57" t="n"/>
      <c r="FR73" s="58">
        <f>FH73</f>
        <v/>
      </c>
      <c r="FS73" s="59" t="n"/>
      <c r="FT73" s="57" t="n"/>
      <c r="FU73" s="57" t="n"/>
      <c r="FV73" s="57" t="n"/>
      <c r="FW73" s="57" t="n"/>
      <c r="FX73" s="60">
        <f>SUM(FT73:FW73)</f>
        <v/>
      </c>
      <c r="FY73" s="61" t="n"/>
      <c r="FZ73" s="57" t="n"/>
      <c r="GA73" s="58">
        <f>FQ73</f>
        <v/>
      </c>
      <c r="GB73" s="59" t="n"/>
      <c r="GC73" s="57" t="n"/>
      <c r="GD73" s="57" t="n"/>
      <c r="GE73" s="57" t="n"/>
      <c r="GF73" s="57" t="n"/>
      <c r="GG73" s="60">
        <f>SUM(GC73:GF73)</f>
        <v/>
      </c>
      <c r="GH73" s="61" t="n"/>
      <c r="GI73" s="57" t="n"/>
      <c r="GJ73" s="58">
        <f>FZ73</f>
        <v/>
      </c>
      <c r="GK73" s="59" t="n"/>
      <c r="GL73" s="57" t="n"/>
      <c r="GM73" s="57" t="n"/>
      <c r="GN73" s="57" t="n"/>
      <c r="GO73" s="57" t="n"/>
      <c r="GP73" s="60">
        <f>SUM(GL73:GO73)</f>
        <v/>
      </c>
      <c r="GQ73" s="61" t="n"/>
      <c r="GR73" s="57" t="n"/>
      <c r="GS73" s="58">
        <f>GI73</f>
        <v/>
      </c>
      <c r="GT73" s="59" t="n"/>
      <c r="GU73" s="57" t="n"/>
      <c r="GV73" s="57" t="n"/>
      <c r="GW73" s="57" t="n"/>
      <c r="GX73" s="57" t="n"/>
      <c r="GY73" s="60">
        <f>SUM(GU73:GX73)</f>
        <v/>
      </c>
      <c r="GZ73" s="61" t="n"/>
      <c r="HA73" s="57" t="n"/>
      <c r="HB73" s="58">
        <f>GR73</f>
        <v/>
      </c>
      <c r="HC73" s="59" t="n"/>
      <c r="HD73" s="57" t="n"/>
      <c r="HE73" s="57" t="n"/>
      <c r="HF73" s="57" t="n"/>
      <c r="HG73" s="57" t="n"/>
      <c r="HH73" s="60">
        <f>SUM(HD73:HG73)</f>
        <v/>
      </c>
      <c r="HI73" s="61" t="n"/>
      <c r="HJ73" s="57" t="n"/>
      <c r="HK73" s="58">
        <f>HA73</f>
        <v/>
      </c>
      <c r="HL73" s="59" t="n"/>
      <c r="HM73" s="57" t="n"/>
      <c r="HN73" s="57" t="n"/>
      <c r="HO73" s="57" t="n"/>
      <c r="HP73" s="57" t="n"/>
      <c r="HQ73" s="60">
        <f>SUM(HM73:HP73)</f>
        <v/>
      </c>
      <c r="HR73" s="61" t="n"/>
      <c r="HS73" s="57" t="n"/>
      <c r="HT73" s="58">
        <f>HJ73</f>
        <v/>
      </c>
      <c r="HU73" s="59" t="n"/>
      <c r="HV73" s="57" t="n"/>
      <c r="HW73" s="57" t="n"/>
      <c r="HX73" s="57" t="n"/>
      <c r="HY73" s="57" t="n"/>
      <c r="HZ73" s="60">
        <f>SUM(HV73:HY73)</f>
        <v/>
      </c>
      <c r="IA73" s="61" t="n"/>
      <c r="IB73" s="57" t="n"/>
      <c r="IC73" s="58">
        <f>HS73</f>
        <v/>
      </c>
      <c r="ID73" s="59" t="n"/>
      <c r="IE73" s="57" t="n"/>
      <c r="IF73" s="57" t="n"/>
      <c r="IG73" s="57" t="n"/>
      <c r="IH73" s="57" t="n"/>
      <c r="II73" s="60">
        <f>SUM(IE73:IH73)</f>
        <v/>
      </c>
      <c r="IJ73" s="61" t="n"/>
      <c r="IK73" s="57" t="n"/>
      <c r="IL73" s="58">
        <f>IB73</f>
        <v/>
      </c>
      <c r="IM73" s="59" t="n"/>
      <c r="IN73" s="57" t="n"/>
      <c r="IO73" s="57" t="n"/>
      <c r="IP73" s="57" t="n"/>
      <c r="IQ73" s="57" t="n"/>
      <c r="IR73" s="60">
        <f>SUM(IN73:IQ73)</f>
        <v/>
      </c>
      <c r="IS73" s="61" t="n"/>
      <c r="IT73" s="57" t="n"/>
      <c r="IU73" s="58">
        <f>IK73</f>
        <v/>
      </c>
      <c r="IV73" s="59" t="n"/>
      <c r="IW73" s="57" t="n"/>
      <c r="IX73" s="57" t="n"/>
      <c r="IY73" s="57" t="n"/>
      <c r="IZ73" s="57" t="n"/>
      <c r="JA73" s="60">
        <f>SUM(IW73:IZ73)</f>
        <v/>
      </c>
      <c r="JB73" s="61" t="n"/>
      <c r="JC73" s="57" t="n"/>
      <c r="JD73" s="58">
        <f>IT73</f>
        <v/>
      </c>
      <c r="JE73" s="59" t="n"/>
      <c r="JF73" s="57" t="n"/>
      <c r="JG73" s="57" t="n"/>
      <c r="JH73" s="57" t="n"/>
      <c r="JI73" s="57" t="n"/>
      <c r="JJ73" s="60">
        <f>SUM(JF73:JI73)</f>
        <v/>
      </c>
      <c r="JK73" s="61" t="n"/>
      <c r="JL73" s="57" t="n"/>
      <c r="JM73" s="58">
        <f>JC73</f>
        <v/>
      </c>
      <c r="JN73" s="59" t="n"/>
      <c r="JO73" s="57" t="n"/>
      <c r="JP73" s="57" t="n"/>
      <c r="JQ73" s="57" t="n"/>
      <c r="JR73" s="57" t="n"/>
      <c r="JS73" s="60">
        <f>SUM(JO73:JR73)</f>
        <v/>
      </c>
      <c r="JT73" s="61" t="n"/>
      <c r="JU73" s="62">
        <f>I73+R73+AA73+AJ73+AS73+BB73+BK73+BT73+CC73+CL73+CU73+DD73+DM73+DV73+EE73+EN73+EW73+FF73+FO73+FX73+GG73+GP73+GY73+HH73+HQ73+HZ73+II73+IR73+JA73+JJ73+JS73</f>
        <v/>
      </c>
      <c r="JV73" s="63">
        <f>D73+M73+V73+AE73+AN73+AW73+BF73+BO73+BX73+CG73+CP73+CY73+DH73+DQ73+DZ73+EI73+ER73+FA73+FJ73+FS73+GB73+GK73+GT73+HC73+HL73+HU73+ID73+IM73+IV73+JE73+JN73</f>
        <v/>
      </c>
      <c r="JW73" s="62">
        <f>CHOOSE($Z$3,B73, K73, T73, AC73, AL73, AU73, BD73, BM73, BV73, CE73, CN73, CW73, DF73, DO73, DX73, EG73, EP73, EY73, FH73, FQ73, FZ73, GI73, GR73, HA73, HJ73, HS73, IB73, IK73, IT73, JC73, JL73)</f>
        <v/>
      </c>
      <c r="JX73" s="62">
        <f>IFERROR(JU73/$Z$3,0)</f>
        <v/>
      </c>
      <c r="JY73" s="62">
        <f>Configurações!$C$13</f>
        <v/>
      </c>
      <c r="JZ73" s="64">
        <f>IF(JY73=0,"— Sem meta",IF(JU73&gt;=JY73,"✓ Atingida","Em andamento"))</f>
        <v/>
      </c>
      <c r="KA73" s="65">
        <f>JU73+(7*0.0000001)</f>
        <v/>
      </c>
    </row>
    <row r="74" ht="20" customHeight="1">
      <c r="A74" s="56">
        <f>IF(Configurações!$B$14="","Assessor 8",Configurações!$B$14)</f>
        <v/>
      </c>
      <c r="B74" s="57" t="n"/>
      <c r="C74" s="66">
        <f>'Fevereiro'!$JW74</f>
        <v/>
      </c>
      <c r="D74" s="59" t="n"/>
      <c r="E74" s="57" t="n"/>
      <c r="F74" s="57" t="n"/>
      <c r="G74" s="57" t="n"/>
      <c r="H74" s="57" t="n"/>
      <c r="I74" s="67">
        <f>SUM(E74:H74)</f>
        <v/>
      </c>
      <c r="J74" s="61" t="n"/>
      <c r="K74" s="57" t="n"/>
      <c r="L74" s="66">
        <f>B74</f>
        <v/>
      </c>
      <c r="M74" s="59" t="n"/>
      <c r="N74" s="57" t="n"/>
      <c r="O74" s="57" t="n"/>
      <c r="P74" s="57" t="n"/>
      <c r="Q74" s="57" t="n"/>
      <c r="R74" s="67">
        <f>SUM(N74:Q74)</f>
        <v/>
      </c>
      <c r="S74" s="61" t="n"/>
      <c r="T74" s="57" t="n"/>
      <c r="U74" s="66">
        <f>K74</f>
        <v/>
      </c>
      <c r="V74" s="59" t="n"/>
      <c r="W74" s="57" t="n"/>
      <c r="X74" s="57" t="n"/>
      <c r="Y74" s="57" t="n"/>
      <c r="Z74" s="57" t="n"/>
      <c r="AA74" s="67">
        <f>SUM(W74:Z74)</f>
        <v/>
      </c>
      <c r="AB74" s="61" t="n"/>
      <c r="AC74" s="57" t="n"/>
      <c r="AD74" s="66">
        <f>T74</f>
        <v/>
      </c>
      <c r="AE74" s="59" t="n"/>
      <c r="AF74" s="57" t="n"/>
      <c r="AG74" s="57" t="n"/>
      <c r="AH74" s="57" t="n"/>
      <c r="AI74" s="57" t="n"/>
      <c r="AJ74" s="67">
        <f>SUM(AF74:AI74)</f>
        <v/>
      </c>
      <c r="AK74" s="61" t="n"/>
      <c r="AL74" s="57" t="n"/>
      <c r="AM74" s="66">
        <f>AC74</f>
        <v/>
      </c>
      <c r="AN74" s="59" t="n"/>
      <c r="AO74" s="57" t="n"/>
      <c r="AP74" s="57" t="n"/>
      <c r="AQ74" s="57" t="n"/>
      <c r="AR74" s="57" t="n"/>
      <c r="AS74" s="67">
        <f>SUM(AO74:AR74)</f>
        <v/>
      </c>
      <c r="AT74" s="61" t="n"/>
      <c r="AU74" s="57" t="n"/>
      <c r="AV74" s="66">
        <f>AL74</f>
        <v/>
      </c>
      <c r="AW74" s="59" t="n"/>
      <c r="AX74" s="57" t="n"/>
      <c r="AY74" s="57" t="n"/>
      <c r="AZ74" s="57" t="n"/>
      <c r="BA74" s="57" t="n"/>
      <c r="BB74" s="67">
        <f>SUM(AX74:BA74)</f>
        <v/>
      </c>
      <c r="BC74" s="61" t="n"/>
      <c r="BD74" s="57" t="n"/>
      <c r="BE74" s="66">
        <f>AU74</f>
        <v/>
      </c>
      <c r="BF74" s="59" t="n"/>
      <c r="BG74" s="57" t="n"/>
      <c r="BH74" s="57" t="n"/>
      <c r="BI74" s="57" t="n"/>
      <c r="BJ74" s="57" t="n"/>
      <c r="BK74" s="67">
        <f>SUM(BG74:BJ74)</f>
        <v/>
      </c>
      <c r="BL74" s="61" t="n"/>
      <c r="BM74" s="57" t="n"/>
      <c r="BN74" s="66">
        <f>BD74</f>
        <v/>
      </c>
      <c r="BO74" s="59" t="n"/>
      <c r="BP74" s="57" t="n"/>
      <c r="BQ74" s="57" t="n"/>
      <c r="BR74" s="57" t="n"/>
      <c r="BS74" s="57" t="n"/>
      <c r="BT74" s="67">
        <f>SUM(BP74:BS74)</f>
        <v/>
      </c>
      <c r="BU74" s="61" t="n"/>
      <c r="BV74" s="57" t="n"/>
      <c r="BW74" s="66">
        <f>BM74</f>
        <v/>
      </c>
      <c r="BX74" s="59" t="n"/>
      <c r="BY74" s="57" t="n"/>
      <c r="BZ74" s="57" t="n"/>
      <c r="CA74" s="57" t="n"/>
      <c r="CB74" s="57" t="n"/>
      <c r="CC74" s="67">
        <f>SUM(BY74:CB74)</f>
        <v/>
      </c>
      <c r="CD74" s="61" t="n"/>
      <c r="CE74" s="57" t="n"/>
      <c r="CF74" s="66">
        <f>BV74</f>
        <v/>
      </c>
      <c r="CG74" s="59" t="n"/>
      <c r="CH74" s="57" t="n"/>
      <c r="CI74" s="57" t="n"/>
      <c r="CJ74" s="57" t="n"/>
      <c r="CK74" s="57" t="n"/>
      <c r="CL74" s="67">
        <f>SUM(CH74:CK74)</f>
        <v/>
      </c>
      <c r="CM74" s="61" t="n"/>
      <c r="CN74" s="57" t="n"/>
      <c r="CO74" s="66">
        <f>CE74</f>
        <v/>
      </c>
      <c r="CP74" s="59" t="n"/>
      <c r="CQ74" s="57" t="n"/>
      <c r="CR74" s="57" t="n"/>
      <c r="CS74" s="57" t="n"/>
      <c r="CT74" s="57" t="n"/>
      <c r="CU74" s="67">
        <f>SUM(CQ74:CT74)</f>
        <v/>
      </c>
      <c r="CV74" s="61" t="n"/>
      <c r="CW74" s="57" t="n"/>
      <c r="CX74" s="66">
        <f>CN74</f>
        <v/>
      </c>
      <c r="CY74" s="59" t="n"/>
      <c r="CZ74" s="57" t="n"/>
      <c r="DA74" s="57" t="n"/>
      <c r="DB74" s="57" t="n"/>
      <c r="DC74" s="57" t="n"/>
      <c r="DD74" s="67">
        <f>SUM(CZ74:DC74)</f>
        <v/>
      </c>
      <c r="DE74" s="61" t="n"/>
      <c r="DF74" s="57" t="n"/>
      <c r="DG74" s="66">
        <f>CW74</f>
        <v/>
      </c>
      <c r="DH74" s="59" t="n"/>
      <c r="DI74" s="57" t="n"/>
      <c r="DJ74" s="57" t="n"/>
      <c r="DK74" s="57" t="n"/>
      <c r="DL74" s="57" t="n"/>
      <c r="DM74" s="67">
        <f>SUM(DI74:DL74)</f>
        <v/>
      </c>
      <c r="DN74" s="61" t="n"/>
      <c r="DO74" s="57" t="n"/>
      <c r="DP74" s="66">
        <f>DF74</f>
        <v/>
      </c>
      <c r="DQ74" s="59" t="n"/>
      <c r="DR74" s="57" t="n"/>
      <c r="DS74" s="57" t="n"/>
      <c r="DT74" s="57" t="n"/>
      <c r="DU74" s="57" t="n"/>
      <c r="DV74" s="67">
        <f>SUM(DR74:DU74)</f>
        <v/>
      </c>
      <c r="DW74" s="61" t="n"/>
      <c r="DX74" s="57" t="n"/>
      <c r="DY74" s="66">
        <f>DO74</f>
        <v/>
      </c>
      <c r="DZ74" s="59" t="n"/>
      <c r="EA74" s="57" t="n"/>
      <c r="EB74" s="57" t="n"/>
      <c r="EC74" s="57" t="n"/>
      <c r="ED74" s="57" t="n"/>
      <c r="EE74" s="67">
        <f>SUM(EA74:ED74)</f>
        <v/>
      </c>
      <c r="EF74" s="61" t="n"/>
      <c r="EG74" s="57" t="n"/>
      <c r="EH74" s="66">
        <f>DX74</f>
        <v/>
      </c>
      <c r="EI74" s="59" t="n"/>
      <c r="EJ74" s="57" t="n"/>
      <c r="EK74" s="57" t="n"/>
      <c r="EL74" s="57" t="n"/>
      <c r="EM74" s="57" t="n"/>
      <c r="EN74" s="67">
        <f>SUM(EJ74:EM74)</f>
        <v/>
      </c>
      <c r="EO74" s="61" t="n"/>
      <c r="EP74" s="57" t="n"/>
      <c r="EQ74" s="66">
        <f>EG74</f>
        <v/>
      </c>
      <c r="ER74" s="59" t="n"/>
      <c r="ES74" s="57" t="n"/>
      <c r="ET74" s="57" t="n"/>
      <c r="EU74" s="57" t="n"/>
      <c r="EV74" s="57" t="n"/>
      <c r="EW74" s="67">
        <f>SUM(ES74:EV74)</f>
        <v/>
      </c>
      <c r="EX74" s="61" t="n"/>
      <c r="EY74" s="57" t="n"/>
      <c r="EZ74" s="66">
        <f>EP74</f>
        <v/>
      </c>
      <c r="FA74" s="59" t="n"/>
      <c r="FB74" s="57" t="n"/>
      <c r="FC74" s="57" t="n"/>
      <c r="FD74" s="57" t="n"/>
      <c r="FE74" s="57" t="n"/>
      <c r="FF74" s="67">
        <f>SUM(FB74:FE74)</f>
        <v/>
      </c>
      <c r="FG74" s="61" t="n"/>
      <c r="FH74" s="57" t="n"/>
      <c r="FI74" s="66">
        <f>EY74</f>
        <v/>
      </c>
      <c r="FJ74" s="59" t="n"/>
      <c r="FK74" s="57" t="n"/>
      <c r="FL74" s="57" t="n"/>
      <c r="FM74" s="57" t="n"/>
      <c r="FN74" s="57" t="n"/>
      <c r="FO74" s="67">
        <f>SUM(FK74:FN74)</f>
        <v/>
      </c>
      <c r="FP74" s="61" t="n"/>
      <c r="FQ74" s="57" t="n"/>
      <c r="FR74" s="66">
        <f>FH74</f>
        <v/>
      </c>
      <c r="FS74" s="59" t="n"/>
      <c r="FT74" s="57" t="n"/>
      <c r="FU74" s="57" t="n"/>
      <c r="FV74" s="57" t="n"/>
      <c r="FW74" s="57" t="n"/>
      <c r="FX74" s="67">
        <f>SUM(FT74:FW74)</f>
        <v/>
      </c>
      <c r="FY74" s="61" t="n"/>
      <c r="FZ74" s="57" t="n"/>
      <c r="GA74" s="66">
        <f>FQ74</f>
        <v/>
      </c>
      <c r="GB74" s="59" t="n"/>
      <c r="GC74" s="57" t="n"/>
      <c r="GD74" s="57" t="n"/>
      <c r="GE74" s="57" t="n"/>
      <c r="GF74" s="57" t="n"/>
      <c r="GG74" s="67">
        <f>SUM(GC74:GF74)</f>
        <v/>
      </c>
      <c r="GH74" s="61" t="n"/>
      <c r="GI74" s="57" t="n"/>
      <c r="GJ74" s="66">
        <f>FZ74</f>
        <v/>
      </c>
      <c r="GK74" s="59" t="n"/>
      <c r="GL74" s="57" t="n"/>
      <c r="GM74" s="57" t="n"/>
      <c r="GN74" s="57" t="n"/>
      <c r="GO74" s="57" t="n"/>
      <c r="GP74" s="67">
        <f>SUM(GL74:GO74)</f>
        <v/>
      </c>
      <c r="GQ74" s="61" t="n"/>
      <c r="GR74" s="57" t="n"/>
      <c r="GS74" s="66">
        <f>GI74</f>
        <v/>
      </c>
      <c r="GT74" s="59" t="n"/>
      <c r="GU74" s="57" t="n"/>
      <c r="GV74" s="57" t="n"/>
      <c r="GW74" s="57" t="n"/>
      <c r="GX74" s="57" t="n"/>
      <c r="GY74" s="67">
        <f>SUM(GU74:GX74)</f>
        <v/>
      </c>
      <c r="GZ74" s="61" t="n"/>
      <c r="HA74" s="57" t="n"/>
      <c r="HB74" s="66">
        <f>GR74</f>
        <v/>
      </c>
      <c r="HC74" s="59" t="n"/>
      <c r="HD74" s="57" t="n"/>
      <c r="HE74" s="57" t="n"/>
      <c r="HF74" s="57" t="n"/>
      <c r="HG74" s="57" t="n"/>
      <c r="HH74" s="67">
        <f>SUM(HD74:HG74)</f>
        <v/>
      </c>
      <c r="HI74" s="61" t="n"/>
      <c r="HJ74" s="57" t="n"/>
      <c r="HK74" s="66">
        <f>HA74</f>
        <v/>
      </c>
      <c r="HL74" s="59" t="n"/>
      <c r="HM74" s="57" t="n"/>
      <c r="HN74" s="57" t="n"/>
      <c r="HO74" s="57" t="n"/>
      <c r="HP74" s="57" t="n"/>
      <c r="HQ74" s="67">
        <f>SUM(HM74:HP74)</f>
        <v/>
      </c>
      <c r="HR74" s="61" t="n"/>
      <c r="HS74" s="57" t="n"/>
      <c r="HT74" s="66">
        <f>HJ74</f>
        <v/>
      </c>
      <c r="HU74" s="59" t="n"/>
      <c r="HV74" s="57" t="n"/>
      <c r="HW74" s="57" t="n"/>
      <c r="HX74" s="57" t="n"/>
      <c r="HY74" s="57" t="n"/>
      <c r="HZ74" s="67">
        <f>SUM(HV74:HY74)</f>
        <v/>
      </c>
      <c r="IA74" s="61" t="n"/>
      <c r="IB74" s="57" t="n"/>
      <c r="IC74" s="66">
        <f>HS74</f>
        <v/>
      </c>
      <c r="ID74" s="59" t="n"/>
      <c r="IE74" s="57" t="n"/>
      <c r="IF74" s="57" t="n"/>
      <c r="IG74" s="57" t="n"/>
      <c r="IH74" s="57" t="n"/>
      <c r="II74" s="67">
        <f>SUM(IE74:IH74)</f>
        <v/>
      </c>
      <c r="IJ74" s="61" t="n"/>
      <c r="IK74" s="57" t="n"/>
      <c r="IL74" s="66">
        <f>IB74</f>
        <v/>
      </c>
      <c r="IM74" s="59" t="n"/>
      <c r="IN74" s="57" t="n"/>
      <c r="IO74" s="57" t="n"/>
      <c r="IP74" s="57" t="n"/>
      <c r="IQ74" s="57" t="n"/>
      <c r="IR74" s="67">
        <f>SUM(IN74:IQ74)</f>
        <v/>
      </c>
      <c r="IS74" s="61" t="n"/>
      <c r="IT74" s="57" t="n"/>
      <c r="IU74" s="66">
        <f>IK74</f>
        <v/>
      </c>
      <c r="IV74" s="59" t="n"/>
      <c r="IW74" s="57" t="n"/>
      <c r="IX74" s="57" t="n"/>
      <c r="IY74" s="57" t="n"/>
      <c r="IZ74" s="57" t="n"/>
      <c r="JA74" s="67">
        <f>SUM(IW74:IZ74)</f>
        <v/>
      </c>
      <c r="JB74" s="61" t="n"/>
      <c r="JC74" s="57" t="n"/>
      <c r="JD74" s="66">
        <f>IT74</f>
        <v/>
      </c>
      <c r="JE74" s="59" t="n"/>
      <c r="JF74" s="57" t="n"/>
      <c r="JG74" s="57" t="n"/>
      <c r="JH74" s="57" t="n"/>
      <c r="JI74" s="57" t="n"/>
      <c r="JJ74" s="67">
        <f>SUM(JF74:JI74)</f>
        <v/>
      </c>
      <c r="JK74" s="61" t="n"/>
      <c r="JL74" s="57" t="n"/>
      <c r="JM74" s="66">
        <f>JC74</f>
        <v/>
      </c>
      <c r="JN74" s="59" t="n"/>
      <c r="JO74" s="57" t="n"/>
      <c r="JP74" s="57" t="n"/>
      <c r="JQ74" s="57" t="n"/>
      <c r="JR74" s="57" t="n"/>
      <c r="JS74" s="67">
        <f>SUM(JO74:JR74)</f>
        <v/>
      </c>
      <c r="JT74" s="61" t="n"/>
      <c r="JU74" s="62">
        <f>I74+R74+AA74+AJ74+AS74+BB74+BK74+BT74+CC74+CL74+CU74+DD74+DM74+DV74+EE74+EN74+EW74+FF74+FO74+FX74+GG74+GP74+GY74+HH74+HQ74+HZ74+II74+IR74+JA74+JJ74+JS74</f>
        <v/>
      </c>
      <c r="JV74" s="63">
        <f>D74+M74+V74+AE74+AN74+AW74+BF74+BO74+BX74+CG74+CP74+CY74+DH74+DQ74+DZ74+EI74+ER74+FA74+FJ74+FS74+GB74+GK74+GT74+HC74+HL74+HU74+ID74+IM74+IV74+JE74+JN74</f>
        <v/>
      </c>
      <c r="JW74" s="62">
        <f>CHOOSE($Z$3,B74, K74, T74, AC74, AL74, AU74, BD74, BM74, BV74, CE74, CN74, CW74, DF74, DO74, DX74, EG74, EP74, EY74, FH74, FQ74, FZ74, GI74, GR74, HA74, HJ74, HS74, IB74, IK74, IT74, JC74, JL74)</f>
        <v/>
      </c>
      <c r="JX74" s="62">
        <f>IFERROR(JU74/$Z$3,0)</f>
        <v/>
      </c>
      <c r="JY74" s="62">
        <f>Configurações!$C$14</f>
        <v/>
      </c>
      <c r="JZ74" s="64">
        <f>IF(JY74=0,"— Sem meta",IF(JU74&gt;=JY74,"✓ Atingida","Em andamento"))</f>
        <v/>
      </c>
      <c r="KA74" s="65">
        <f>JU74+(6*0.0000001)</f>
        <v/>
      </c>
    </row>
    <row r="75" ht="20" customHeight="1">
      <c r="A75" s="56">
        <f>IF(Configurações!$B$15="","Assessor 9",Configurações!$B$15)</f>
        <v/>
      </c>
      <c r="B75" s="57" t="n"/>
      <c r="C75" s="58">
        <f>'Fevereiro'!$JW75</f>
        <v/>
      </c>
      <c r="D75" s="59" t="n"/>
      <c r="E75" s="57" t="n"/>
      <c r="F75" s="57" t="n"/>
      <c r="G75" s="57" t="n"/>
      <c r="H75" s="57" t="n"/>
      <c r="I75" s="60">
        <f>SUM(E75:H75)</f>
        <v/>
      </c>
      <c r="J75" s="61" t="n"/>
      <c r="K75" s="57" t="n"/>
      <c r="L75" s="58">
        <f>B75</f>
        <v/>
      </c>
      <c r="M75" s="59" t="n"/>
      <c r="N75" s="57" t="n"/>
      <c r="O75" s="57" t="n"/>
      <c r="P75" s="57" t="n"/>
      <c r="Q75" s="57" t="n"/>
      <c r="R75" s="60">
        <f>SUM(N75:Q75)</f>
        <v/>
      </c>
      <c r="S75" s="61" t="n"/>
      <c r="T75" s="57" t="n"/>
      <c r="U75" s="58">
        <f>K75</f>
        <v/>
      </c>
      <c r="V75" s="59" t="n"/>
      <c r="W75" s="57" t="n"/>
      <c r="X75" s="57" t="n"/>
      <c r="Y75" s="57" t="n"/>
      <c r="Z75" s="57" t="n"/>
      <c r="AA75" s="60">
        <f>SUM(W75:Z75)</f>
        <v/>
      </c>
      <c r="AB75" s="61" t="n"/>
      <c r="AC75" s="57" t="n"/>
      <c r="AD75" s="58">
        <f>T75</f>
        <v/>
      </c>
      <c r="AE75" s="59" t="n"/>
      <c r="AF75" s="57" t="n"/>
      <c r="AG75" s="57" t="n"/>
      <c r="AH75" s="57" t="n"/>
      <c r="AI75" s="57" t="n"/>
      <c r="AJ75" s="60">
        <f>SUM(AF75:AI75)</f>
        <v/>
      </c>
      <c r="AK75" s="61" t="n"/>
      <c r="AL75" s="57" t="n"/>
      <c r="AM75" s="58">
        <f>AC75</f>
        <v/>
      </c>
      <c r="AN75" s="59" t="n"/>
      <c r="AO75" s="57" t="n"/>
      <c r="AP75" s="57" t="n"/>
      <c r="AQ75" s="57" t="n"/>
      <c r="AR75" s="57" t="n"/>
      <c r="AS75" s="60">
        <f>SUM(AO75:AR75)</f>
        <v/>
      </c>
      <c r="AT75" s="61" t="n"/>
      <c r="AU75" s="57" t="n"/>
      <c r="AV75" s="58">
        <f>AL75</f>
        <v/>
      </c>
      <c r="AW75" s="59" t="n"/>
      <c r="AX75" s="57" t="n"/>
      <c r="AY75" s="57" t="n"/>
      <c r="AZ75" s="57" t="n"/>
      <c r="BA75" s="57" t="n"/>
      <c r="BB75" s="60">
        <f>SUM(AX75:BA75)</f>
        <v/>
      </c>
      <c r="BC75" s="61" t="n"/>
      <c r="BD75" s="57" t="n"/>
      <c r="BE75" s="58">
        <f>AU75</f>
        <v/>
      </c>
      <c r="BF75" s="59" t="n"/>
      <c r="BG75" s="57" t="n"/>
      <c r="BH75" s="57" t="n"/>
      <c r="BI75" s="57" t="n"/>
      <c r="BJ75" s="57" t="n"/>
      <c r="BK75" s="60">
        <f>SUM(BG75:BJ75)</f>
        <v/>
      </c>
      <c r="BL75" s="61" t="n"/>
      <c r="BM75" s="57" t="n"/>
      <c r="BN75" s="58">
        <f>BD75</f>
        <v/>
      </c>
      <c r="BO75" s="59" t="n"/>
      <c r="BP75" s="57" t="n"/>
      <c r="BQ75" s="57" t="n"/>
      <c r="BR75" s="57" t="n"/>
      <c r="BS75" s="57" t="n"/>
      <c r="BT75" s="60">
        <f>SUM(BP75:BS75)</f>
        <v/>
      </c>
      <c r="BU75" s="61" t="n"/>
      <c r="BV75" s="57" t="n"/>
      <c r="BW75" s="58">
        <f>BM75</f>
        <v/>
      </c>
      <c r="BX75" s="59" t="n"/>
      <c r="BY75" s="57" t="n"/>
      <c r="BZ75" s="57" t="n"/>
      <c r="CA75" s="57" t="n"/>
      <c r="CB75" s="57" t="n"/>
      <c r="CC75" s="60">
        <f>SUM(BY75:CB75)</f>
        <v/>
      </c>
      <c r="CD75" s="61" t="n"/>
      <c r="CE75" s="57" t="n"/>
      <c r="CF75" s="58">
        <f>BV75</f>
        <v/>
      </c>
      <c r="CG75" s="59" t="n"/>
      <c r="CH75" s="57" t="n"/>
      <c r="CI75" s="57" t="n"/>
      <c r="CJ75" s="57" t="n"/>
      <c r="CK75" s="57" t="n"/>
      <c r="CL75" s="60">
        <f>SUM(CH75:CK75)</f>
        <v/>
      </c>
      <c r="CM75" s="61" t="n"/>
      <c r="CN75" s="57" t="n"/>
      <c r="CO75" s="58">
        <f>CE75</f>
        <v/>
      </c>
      <c r="CP75" s="59" t="n"/>
      <c r="CQ75" s="57" t="n"/>
      <c r="CR75" s="57" t="n"/>
      <c r="CS75" s="57" t="n"/>
      <c r="CT75" s="57" t="n"/>
      <c r="CU75" s="60">
        <f>SUM(CQ75:CT75)</f>
        <v/>
      </c>
      <c r="CV75" s="61" t="n"/>
      <c r="CW75" s="57" t="n"/>
      <c r="CX75" s="58">
        <f>CN75</f>
        <v/>
      </c>
      <c r="CY75" s="59" t="n"/>
      <c r="CZ75" s="57" t="n"/>
      <c r="DA75" s="57" t="n"/>
      <c r="DB75" s="57" t="n"/>
      <c r="DC75" s="57" t="n"/>
      <c r="DD75" s="60">
        <f>SUM(CZ75:DC75)</f>
        <v/>
      </c>
      <c r="DE75" s="61" t="n"/>
      <c r="DF75" s="57" t="n"/>
      <c r="DG75" s="58">
        <f>CW75</f>
        <v/>
      </c>
      <c r="DH75" s="59" t="n"/>
      <c r="DI75" s="57" t="n"/>
      <c r="DJ75" s="57" t="n"/>
      <c r="DK75" s="57" t="n"/>
      <c r="DL75" s="57" t="n"/>
      <c r="DM75" s="60">
        <f>SUM(DI75:DL75)</f>
        <v/>
      </c>
      <c r="DN75" s="61" t="n"/>
      <c r="DO75" s="57" t="n"/>
      <c r="DP75" s="58">
        <f>DF75</f>
        <v/>
      </c>
      <c r="DQ75" s="59" t="n"/>
      <c r="DR75" s="57" t="n"/>
      <c r="DS75" s="57" t="n"/>
      <c r="DT75" s="57" t="n"/>
      <c r="DU75" s="57" t="n"/>
      <c r="DV75" s="60">
        <f>SUM(DR75:DU75)</f>
        <v/>
      </c>
      <c r="DW75" s="61" t="n"/>
      <c r="DX75" s="57" t="n"/>
      <c r="DY75" s="58">
        <f>DO75</f>
        <v/>
      </c>
      <c r="DZ75" s="59" t="n"/>
      <c r="EA75" s="57" t="n"/>
      <c r="EB75" s="57" t="n"/>
      <c r="EC75" s="57" t="n"/>
      <c r="ED75" s="57" t="n"/>
      <c r="EE75" s="60">
        <f>SUM(EA75:ED75)</f>
        <v/>
      </c>
      <c r="EF75" s="61" t="n"/>
      <c r="EG75" s="57" t="n"/>
      <c r="EH75" s="58">
        <f>DX75</f>
        <v/>
      </c>
      <c r="EI75" s="59" t="n"/>
      <c r="EJ75" s="57" t="n"/>
      <c r="EK75" s="57" t="n"/>
      <c r="EL75" s="57" t="n"/>
      <c r="EM75" s="57" t="n"/>
      <c r="EN75" s="60">
        <f>SUM(EJ75:EM75)</f>
        <v/>
      </c>
      <c r="EO75" s="61" t="n"/>
      <c r="EP75" s="57" t="n"/>
      <c r="EQ75" s="58">
        <f>EG75</f>
        <v/>
      </c>
      <c r="ER75" s="59" t="n"/>
      <c r="ES75" s="57" t="n"/>
      <c r="ET75" s="57" t="n"/>
      <c r="EU75" s="57" t="n"/>
      <c r="EV75" s="57" t="n"/>
      <c r="EW75" s="60">
        <f>SUM(ES75:EV75)</f>
        <v/>
      </c>
      <c r="EX75" s="61" t="n"/>
      <c r="EY75" s="57" t="n"/>
      <c r="EZ75" s="58">
        <f>EP75</f>
        <v/>
      </c>
      <c r="FA75" s="59" t="n"/>
      <c r="FB75" s="57" t="n"/>
      <c r="FC75" s="57" t="n"/>
      <c r="FD75" s="57" t="n"/>
      <c r="FE75" s="57" t="n"/>
      <c r="FF75" s="60">
        <f>SUM(FB75:FE75)</f>
        <v/>
      </c>
      <c r="FG75" s="61" t="n"/>
      <c r="FH75" s="57" t="n"/>
      <c r="FI75" s="58">
        <f>EY75</f>
        <v/>
      </c>
      <c r="FJ75" s="59" t="n"/>
      <c r="FK75" s="57" t="n"/>
      <c r="FL75" s="57" t="n"/>
      <c r="FM75" s="57" t="n"/>
      <c r="FN75" s="57" t="n"/>
      <c r="FO75" s="60">
        <f>SUM(FK75:FN75)</f>
        <v/>
      </c>
      <c r="FP75" s="61" t="n"/>
      <c r="FQ75" s="57" t="n"/>
      <c r="FR75" s="58">
        <f>FH75</f>
        <v/>
      </c>
      <c r="FS75" s="59" t="n"/>
      <c r="FT75" s="57" t="n"/>
      <c r="FU75" s="57" t="n"/>
      <c r="FV75" s="57" t="n"/>
      <c r="FW75" s="57" t="n"/>
      <c r="FX75" s="60">
        <f>SUM(FT75:FW75)</f>
        <v/>
      </c>
      <c r="FY75" s="61" t="n"/>
      <c r="FZ75" s="57" t="n"/>
      <c r="GA75" s="58">
        <f>FQ75</f>
        <v/>
      </c>
      <c r="GB75" s="59" t="n"/>
      <c r="GC75" s="57" t="n"/>
      <c r="GD75" s="57" t="n"/>
      <c r="GE75" s="57" t="n"/>
      <c r="GF75" s="57" t="n"/>
      <c r="GG75" s="60">
        <f>SUM(GC75:GF75)</f>
        <v/>
      </c>
      <c r="GH75" s="61" t="n"/>
      <c r="GI75" s="57" t="n"/>
      <c r="GJ75" s="58">
        <f>FZ75</f>
        <v/>
      </c>
      <c r="GK75" s="59" t="n"/>
      <c r="GL75" s="57" t="n"/>
      <c r="GM75" s="57" t="n"/>
      <c r="GN75" s="57" t="n"/>
      <c r="GO75" s="57" t="n"/>
      <c r="GP75" s="60">
        <f>SUM(GL75:GO75)</f>
        <v/>
      </c>
      <c r="GQ75" s="61" t="n"/>
      <c r="GR75" s="57" t="n"/>
      <c r="GS75" s="58">
        <f>GI75</f>
        <v/>
      </c>
      <c r="GT75" s="59" t="n"/>
      <c r="GU75" s="57" t="n"/>
      <c r="GV75" s="57" t="n"/>
      <c r="GW75" s="57" t="n"/>
      <c r="GX75" s="57" t="n"/>
      <c r="GY75" s="60">
        <f>SUM(GU75:GX75)</f>
        <v/>
      </c>
      <c r="GZ75" s="61" t="n"/>
      <c r="HA75" s="57" t="n"/>
      <c r="HB75" s="58">
        <f>GR75</f>
        <v/>
      </c>
      <c r="HC75" s="59" t="n"/>
      <c r="HD75" s="57" t="n"/>
      <c r="HE75" s="57" t="n"/>
      <c r="HF75" s="57" t="n"/>
      <c r="HG75" s="57" t="n"/>
      <c r="HH75" s="60">
        <f>SUM(HD75:HG75)</f>
        <v/>
      </c>
      <c r="HI75" s="61" t="n"/>
      <c r="HJ75" s="57" t="n"/>
      <c r="HK75" s="58">
        <f>HA75</f>
        <v/>
      </c>
      <c r="HL75" s="59" t="n"/>
      <c r="HM75" s="57" t="n"/>
      <c r="HN75" s="57" t="n"/>
      <c r="HO75" s="57" t="n"/>
      <c r="HP75" s="57" t="n"/>
      <c r="HQ75" s="60">
        <f>SUM(HM75:HP75)</f>
        <v/>
      </c>
      <c r="HR75" s="61" t="n"/>
      <c r="HS75" s="57" t="n"/>
      <c r="HT75" s="58">
        <f>HJ75</f>
        <v/>
      </c>
      <c r="HU75" s="59" t="n"/>
      <c r="HV75" s="57" t="n"/>
      <c r="HW75" s="57" t="n"/>
      <c r="HX75" s="57" t="n"/>
      <c r="HY75" s="57" t="n"/>
      <c r="HZ75" s="60">
        <f>SUM(HV75:HY75)</f>
        <v/>
      </c>
      <c r="IA75" s="61" t="n"/>
      <c r="IB75" s="57" t="n"/>
      <c r="IC75" s="58">
        <f>HS75</f>
        <v/>
      </c>
      <c r="ID75" s="59" t="n"/>
      <c r="IE75" s="57" t="n"/>
      <c r="IF75" s="57" t="n"/>
      <c r="IG75" s="57" t="n"/>
      <c r="IH75" s="57" t="n"/>
      <c r="II75" s="60">
        <f>SUM(IE75:IH75)</f>
        <v/>
      </c>
      <c r="IJ75" s="61" t="n"/>
      <c r="IK75" s="57" t="n"/>
      <c r="IL75" s="58">
        <f>IB75</f>
        <v/>
      </c>
      <c r="IM75" s="59" t="n"/>
      <c r="IN75" s="57" t="n"/>
      <c r="IO75" s="57" t="n"/>
      <c r="IP75" s="57" t="n"/>
      <c r="IQ75" s="57" t="n"/>
      <c r="IR75" s="60">
        <f>SUM(IN75:IQ75)</f>
        <v/>
      </c>
      <c r="IS75" s="61" t="n"/>
      <c r="IT75" s="57" t="n"/>
      <c r="IU75" s="58">
        <f>IK75</f>
        <v/>
      </c>
      <c r="IV75" s="59" t="n"/>
      <c r="IW75" s="57" t="n"/>
      <c r="IX75" s="57" t="n"/>
      <c r="IY75" s="57" t="n"/>
      <c r="IZ75" s="57" t="n"/>
      <c r="JA75" s="60">
        <f>SUM(IW75:IZ75)</f>
        <v/>
      </c>
      <c r="JB75" s="61" t="n"/>
      <c r="JC75" s="57" t="n"/>
      <c r="JD75" s="58">
        <f>IT75</f>
        <v/>
      </c>
      <c r="JE75" s="59" t="n"/>
      <c r="JF75" s="57" t="n"/>
      <c r="JG75" s="57" t="n"/>
      <c r="JH75" s="57" t="n"/>
      <c r="JI75" s="57" t="n"/>
      <c r="JJ75" s="60">
        <f>SUM(JF75:JI75)</f>
        <v/>
      </c>
      <c r="JK75" s="61" t="n"/>
      <c r="JL75" s="57" t="n"/>
      <c r="JM75" s="58">
        <f>JC75</f>
        <v/>
      </c>
      <c r="JN75" s="59" t="n"/>
      <c r="JO75" s="57" t="n"/>
      <c r="JP75" s="57" t="n"/>
      <c r="JQ75" s="57" t="n"/>
      <c r="JR75" s="57" t="n"/>
      <c r="JS75" s="60">
        <f>SUM(JO75:JR75)</f>
        <v/>
      </c>
      <c r="JT75" s="61" t="n"/>
      <c r="JU75" s="62">
        <f>I75+R75+AA75+AJ75+AS75+BB75+BK75+BT75+CC75+CL75+CU75+DD75+DM75+DV75+EE75+EN75+EW75+FF75+FO75+FX75+GG75+GP75+GY75+HH75+HQ75+HZ75+II75+IR75+JA75+JJ75+JS75</f>
        <v/>
      </c>
      <c r="JV75" s="63">
        <f>D75+M75+V75+AE75+AN75+AW75+BF75+BO75+BX75+CG75+CP75+CY75+DH75+DQ75+DZ75+EI75+ER75+FA75+FJ75+FS75+GB75+GK75+GT75+HC75+HL75+HU75+ID75+IM75+IV75+JE75+JN75</f>
        <v/>
      </c>
      <c r="JW75" s="62">
        <f>CHOOSE($Z$3,B75, K75, T75, AC75, AL75, AU75, BD75, BM75, BV75, CE75, CN75, CW75, DF75, DO75, DX75, EG75, EP75, EY75, FH75, FQ75, FZ75, GI75, GR75, HA75, HJ75, HS75, IB75, IK75, IT75, JC75, JL75)</f>
        <v/>
      </c>
      <c r="JX75" s="62">
        <f>IFERROR(JU75/$Z$3,0)</f>
        <v/>
      </c>
      <c r="JY75" s="62">
        <f>Configurações!$C$15</f>
        <v/>
      </c>
      <c r="JZ75" s="64">
        <f>IF(JY75=0,"— Sem meta",IF(JU75&gt;=JY75,"✓ Atingida","Em andamento"))</f>
        <v/>
      </c>
      <c r="KA75" s="65">
        <f>JU75+(5*0.0000001)</f>
        <v/>
      </c>
    </row>
    <row r="76" ht="20" customHeight="1">
      <c r="A76" s="56">
        <f>IF(Configurações!$B$16="","Assessor 10",Configurações!$B$16)</f>
        <v/>
      </c>
      <c r="B76" s="57" t="n"/>
      <c r="C76" s="66">
        <f>'Fevereiro'!$JW76</f>
        <v/>
      </c>
      <c r="D76" s="59" t="n"/>
      <c r="E76" s="57" t="n"/>
      <c r="F76" s="57" t="n"/>
      <c r="G76" s="57" t="n"/>
      <c r="H76" s="57" t="n"/>
      <c r="I76" s="67">
        <f>SUM(E76:H76)</f>
        <v/>
      </c>
      <c r="J76" s="61" t="n"/>
      <c r="K76" s="57" t="n"/>
      <c r="L76" s="66">
        <f>B76</f>
        <v/>
      </c>
      <c r="M76" s="59" t="n"/>
      <c r="N76" s="57" t="n"/>
      <c r="O76" s="57" t="n"/>
      <c r="P76" s="57" t="n"/>
      <c r="Q76" s="57" t="n"/>
      <c r="R76" s="67">
        <f>SUM(N76:Q76)</f>
        <v/>
      </c>
      <c r="S76" s="61" t="n"/>
      <c r="T76" s="57" t="n"/>
      <c r="U76" s="66">
        <f>K76</f>
        <v/>
      </c>
      <c r="V76" s="59" t="n"/>
      <c r="W76" s="57" t="n"/>
      <c r="X76" s="57" t="n"/>
      <c r="Y76" s="57" t="n"/>
      <c r="Z76" s="57" t="n"/>
      <c r="AA76" s="67">
        <f>SUM(W76:Z76)</f>
        <v/>
      </c>
      <c r="AB76" s="61" t="n"/>
      <c r="AC76" s="57" t="n"/>
      <c r="AD76" s="66">
        <f>T76</f>
        <v/>
      </c>
      <c r="AE76" s="59" t="n"/>
      <c r="AF76" s="57" t="n"/>
      <c r="AG76" s="57" t="n"/>
      <c r="AH76" s="57" t="n"/>
      <c r="AI76" s="57" t="n"/>
      <c r="AJ76" s="67">
        <f>SUM(AF76:AI76)</f>
        <v/>
      </c>
      <c r="AK76" s="61" t="n"/>
      <c r="AL76" s="57" t="n"/>
      <c r="AM76" s="66">
        <f>AC76</f>
        <v/>
      </c>
      <c r="AN76" s="59" t="n"/>
      <c r="AO76" s="57" t="n"/>
      <c r="AP76" s="57" t="n"/>
      <c r="AQ76" s="57" t="n"/>
      <c r="AR76" s="57" t="n"/>
      <c r="AS76" s="67">
        <f>SUM(AO76:AR76)</f>
        <v/>
      </c>
      <c r="AT76" s="61" t="n"/>
      <c r="AU76" s="57" t="n"/>
      <c r="AV76" s="66">
        <f>AL76</f>
        <v/>
      </c>
      <c r="AW76" s="59" t="n"/>
      <c r="AX76" s="57" t="n"/>
      <c r="AY76" s="57" t="n"/>
      <c r="AZ76" s="57" t="n"/>
      <c r="BA76" s="57" t="n"/>
      <c r="BB76" s="67">
        <f>SUM(AX76:BA76)</f>
        <v/>
      </c>
      <c r="BC76" s="61" t="n"/>
      <c r="BD76" s="57" t="n"/>
      <c r="BE76" s="66">
        <f>AU76</f>
        <v/>
      </c>
      <c r="BF76" s="59" t="n"/>
      <c r="BG76" s="57" t="n"/>
      <c r="BH76" s="57" t="n"/>
      <c r="BI76" s="57" t="n"/>
      <c r="BJ76" s="57" t="n"/>
      <c r="BK76" s="67">
        <f>SUM(BG76:BJ76)</f>
        <v/>
      </c>
      <c r="BL76" s="61" t="n"/>
      <c r="BM76" s="57" t="n"/>
      <c r="BN76" s="66">
        <f>BD76</f>
        <v/>
      </c>
      <c r="BO76" s="59" t="n"/>
      <c r="BP76" s="57" t="n"/>
      <c r="BQ76" s="57" t="n"/>
      <c r="BR76" s="57" t="n"/>
      <c r="BS76" s="57" t="n"/>
      <c r="BT76" s="67">
        <f>SUM(BP76:BS76)</f>
        <v/>
      </c>
      <c r="BU76" s="61" t="n"/>
      <c r="BV76" s="57" t="n"/>
      <c r="BW76" s="66">
        <f>BM76</f>
        <v/>
      </c>
      <c r="BX76" s="59" t="n"/>
      <c r="BY76" s="57" t="n"/>
      <c r="BZ76" s="57" t="n"/>
      <c r="CA76" s="57" t="n"/>
      <c r="CB76" s="57" t="n"/>
      <c r="CC76" s="67">
        <f>SUM(BY76:CB76)</f>
        <v/>
      </c>
      <c r="CD76" s="61" t="n"/>
      <c r="CE76" s="57" t="n"/>
      <c r="CF76" s="66">
        <f>BV76</f>
        <v/>
      </c>
      <c r="CG76" s="59" t="n"/>
      <c r="CH76" s="57" t="n"/>
      <c r="CI76" s="57" t="n"/>
      <c r="CJ76" s="57" t="n"/>
      <c r="CK76" s="57" t="n"/>
      <c r="CL76" s="67">
        <f>SUM(CH76:CK76)</f>
        <v/>
      </c>
      <c r="CM76" s="61" t="n"/>
      <c r="CN76" s="57" t="n"/>
      <c r="CO76" s="66">
        <f>CE76</f>
        <v/>
      </c>
      <c r="CP76" s="59" t="n"/>
      <c r="CQ76" s="57" t="n"/>
      <c r="CR76" s="57" t="n"/>
      <c r="CS76" s="57" t="n"/>
      <c r="CT76" s="57" t="n"/>
      <c r="CU76" s="67">
        <f>SUM(CQ76:CT76)</f>
        <v/>
      </c>
      <c r="CV76" s="61" t="n"/>
      <c r="CW76" s="57" t="n"/>
      <c r="CX76" s="66">
        <f>CN76</f>
        <v/>
      </c>
      <c r="CY76" s="59" t="n"/>
      <c r="CZ76" s="57" t="n"/>
      <c r="DA76" s="57" t="n"/>
      <c r="DB76" s="57" t="n"/>
      <c r="DC76" s="57" t="n"/>
      <c r="DD76" s="67">
        <f>SUM(CZ76:DC76)</f>
        <v/>
      </c>
      <c r="DE76" s="61" t="n"/>
      <c r="DF76" s="57" t="n"/>
      <c r="DG76" s="66">
        <f>CW76</f>
        <v/>
      </c>
      <c r="DH76" s="59" t="n"/>
      <c r="DI76" s="57" t="n"/>
      <c r="DJ76" s="57" t="n"/>
      <c r="DK76" s="57" t="n"/>
      <c r="DL76" s="57" t="n"/>
      <c r="DM76" s="67">
        <f>SUM(DI76:DL76)</f>
        <v/>
      </c>
      <c r="DN76" s="61" t="n"/>
      <c r="DO76" s="57" t="n"/>
      <c r="DP76" s="66">
        <f>DF76</f>
        <v/>
      </c>
      <c r="DQ76" s="59" t="n"/>
      <c r="DR76" s="57" t="n"/>
      <c r="DS76" s="57" t="n"/>
      <c r="DT76" s="57" t="n"/>
      <c r="DU76" s="57" t="n"/>
      <c r="DV76" s="67">
        <f>SUM(DR76:DU76)</f>
        <v/>
      </c>
      <c r="DW76" s="61" t="n"/>
      <c r="DX76" s="57" t="n"/>
      <c r="DY76" s="66">
        <f>DO76</f>
        <v/>
      </c>
      <c r="DZ76" s="59" t="n"/>
      <c r="EA76" s="57" t="n"/>
      <c r="EB76" s="57" t="n"/>
      <c r="EC76" s="57" t="n"/>
      <c r="ED76" s="57" t="n"/>
      <c r="EE76" s="67">
        <f>SUM(EA76:ED76)</f>
        <v/>
      </c>
      <c r="EF76" s="61" t="n"/>
      <c r="EG76" s="57" t="n"/>
      <c r="EH76" s="66">
        <f>DX76</f>
        <v/>
      </c>
      <c r="EI76" s="59" t="n"/>
      <c r="EJ76" s="57" t="n"/>
      <c r="EK76" s="57" t="n"/>
      <c r="EL76" s="57" t="n"/>
      <c r="EM76" s="57" t="n"/>
      <c r="EN76" s="67">
        <f>SUM(EJ76:EM76)</f>
        <v/>
      </c>
      <c r="EO76" s="61" t="n"/>
      <c r="EP76" s="57" t="n"/>
      <c r="EQ76" s="66">
        <f>EG76</f>
        <v/>
      </c>
      <c r="ER76" s="59" t="n"/>
      <c r="ES76" s="57" t="n"/>
      <c r="ET76" s="57" t="n"/>
      <c r="EU76" s="57" t="n"/>
      <c r="EV76" s="57" t="n"/>
      <c r="EW76" s="67">
        <f>SUM(ES76:EV76)</f>
        <v/>
      </c>
      <c r="EX76" s="61" t="n"/>
      <c r="EY76" s="57" t="n"/>
      <c r="EZ76" s="66">
        <f>EP76</f>
        <v/>
      </c>
      <c r="FA76" s="59" t="n"/>
      <c r="FB76" s="57" t="n"/>
      <c r="FC76" s="57" t="n"/>
      <c r="FD76" s="57" t="n"/>
      <c r="FE76" s="57" t="n"/>
      <c r="FF76" s="67">
        <f>SUM(FB76:FE76)</f>
        <v/>
      </c>
      <c r="FG76" s="61" t="n"/>
      <c r="FH76" s="57" t="n"/>
      <c r="FI76" s="66">
        <f>EY76</f>
        <v/>
      </c>
      <c r="FJ76" s="59" t="n"/>
      <c r="FK76" s="57" t="n"/>
      <c r="FL76" s="57" t="n"/>
      <c r="FM76" s="57" t="n"/>
      <c r="FN76" s="57" t="n"/>
      <c r="FO76" s="67">
        <f>SUM(FK76:FN76)</f>
        <v/>
      </c>
      <c r="FP76" s="61" t="n"/>
      <c r="FQ76" s="57" t="n"/>
      <c r="FR76" s="66">
        <f>FH76</f>
        <v/>
      </c>
      <c r="FS76" s="59" t="n"/>
      <c r="FT76" s="57" t="n"/>
      <c r="FU76" s="57" t="n"/>
      <c r="FV76" s="57" t="n"/>
      <c r="FW76" s="57" t="n"/>
      <c r="FX76" s="67">
        <f>SUM(FT76:FW76)</f>
        <v/>
      </c>
      <c r="FY76" s="61" t="n"/>
      <c r="FZ76" s="57" t="n"/>
      <c r="GA76" s="66">
        <f>FQ76</f>
        <v/>
      </c>
      <c r="GB76" s="59" t="n"/>
      <c r="GC76" s="57" t="n"/>
      <c r="GD76" s="57" t="n"/>
      <c r="GE76" s="57" t="n"/>
      <c r="GF76" s="57" t="n"/>
      <c r="GG76" s="67">
        <f>SUM(GC76:GF76)</f>
        <v/>
      </c>
      <c r="GH76" s="61" t="n"/>
      <c r="GI76" s="57" t="n"/>
      <c r="GJ76" s="66">
        <f>FZ76</f>
        <v/>
      </c>
      <c r="GK76" s="59" t="n"/>
      <c r="GL76" s="57" t="n"/>
      <c r="GM76" s="57" t="n"/>
      <c r="GN76" s="57" t="n"/>
      <c r="GO76" s="57" t="n"/>
      <c r="GP76" s="67">
        <f>SUM(GL76:GO76)</f>
        <v/>
      </c>
      <c r="GQ76" s="61" t="n"/>
      <c r="GR76" s="57" t="n"/>
      <c r="GS76" s="66">
        <f>GI76</f>
        <v/>
      </c>
      <c r="GT76" s="59" t="n"/>
      <c r="GU76" s="57" t="n"/>
      <c r="GV76" s="57" t="n"/>
      <c r="GW76" s="57" t="n"/>
      <c r="GX76" s="57" t="n"/>
      <c r="GY76" s="67">
        <f>SUM(GU76:GX76)</f>
        <v/>
      </c>
      <c r="GZ76" s="61" t="n"/>
      <c r="HA76" s="57" t="n"/>
      <c r="HB76" s="66">
        <f>GR76</f>
        <v/>
      </c>
      <c r="HC76" s="59" t="n"/>
      <c r="HD76" s="57" t="n"/>
      <c r="HE76" s="57" t="n"/>
      <c r="HF76" s="57" t="n"/>
      <c r="HG76" s="57" t="n"/>
      <c r="HH76" s="67">
        <f>SUM(HD76:HG76)</f>
        <v/>
      </c>
      <c r="HI76" s="61" t="n"/>
      <c r="HJ76" s="57" t="n"/>
      <c r="HK76" s="66">
        <f>HA76</f>
        <v/>
      </c>
      <c r="HL76" s="59" t="n"/>
      <c r="HM76" s="57" t="n"/>
      <c r="HN76" s="57" t="n"/>
      <c r="HO76" s="57" t="n"/>
      <c r="HP76" s="57" t="n"/>
      <c r="HQ76" s="67">
        <f>SUM(HM76:HP76)</f>
        <v/>
      </c>
      <c r="HR76" s="61" t="n"/>
      <c r="HS76" s="57" t="n"/>
      <c r="HT76" s="66">
        <f>HJ76</f>
        <v/>
      </c>
      <c r="HU76" s="59" t="n"/>
      <c r="HV76" s="57" t="n"/>
      <c r="HW76" s="57" t="n"/>
      <c r="HX76" s="57" t="n"/>
      <c r="HY76" s="57" t="n"/>
      <c r="HZ76" s="67">
        <f>SUM(HV76:HY76)</f>
        <v/>
      </c>
      <c r="IA76" s="61" t="n"/>
      <c r="IB76" s="57" t="n"/>
      <c r="IC76" s="66">
        <f>HS76</f>
        <v/>
      </c>
      <c r="ID76" s="59" t="n"/>
      <c r="IE76" s="57" t="n"/>
      <c r="IF76" s="57" t="n"/>
      <c r="IG76" s="57" t="n"/>
      <c r="IH76" s="57" t="n"/>
      <c r="II76" s="67">
        <f>SUM(IE76:IH76)</f>
        <v/>
      </c>
      <c r="IJ76" s="61" t="n"/>
      <c r="IK76" s="57" t="n"/>
      <c r="IL76" s="66">
        <f>IB76</f>
        <v/>
      </c>
      <c r="IM76" s="59" t="n"/>
      <c r="IN76" s="57" t="n"/>
      <c r="IO76" s="57" t="n"/>
      <c r="IP76" s="57" t="n"/>
      <c r="IQ76" s="57" t="n"/>
      <c r="IR76" s="67">
        <f>SUM(IN76:IQ76)</f>
        <v/>
      </c>
      <c r="IS76" s="61" t="n"/>
      <c r="IT76" s="57" t="n"/>
      <c r="IU76" s="66">
        <f>IK76</f>
        <v/>
      </c>
      <c r="IV76" s="59" t="n"/>
      <c r="IW76" s="57" t="n"/>
      <c r="IX76" s="57" t="n"/>
      <c r="IY76" s="57" t="n"/>
      <c r="IZ76" s="57" t="n"/>
      <c r="JA76" s="67">
        <f>SUM(IW76:IZ76)</f>
        <v/>
      </c>
      <c r="JB76" s="61" t="n"/>
      <c r="JC76" s="57" t="n"/>
      <c r="JD76" s="66">
        <f>IT76</f>
        <v/>
      </c>
      <c r="JE76" s="59" t="n"/>
      <c r="JF76" s="57" t="n"/>
      <c r="JG76" s="57" t="n"/>
      <c r="JH76" s="57" t="n"/>
      <c r="JI76" s="57" t="n"/>
      <c r="JJ76" s="67">
        <f>SUM(JF76:JI76)</f>
        <v/>
      </c>
      <c r="JK76" s="61" t="n"/>
      <c r="JL76" s="57" t="n"/>
      <c r="JM76" s="66">
        <f>JC76</f>
        <v/>
      </c>
      <c r="JN76" s="59" t="n"/>
      <c r="JO76" s="57" t="n"/>
      <c r="JP76" s="57" t="n"/>
      <c r="JQ76" s="57" t="n"/>
      <c r="JR76" s="57" t="n"/>
      <c r="JS76" s="67">
        <f>SUM(JO76:JR76)</f>
        <v/>
      </c>
      <c r="JT76" s="61" t="n"/>
      <c r="JU76" s="62">
        <f>I76+R76+AA76+AJ76+AS76+BB76+BK76+BT76+CC76+CL76+CU76+DD76+DM76+DV76+EE76+EN76+EW76+FF76+FO76+FX76+GG76+GP76+GY76+HH76+HQ76+HZ76+II76+IR76+JA76+JJ76+JS76</f>
        <v/>
      </c>
      <c r="JV76" s="63">
        <f>D76+M76+V76+AE76+AN76+AW76+BF76+BO76+BX76+CG76+CP76+CY76+DH76+DQ76+DZ76+EI76+ER76+FA76+FJ76+FS76+GB76+GK76+GT76+HC76+HL76+HU76+ID76+IM76+IV76+JE76+JN76</f>
        <v/>
      </c>
      <c r="JW76" s="62">
        <f>CHOOSE($Z$3,B76, K76, T76, AC76, AL76, AU76, BD76, BM76, BV76, CE76, CN76, CW76, DF76, DO76, DX76, EG76, EP76, EY76, FH76, FQ76, FZ76, GI76, GR76, HA76, HJ76, HS76, IB76, IK76, IT76, JC76, JL76)</f>
        <v/>
      </c>
      <c r="JX76" s="62">
        <f>IFERROR(JU76/$Z$3,0)</f>
        <v/>
      </c>
      <c r="JY76" s="62">
        <f>Configurações!$C$16</f>
        <v/>
      </c>
      <c r="JZ76" s="64">
        <f>IF(JY76=0,"— Sem meta",IF(JU76&gt;=JY76,"✓ Atingida","Em andamento"))</f>
        <v/>
      </c>
      <c r="KA76" s="65">
        <f>JU76+(4*0.0000001)</f>
        <v/>
      </c>
    </row>
    <row r="77" ht="20" customHeight="1">
      <c r="A77" s="56">
        <f>IF(Configurações!$B$17="","Assessor 11",Configurações!$B$17)</f>
        <v/>
      </c>
      <c r="B77" s="57" t="n"/>
      <c r="C77" s="58">
        <f>'Fevereiro'!$JW77</f>
        <v/>
      </c>
      <c r="D77" s="59" t="n"/>
      <c r="E77" s="57" t="n"/>
      <c r="F77" s="57" t="n"/>
      <c r="G77" s="57" t="n"/>
      <c r="H77" s="57" t="n"/>
      <c r="I77" s="60">
        <f>SUM(E77:H77)</f>
        <v/>
      </c>
      <c r="J77" s="61" t="n"/>
      <c r="K77" s="57" t="n"/>
      <c r="L77" s="58">
        <f>B77</f>
        <v/>
      </c>
      <c r="M77" s="59" t="n"/>
      <c r="N77" s="57" t="n"/>
      <c r="O77" s="57" t="n"/>
      <c r="P77" s="57" t="n"/>
      <c r="Q77" s="57" t="n"/>
      <c r="R77" s="60">
        <f>SUM(N77:Q77)</f>
        <v/>
      </c>
      <c r="S77" s="61" t="n"/>
      <c r="T77" s="57" t="n"/>
      <c r="U77" s="58">
        <f>K77</f>
        <v/>
      </c>
      <c r="V77" s="59" t="n"/>
      <c r="W77" s="57" t="n"/>
      <c r="X77" s="57" t="n"/>
      <c r="Y77" s="57" t="n"/>
      <c r="Z77" s="57" t="n"/>
      <c r="AA77" s="60">
        <f>SUM(W77:Z77)</f>
        <v/>
      </c>
      <c r="AB77" s="61" t="n"/>
      <c r="AC77" s="57" t="n"/>
      <c r="AD77" s="58">
        <f>T77</f>
        <v/>
      </c>
      <c r="AE77" s="59" t="n"/>
      <c r="AF77" s="57" t="n"/>
      <c r="AG77" s="57" t="n"/>
      <c r="AH77" s="57" t="n"/>
      <c r="AI77" s="57" t="n"/>
      <c r="AJ77" s="60">
        <f>SUM(AF77:AI77)</f>
        <v/>
      </c>
      <c r="AK77" s="61" t="n"/>
      <c r="AL77" s="57" t="n"/>
      <c r="AM77" s="58">
        <f>AC77</f>
        <v/>
      </c>
      <c r="AN77" s="59" t="n"/>
      <c r="AO77" s="57" t="n"/>
      <c r="AP77" s="57" t="n"/>
      <c r="AQ77" s="57" t="n"/>
      <c r="AR77" s="57" t="n"/>
      <c r="AS77" s="60">
        <f>SUM(AO77:AR77)</f>
        <v/>
      </c>
      <c r="AT77" s="61" t="n"/>
      <c r="AU77" s="57" t="n"/>
      <c r="AV77" s="58">
        <f>AL77</f>
        <v/>
      </c>
      <c r="AW77" s="59" t="n"/>
      <c r="AX77" s="57" t="n"/>
      <c r="AY77" s="57" t="n"/>
      <c r="AZ77" s="57" t="n"/>
      <c r="BA77" s="57" t="n"/>
      <c r="BB77" s="60">
        <f>SUM(AX77:BA77)</f>
        <v/>
      </c>
      <c r="BC77" s="61" t="n"/>
      <c r="BD77" s="57" t="n"/>
      <c r="BE77" s="58">
        <f>AU77</f>
        <v/>
      </c>
      <c r="BF77" s="59" t="n"/>
      <c r="BG77" s="57" t="n"/>
      <c r="BH77" s="57" t="n"/>
      <c r="BI77" s="57" t="n"/>
      <c r="BJ77" s="57" t="n"/>
      <c r="BK77" s="60">
        <f>SUM(BG77:BJ77)</f>
        <v/>
      </c>
      <c r="BL77" s="61" t="n"/>
      <c r="BM77" s="57" t="n"/>
      <c r="BN77" s="58">
        <f>BD77</f>
        <v/>
      </c>
      <c r="BO77" s="59" t="n"/>
      <c r="BP77" s="57" t="n"/>
      <c r="BQ77" s="57" t="n"/>
      <c r="BR77" s="57" t="n"/>
      <c r="BS77" s="57" t="n"/>
      <c r="BT77" s="60">
        <f>SUM(BP77:BS77)</f>
        <v/>
      </c>
      <c r="BU77" s="61" t="n"/>
      <c r="BV77" s="57" t="n"/>
      <c r="BW77" s="58">
        <f>BM77</f>
        <v/>
      </c>
      <c r="BX77" s="59" t="n"/>
      <c r="BY77" s="57" t="n"/>
      <c r="BZ77" s="57" t="n"/>
      <c r="CA77" s="57" t="n"/>
      <c r="CB77" s="57" t="n"/>
      <c r="CC77" s="60">
        <f>SUM(BY77:CB77)</f>
        <v/>
      </c>
      <c r="CD77" s="61" t="n"/>
      <c r="CE77" s="57" t="n"/>
      <c r="CF77" s="58">
        <f>BV77</f>
        <v/>
      </c>
      <c r="CG77" s="59" t="n"/>
      <c r="CH77" s="57" t="n"/>
      <c r="CI77" s="57" t="n"/>
      <c r="CJ77" s="57" t="n"/>
      <c r="CK77" s="57" t="n"/>
      <c r="CL77" s="60">
        <f>SUM(CH77:CK77)</f>
        <v/>
      </c>
      <c r="CM77" s="61" t="n"/>
      <c r="CN77" s="57" t="n"/>
      <c r="CO77" s="58">
        <f>CE77</f>
        <v/>
      </c>
      <c r="CP77" s="59" t="n"/>
      <c r="CQ77" s="57" t="n"/>
      <c r="CR77" s="57" t="n"/>
      <c r="CS77" s="57" t="n"/>
      <c r="CT77" s="57" t="n"/>
      <c r="CU77" s="60">
        <f>SUM(CQ77:CT77)</f>
        <v/>
      </c>
      <c r="CV77" s="61" t="n"/>
      <c r="CW77" s="57" t="n"/>
      <c r="CX77" s="58">
        <f>CN77</f>
        <v/>
      </c>
      <c r="CY77" s="59" t="n"/>
      <c r="CZ77" s="57" t="n"/>
      <c r="DA77" s="57" t="n"/>
      <c r="DB77" s="57" t="n"/>
      <c r="DC77" s="57" t="n"/>
      <c r="DD77" s="60">
        <f>SUM(CZ77:DC77)</f>
        <v/>
      </c>
      <c r="DE77" s="61" t="n"/>
      <c r="DF77" s="57" t="n"/>
      <c r="DG77" s="58">
        <f>CW77</f>
        <v/>
      </c>
      <c r="DH77" s="59" t="n"/>
      <c r="DI77" s="57" t="n"/>
      <c r="DJ77" s="57" t="n"/>
      <c r="DK77" s="57" t="n"/>
      <c r="DL77" s="57" t="n"/>
      <c r="DM77" s="60">
        <f>SUM(DI77:DL77)</f>
        <v/>
      </c>
      <c r="DN77" s="61" t="n"/>
      <c r="DO77" s="57" t="n"/>
      <c r="DP77" s="58">
        <f>DF77</f>
        <v/>
      </c>
      <c r="DQ77" s="59" t="n"/>
      <c r="DR77" s="57" t="n"/>
      <c r="DS77" s="57" t="n"/>
      <c r="DT77" s="57" t="n"/>
      <c r="DU77" s="57" t="n"/>
      <c r="DV77" s="60">
        <f>SUM(DR77:DU77)</f>
        <v/>
      </c>
      <c r="DW77" s="61" t="n"/>
      <c r="DX77" s="57" t="n"/>
      <c r="DY77" s="58">
        <f>DO77</f>
        <v/>
      </c>
      <c r="DZ77" s="59" t="n"/>
      <c r="EA77" s="57" t="n"/>
      <c r="EB77" s="57" t="n"/>
      <c r="EC77" s="57" t="n"/>
      <c r="ED77" s="57" t="n"/>
      <c r="EE77" s="60">
        <f>SUM(EA77:ED77)</f>
        <v/>
      </c>
      <c r="EF77" s="61" t="n"/>
      <c r="EG77" s="57" t="n"/>
      <c r="EH77" s="58">
        <f>DX77</f>
        <v/>
      </c>
      <c r="EI77" s="59" t="n"/>
      <c r="EJ77" s="57" t="n"/>
      <c r="EK77" s="57" t="n"/>
      <c r="EL77" s="57" t="n"/>
      <c r="EM77" s="57" t="n"/>
      <c r="EN77" s="60">
        <f>SUM(EJ77:EM77)</f>
        <v/>
      </c>
      <c r="EO77" s="61" t="n"/>
      <c r="EP77" s="57" t="n"/>
      <c r="EQ77" s="58">
        <f>EG77</f>
        <v/>
      </c>
      <c r="ER77" s="59" t="n"/>
      <c r="ES77" s="57" t="n"/>
      <c r="ET77" s="57" t="n"/>
      <c r="EU77" s="57" t="n"/>
      <c r="EV77" s="57" t="n"/>
      <c r="EW77" s="60">
        <f>SUM(ES77:EV77)</f>
        <v/>
      </c>
      <c r="EX77" s="61" t="n"/>
      <c r="EY77" s="57" t="n"/>
      <c r="EZ77" s="58">
        <f>EP77</f>
        <v/>
      </c>
      <c r="FA77" s="59" t="n"/>
      <c r="FB77" s="57" t="n"/>
      <c r="FC77" s="57" t="n"/>
      <c r="FD77" s="57" t="n"/>
      <c r="FE77" s="57" t="n"/>
      <c r="FF77" s="60">
        <f>SUM(FB77:FE77)</f>
        <v/>
      </c>
      <c r="FG77" s="61" t="n"/>
      <c r="FH77" s="57" t="n"/>
      <c r="FI77" s="58">
        <f>EY77</f>
        <v/>
      </c>
      <c r="FJ77" s="59" t="n"/>
      <c r="FK77" s="57" t="n"/>
      <c r="FL77" s="57" t="n"/>
      <c r="FM77" s="57" t="n"/>
      <c r="FN77" s="57" t="n"/>
      <c r="FO77" s="60">
        <f>SUM(FK77:FN77)</f>
        <v/>
      </c>
      <c r="FP77" s="61" t="n"/>
      <c r="FQ77" s="57" t="n"/>
      <c r="FR77" s="58">
        <f>FH77</f>
        <v/>
      </c>
      <c r="FS77" s="59" t="n"/>
      <c r="FT77" s="57" t="n"/>
      <c r="FU77" s="57" t="n"/>
      <c r="FV77" s="57" t="n"/>
      <c r="FW77" s="57" t="n"/>
      <c r="FX77" s="60">
        <f>SUM(FT77:FW77)</f>
        <v/>
      </c>
      <c r="FY77" s="61" t="n"/>
      <c r="FZ77" s="57" t="n"/>
      <c r="GA77" s="58">
        <f>FQ77</f>
        <v/>
      </c>
      <c r="GB77" s="59" t="n"/>
      <c r="GC77" s="57" t="n"/>
      <c r="GD77" s="57" t="n"/>
      <c r="GE77" s="57" t="n"/>
      <c r="GF77" s="57" t="n"/>
      <c r="GG77" s="60">
        <f>SUM(GC77:GF77)</f>
        <v/>
      </c>
      <c r="GH77" s="61" t="n"/>
      <c r="GI77" s="57" t="n"/>
      <c r="GJ77" s="58">
        <f>FZ77</f>
        <v/>
      </c>
      <c r="GK77" s="59" t="n"/>
      <c r="GL77" s="57" t="n"/>
      <c r="GM77" s="57" t="n"/>
      <c r="GN77" s="57" t="n"/>
      <c r="GO77" s="57" t="n"/>
      <c r="GP77" s="60">
        <f>SUM(GL77:GO77)</f>
        <v/>
      </c>
      <c r="GQ77" s="61" t="n"/>
      <c r="GR77" s="57" t="n"/>
      <c r="GS77" s="58">
        <f>GI77</f>
        <v/>
      </c>
      <c r="GT77" s="59" t="n"/>
      <c r="GU77" s="57" t="n"/>
      <c r="GV77" s="57" t="n"/>
      <c r="GW77" s="57" t="n"/>
      <c r="GX77" s="57" t="n"/>
      <c r="GY77" s="60">
        <f>SUM(GU77:GX77)</f>
        <v/>
      </c>
      <c r="GZ77" s="61" t="n"/>
      <c r="HA77" s="57" t="n"/>
      <c r="HB77" s="58">
        <f>GR77</f>
        <v/>
      </c>
      <c r="HC77" s="59" t="n"/>
      <c r="HD77" s="57" t="n"/>
      <c r="HE77" s="57" t="n"/>
      <c r="HF77" s="57" t="n"/>
      <c r="HG77" s="57" t="n"/>
      <c r="HH77" s="60">
        <f>SUM(HD77:HG77)</f>
        <v/>
      </c>
      <c r="HI77" s="61" t="n"/>
      <c r="HJ77" s="57" t="n"/>
      <c r="HK77" s="58">
        <f>HA77</f>
        <v/>
      </c>
      <c r="HL77" s="59" t="n"/>
      <c r="HM77" s="57" t="n"/>
      <c r="HN77" s="57" t="n"/>
      <c r="HO77" s="57" t="n"/>
      <c r="HP77" s="57" t="n"/>
      <c r="HQ77" s="60">
        <f>SUM(HM77:HP77)</f>
        <v/>
      </c>
      <c r="HR77" s="61" t="n"/>
      <c r="HS77" s="57" t="n"/>
      <c r="HT77" s="58">
        <f>HJ77</f>
        <v/>
      </c>
      <c r="HU77" s="59" t="n"/>
      <c r="HV77" s="57" t="n"/>
      <c r="HW77" s="57" t="n"/>
      <c r="HX77" s="57" t="n"/>
      <c r="HY77" s="57" t="n"/>
      <c r="HZ77" s="60">
        <f>SUM(HV77:HY77)</f>
        <v/>
      </c>
      <c r="IA77" s="61" t="n"/>
      <c r="IB77" s="57" t="n"/>
      <c r="IC77" s="58">
        <f>HS77</f>
        <v/>
      </c>
      <c r="ID77" s="59" t="n"/>
      <c r="IE77" s="57" t="n"/>
      <c r="IF77" s="57" t="n"/>
      <c r="IG77" s="57" t="n"/>
      <c r="IH77" s="57" t="n"/>
      <c r="II77" s="60">
        <f>SUM(IE77:IH77)</f>
        <v/>
      </c>
      <c r="IJ77" s="61" t="n"/>
      <c r="IK77" s="57" t="n"/>
      <c r="IL77" s="58">
        <f>IB77</f>
        <v/>
      </c>
      <c r="IM77" s="59" t="n"/>
      <c r="IN77" s="57" t="n"/>
      <c r="IO77" s="57" t="n"/>
      <c r="IP77" s="57" t="n"/>
      <c r="IQ77" s="57" t="n"/>
      <c r="IR77" s="60">
        <f>SUM(IN77:IQ77)</f>
        <v/>
      </c>
      <c r="IS77" s="61" t="n"/>
      <c r="IT77" s="57" t="n"/>
      <c r="IU77" s="58">
        <f>IK77</f>
        <v/>
      </c>
      <c r="IV77" s="59" t="n"/>
      <c r="IW77" s="57" t="n"/>
      <c r="IX77" s="57" t="n"/>
      <c r="IY77" s="57" t="n"/>
      <c r="IZ77" s="57" t="n"/>
      <c r="JA77" s="60">
        <f>SUM(IW77:IZ77)</f>
        <v/>
      </c>
      <c r="JB77" s="61" t="n"/>
      <c r="JC77" s="57" t="n"/>
      <c r="JD77" s="58">
        <f>IT77</f>
        <v/>
      </c>
      <c r="JE77" s="59" t="n"/>
      <c r="JF77" s="57" t="n"/>
      <c r="JG77" s="57" t="n"/>
      <c r="JH77" s="57" t="n"/>
      <c r="JI77" s="57" t="n"/>
      <c r="JJ77" s="60">
        <f>SUM(JF77:JI77)</f>
        <v/>
      </c>
      <c r="JK77" s="61" t="n"/>
      <c r="JL77" s="57" t="n"/>
      <c r="JM77" s="58">
        <f>JC77</f>
        <v/>
      </c>
      <c r="JN77" s="59" t="n"/>
      <c r="JO77" s="57" t="n"/>
      <c r="JP77" s="57" t="n"/>
      <c r="JQ77" s="57" t="n"/>
      <c r="JR77" s="57" t="n"/>
      <c r="JS77" s="60">
        <f>SUM(JO77:JR77)</f>
        <v/>
      </c>
      <c r="JT77" s="61" t="n"/>
      <c r="JU77" s="62">
        <f>I77+R77+AA77+AJ77+AS77+BB77+BK77+BT77+CC77+CL77+CU77+DD77+DM77+DV77+EE77+EN77+EW77+FF77+FO77+FX77+GG77+GP77+GY77+HH77+HQ77+HZ77+II77+IR77+JA77+JJ77+JS77</f>
        <v/>
      </c>
      <c r="JV77" s="63">
        <f>D77+M77+V77+AE77+AN77+AW77+BF77+BO77+BX77+CG77+CP77+CY77+DH77+DQ77+DZ77+EI77+ER77+FA77+FJ77+FS77+GB77+GK77+GT77+HC77+HL77+HU77+ID77+IM77+IV77+JE77+JN77</f>
        <v/>
      </c>
      <c r="JW77" s="62">
        <f>CHOOSE($Z$3,B77, K77, T77, AC77, AL77, AU77, BD77, BM77, BV77, CE77, CN77, CW77, DF77, DO77, DX77, EG77, EP77, EY77, FH77, FQ77, FZ77, GI77, GR77, HA77, HJ77, HS77, IB77, IK77, IT77, JC77, JL77)</f>
        <v/>
      </c>
      <c r="JX77" s="62">
        <f>IFERROR(JU77/$Z$3,0)</f>
        <v/>
      </c>
      <c r="JY77" s="62">
        <f>Configurações!$C$17</f>
        <v/>
      </c>
      <c r="JZ77" s="64">
        <f>IF(JY77=0,"— Sem meta",IF(JU77&gt;=JY77,"✓ Atingida","Em andamento"))</f>
        <v/>
      </c>
      <c r="KA77" s="65">
        <f>JU77+(3*0.0000001)</f>
        <v/>
      </c>
    </row>
    <row r="78" ht="20" customHeight="1">
      <c r="A78" s="56">
        <f>IF(Configurações!$B$18="","Assessor 12",Configurações!$B$18)</f>
        <v/>
      </c>
      <c r="B78" s="57" t="n"/>
      <c r="C78" s="66">
        <f>'Fevereiro'!$JW78</f>
        <v/>
      </c>
      <c r="D78" s="59" t="n"/>
      <c r="E78" s="57" t="n"/>
      <c r="F78" s="57" t="n"/>
      <c r="G78" s="57" t="n"/>
      <c r="H78" s="57" t="n"/>
      <c r="I78" s="67">
        <f>SUM(E78:H78)</f>
        <v/>
      </c>
      <c r="J78" s="61" t="n"/>
      <c r="K78" s="57" t="n"/>
      <c r="L78" s="66">
        <f>B78</f>
        <v/>
      </c>
      <c r="M78" s="59" t="n"/>
      <c r="N78" s="57" t="n"/>
      <c r="O78" s="57" t="n"/>
      <c r="P78" s="57" t="n"/>
      <c r="Q78" s="57" t="n"/>
      <c r="R78" s="67">
        <f>SUM(N78:Q78)</f>
        <v/>
      </c>
      <c r="S78" s="61" t="n"/>
      <c r="T78" s="57" t="n"/>
      <c r="U78" s="66">
        <f>K78</f>
        <v/>
      </c>
      <c r="V78" s="59" t="n"/>
      <c r="W78" s="57" t="n"/>
      <c r="X78" s="57" t="n"/>
      <c r="Y78" s="57" t="n"/>
      <c r="Z78" s="57" t="n"/>
      <c r="AA78" s="67">
        <f>SUM(W78:Z78)</f>
        <v/>
      </c>
      <c r="AB78" s="61" t="n"/>
      <c r="AC78" s="57" t="n"/>
      <c r="AD78" s="66">
        <f>T78</f>
        <v/>
      </c>
      <c r="AE78" s="59" t="n"/>
      <c r="AF78" s="57" t="n"/>
      <c r="AG78" s="57" t="n"/>
      <c r="AH78" s="57" t="n"/>
      <c r="AI78" s="57" t="n"/>
      <c r="AJ78" s="67">
        <f>SUM(AF78:AI78)</f>
        <v/>
      </c>
      <c r="AK78" s="61" t="n"/>
      <c r="AL78" s="57" t="n"/>
      <c r="AM78" s="66">
        <f>AC78</f>
        <v/>
      </c>
      <c r="AN78" s="59" t="n"/>
      <c r="AO78" s="57" t="n"/>
      <c r="AP78" s="57" t="n"/>
      <c r="AQ78" s="57" t="n"/>
      <c r="AR78" s="57" t="n"/>
      <c r="AS78" s="67">
        <f>SUM(AO78:AR78)</f>
        <v/>
      </c>
      <c r="AT78" s="61" t="n"/>
      <c r="AU78" s="57" t="n"/>
      <c r="AV78" s="66">
        <f>AL78</f>
        <v/>
      </c>
      <c r="AW78" s="59" t="n"/>
      <c r="AX78" s="57" t="n"/>
      <c r="AY78" s="57" t="n"/>
      <c r="AZ78" s="57" t="n"/>
      <c r="BA78" s="57" t="n"/>
      <c r="BB78" s="67">
        <f>SUM(AX78:BA78)</f>
        <v/>
      </c>
      <c r="BC78" s="61" t="n"/>
      <c r="BD78" s="57" t="n"/>
      <c r="BE78" s="66">
        <f>AU78</f>
        <v/>
      </c>
      <c r="BF78" s="59" t="n"/>
      <c r="BG78" s="57" t="n"/>
      <c r="BH78" s="57" t="n"/>
      <c r="BI78" s="57" t="n"/>
      <c r="BJ78" s="57" t="n"/>
      <c r="BK78" s="67">
        <f>SUM(BG78:BJ78)</f>
        <v/>
      </c>
      <c r="BL78" s="61" t="n"/>
      <c r="BM78" s="57" t="n"/>
      <c r="BN78" s="66">
        <f>BD78</f>
        <v/>
      </c>
      <c r="BO78" s="59" t="n"/>
      <c r="BP78" s="57" t="n"/>
      <c r="BQ78" s="57" t="n"/>
      <c r="BR78" s="57" t="n"/>
      <c r="BS78" s="57" t="n"/>
      <c r="BT78" s="67">
        <f>SUM(BP78:BS78)</f>
        <v/>
      </c>
      <c r="BU78" s="61" t="n"/>
      <c r="BV78" s="57" t="n"/>
      <c r="BW78" s="66">
        <f>BM78</f>
        <v/>
      </c>
      <c r="BX78" s="59" t="n"/>
      <c r="BY78" s="57" t="n"/>
      <c r="BZ78" s="57" t="n"/>
      <c r="CA78" s="57" t="n"/>
      <c r="CB78" s="57" t="n"/>
      <c r="CC78" s="67">
        <f>SUM(BY78:CB78)</f>
        <v/>
      </c>
      <c r="CD78" s="61" t="n"/>
      <c r="CE78" s="57" t="n"/>
      <c r="CF78" s="66">
        <f>BV78</f>
        <v/>
      </c>
      <c r="CG78" s="59" t="n"/>
      <c r="CH78" s="57" t="n"/>
      <c r="CI78" s="57" t="n"/>
      <c r="CJ78" s="57" t="n"/>
      <c r="CK78" s="57" t="n"/>
      <c r="CL78" s="67">
        <f>SUM(CH78:CK78)</f>
        <v/>
      </c>
      <c r="CM78" s="61" t="n"/>
      <c r="CN78" s="57" t="n"/>
      <c r="CO78" s="66">
        <f>CE78</f>
        <v/>
      </c>
      <c r="CP78" s="59" t="n"/>
      <c r="CQ78" s="57" t="n"/>
      <c r="CR78" s="57" t="n"/>
      <c r="CS78" s="57" t="n"/>
      <c r="CT78" s="57" t="n"/>
      <c r="CU78" s="67">
        <f>SUM(CQ78:CT78)</f>
        <v/>
      </c>
      <c r="CV78" s="61" t="n"/>
      <c r="CW78" s="57" t="n"/>
      <c r="CX78" s="66">
        <f>CN78</f>
        <v/>
      </c>
      <c r="CY78" s="59" t="n"/>
      <c r="CZ78" s="57" t="n"/>
      <c r="DA78" s="57" t="n"/>
      <c r="DB78" s="57" t="n"/>
      <c r="DC78" s="57" t="n"/>
      <c r="DD78" s="67">
        <f>SUM(CZ78:DC78)</f>
        <v/>
      </c>
      <c r="DE78" s="61" t="n"/>
      <c r="DF78" s="57" t="n"/>
      <c r="DG78" s="66">
        <f>CW78</f>
        <v/>
      </c>
      <c r="DH78" s="59" t="n"/>
      <c r="DI78" s="57" t="n"/>
      <c r="DJ78" s="57" t="n"/>
      <c r="DK78" s="57" t="n"/>
      <c r="DL78" s="57" t="n"/>
      <c r="DM78" s="67">
        <f>SUM(DI78:DL78)</f>
        <v/>
      </c>
      <c r="DN78" s="61" t="n"/>
      <c r="DO78" s="57" t="n"/>
      <c r="DP78" s="66">
        <f>DF78</f>
        <v/>
      </c>
      <c r="DQ78" s="59" t="n"/>
      <c r="DR78" s="57" t="n"/>
      <c r="DS78" s="57" t="n"/>
      <c r="DT78" s="57" t="n"/>
      <c r="DU78" s="57" t="n"/>
      <c r="DV78" s="67">
        <f>SUM(DR78:DU78)</f>
        <v/>
      </c>
      <c r="DW78" s="61" t="n"/>
      <c r="DX78" s="57" t="n"/>
      <c r="DY78" s="66">
        <f>DO78</f>
        <v/>
      </c>
      <c r="DZ78" s="59" t="n"/>
      <c r="EA78" s="57" t="n"/>
      <c r="EB78" s="57" t="n"/>
      <c r="EC78" s="57" t="n"/>
      <c r="ED78" s="57" t="n"/>
      <c r="EE78" s="67">
        <f>SUM(EA78:ED78)</f>
        <v/>
      </c>
      <c r="EF78" s="61" t="n"/>
      <c r="EG78" s="57" t="n"/>
      <c r="EH78" s="66">
        <f>DX78</f>
        <v/>
      </c>
      <c r="EI78" s="59" t="n"/>
      <c r="EJ78" s="57" t="n"/>
      <c r="EK78" s="57" t="n"/>
      <c r="EL78" s="57" t="n"/>
      <c r="EM78" s="57" t="n"/>
      <c r="EN78" s="67">
        <f>SUM(EJ78:EM78)</f>
        <v/>
      </c>
      <c r="EO78" s="61" t="n"/>
      <c r="EP78" s="57" t="n"/>
      <c r="EQ78" s="66">
        <f>EG78</f>
        <v/>
      </c>
      <c r="ER78" s="59" t="n"/>
      <c r="ES78" s="57" t="n"/>
      <c r="ET78" s="57" t="n"/>
      <c r="EU78" s="57" t="n"/>
      <c r="EV78" s="57" t="n"/>
      <c r="EW78" s="67">
        <f>SUM(ES78:EV78)</f>
        <v/>
      </c>
      <c r="EX78" s="61" t="n"/>
      <c r="EY78" s="57" t="n"/>
      <c r="EZ78" s="66">
        <f>EP78</f>
        <v/>
      </c>
      <c r="FA78" s="59" t="n"/>
      <c r="FB78" s="57" t="n"/>
      <c r="FC78" s="57" t="n"/>
      <c r="FD78" s="57" t="n"/>
      <c r="FE78" s="57" t="n"/>
      <c r="FF78" s="67">
        <f>SUM(FB78:FE78)</f>
        <v/>
      </c>
      <c r="FG78" s="61" t="n"/>
      <c r="FH78" s="57" t="n"/>
      <c r="FI78" s="66">
        <f>EY78</f>
        <v/>
      </c>
      <c r="FJ78" s="59" t="n"/>
      <c r="FK78" s="57" t="n"/>
      <c r="FL78" s="57" t="n"/>
      <c r="FM78" s="57" t="n"/>
      <c r="FN78" s="57" t="n"/>
      <c r="FO78" s="67">
        <f>SUM(FK78:FN78)</f>
        <v/>
      </c>
      <c r="FP78" s="61" t="n"/>
      <c r="FQ78" s="57" t="n"/>
      <c r="FR78" s="66">
        <f>FH78</f>
        <v/>
      </c>
      <c r="FS78" s="59" t="n"/>
      <c r="FT78" s="57" t="n"/>
      <c r="FU78" s="57" t="n"/>
      <c r="FV78" s="57" t="n"/>
      <c r="FW78" s="57" t="n"/>
      <c r="FX78" s="67">
        <f>SUM(FT78:FW78)</f>
        <v/>
      </c>
      <c r="FY78" s="61" t="n"/>
      <c r="FZ78" s="57" t="n"/>
      <c r="GA78" s="66">
        <f>FQ78</f>
        <v/>
      </c>
      <c r="GB78" s="59" t="n"/>
      <c r="GC78" s="57" t="n"/>
      <c r="GD78" s="57" t="n"/>
      <c r="GE78" s="57" t="n"/>
      <c r="GF78" s="57" t="n"/>
      <c r="GG78" s="67">
        <f>SUM(GC78:GF78)</f>
        <v/>
      </c>
      <c r="GH78" s="61" t="n"/>
      <c r="GI78" s="57" t="n"/>
      <c r="GJ78" s="66">
        <f>FZ78</f>
        <v/>
      </c>
      <c r="GK78" s="59" t="n"/>
      <c r="GL78" s="57" t="n"/>
      <c r="GM78" s="57" t="n"/>
      <c r="GN78" s="57" t="n"/>
      <c r="GO78" s="57" t="n"/>
      <c r="GP78" s="67">
        <f>SUM(GL78:GO78)</f>
        <v/>
      </c>
      <c r="GQ78" s="61" t="n"/>
      <c r="GR78" s="57" t="n"/>
      <c r="GS78" s="66">
        <f>GI78</f>
        <v/>
      </c>
      <c r="GT78" s="59" t="n"/>
      <c r="GU78" s="57" t="n"/>
      <c r="GV78" s="57" t="n"/>
      <c r="GW78" s="57" t="n"/>
      <c r="GX78" s="57" t="n"/>
      <c r="GY78" s="67">
        <f>SUM(GU78:GX78)</f>
        <v/>
      </c>
      <c r="GZ78" s="61" t="n"/>
      <c r="HA78" s="57" t="n"/>
      <c r="HB78" s="66">
        <f>GR78</f>
        <v/>
      </c>
      <c r="HC78" s="59" t="n"/>
      <c r="HD78" s="57" t="n"/>
      <c r="HE78" s="57" t="n"/>
      <c r="HF78" s="57" t="n"/>
      <c r="HG78" s="57" t="n"/>
      <c r="HH78" s="67">
        <f>SUM(HD78:HG78)</f>
        <v/>
      </c>
      <c r="HI78" s="61" t="n"/>
      <c r="HJ78" s="57" t="n"/>
      <c r="HK78" s="66">
        <f>HA78</f>
        <v/>
      </c>
      <c r="HL78" s="59" t="n"/>
      <c r="HM78" s="57" t="n"/>
      <c r="HN78" s="57" t="n"/>
      <c r="HO78" s="57" t="n"/>
      <c r="HP78" s="57" t="n"/>
      <c r="HQ78" s="67">
        <f>SUM(HM78:HP78)</f>
        <v/>
      </c>
      <c r="HR78" s="61" t="n"/>
      <c r="HS78" s="57" t="n"/>
      <c r="HT78" s="66">
        <f>HJ78</f>
        <v/>
      </c>
      <c r="HU78" s="59" t="n"/>
      <c r="HV78" s="57" t="n"/>
      <c r="HW78" s="57" t="n"/>
      <c r="HX78" s="57" t="n"/>
      <c r="HY78" s="57" t="n"/>
      <c r="HZ78" s="67">
        <f>SUM(HV78:HY78)</f>
        <v/>
      </c>
      <c r="IA78" s="61" t="n"/>
      <c r="IB78" s="57" t="n"/>
      <c r="IC78" s="66">
        <f>HS78</f>
        <v/>
      </c>
      <c r="ID78" s="59" t="n"/>
      <c r="IE78" s="57" t="n"/>
      <c r="IF78" s="57" t="n"/>
      <c r="IG78" s="57" t="n"/>
      <c r="IH78" s="57" t="n"/>
      <c r="II78" s="67">
        <f>SUM(IE78:IH78)</f>
        <v/>
      </c>
      <c r="IJ78" s="61" t="n"/>
      <c r="IK78" s="57" t="n"/>
      <c r="IL78" s="66">
        <f>IB78</f>
        <v/>
      </c>
      <c r="IM78" s="59" t="n"/>
      <c r="IN78" s="57" t="n"/>
      <c r="IO78" s="57" t="n"/>
      <c r="IP78" s="57" t="n"/>
      <c r="IQ78" s="57" t="n"/>
      <c r="IR78" s="67">
        <f>SUM(IN78:IQ78)</f>
        <v/>
      </c>
      <c r="IS78" s="61" t="n"/>
      <c r="IT78" s="57" t="n"/>
      <c r="IU78" s="66">
        <f>IK78</f>
        <v/>
      </c>
      <c r="IV78" s="59" t="n"/>
      <c r="IW78" s="57" t="n"/>
      <c r="IX78" s="57" t="n"/>
      <c r="IY78" s="57" t="n"/>
      <c r="IZ78" s="57" t="n"/>
      <c r="JA78" s="67">
        <f>SUM(IW78:IZ78)</f>
        <v/>
      </c>
      <c r="JB78" s="61" t="n"/>
      <c r="JC78" s="57" t="n"/>
      <c r="JD78" s="66">
        <f>IT78</f>
        <v/>
      </c>
      <c r="JE78" s="59" t="n"/>
      <c r="JF78" s="57" t="n"/>
      <c r="JG78" s="57" t="n"/>
      <c r="JH78" s="57" t="n"/>
      <c r="JI78" s="57" t="n"/>
      <c r="JJ78" s="67">
        <f>SUM(JF78:JI78)</f>
        <v/>
      </c>
      <c r="JK78" s="61" t="n"/>
      <c r="JL78" s="57" t="n"/>
      <c r="JM78" s="66">
        <f>JC78</f>
        <v/>
      </c>
      <c r="JN78" s="59" t="n"/>
      <c r="JO78" s="57" t="n"/>
      <c r="JP78" s="57" t="n"/>
      <c r="JQ78" s="57" t="n"/>
      <c r="JR78" s="57" t="n"/>
      <c r="JS78" s="67">
        <f>SUM(JO78:JR78)</f>
        <v/>
      </c>
      <c r="JT78" s="61" t="n"/>
      <c r="JU78" s="62">
        <f>I78+R78+AA78+AJ78+AS78+BB78+BK78+BT78+CC78+CL78+CU78+DD78+DM78+DV78+EE78+EN78+EW78+FF78+FO78+FX78+GG78+GP78+GY78+HH78+HQ78+HZ78+II78+IR78+JA78+JJ78+JS78</f>
        <v/>
      </c>
      <c r="JV78" s="63">
        <f>D78+M78+V78+AE78+AN78+AW78+BF78+BO78+BX78+CG78+CP78+CY78+DH78+DQ78+DZ78+EI78+ER78+FA78+FJ78+FS78+GB78+GK78+GT78+HC78+HL78+HU78+ID78+IM78+IV78+JE78+JN78</f>
        <v/>
      </c>
      <c r="JW78" s="62">
        <f>CHOOSE($Z$3,B78, K78, T78, AC78, AL78, AU78, BD78, BM78, BV78, CE78, CN78, CW78, DF78, DO78, DX78, EG78, EP78, EY78, FH78, FQ78, FZ78, GI78, GR78, HA78, HJ78, HS78, IB78, IK78, IT78, JC78, JL78)</f>
        <v/>
      </c>
      <c r="JX78" s="62">
        <f>IFERROR(JU78/$Z$3,0)</f>
        <v/>
      </c>
      <c r="JY78" s="62">
        <f>Configurações!$C$18</f>
        <v/>
      </c>
      <c r="JZ78" s="64">
        <f>IF(JY78=0,"— Sem meta",IF(JU78&gt;=JY78,"✓ Atingida","Em andamento"))</f>
        <v/>
      </c>
      <c r="KA78" s="65">
        <f>JU78+(2*0.0000001)</f>
        <v/>
      </c>
    </row>
    <row r="79" ht="20" customHeight="1">
      <c r="A79" s="56">
        <f>IF(Configurações!$B$19="","Assessor 13",Configurações!$B$19)</f>
        <v/>
      </c>
      <c r="B79" s="57" t="n"/>
      <c r="C79" s="58">
        <f>'Fevereiro'!$JW79</f>
        <v/>
      </c>
      <c r="D79" s="59" t="n"/>
      <c r="E79" s="57" t="n"/>
      <c r="F79" s="57" t="n"/>
      <c r="G79" s="57" t="n"/>
      <c r="H79" s="57" t="n"/>
      <c r="I79" s="60">
        <f>SUM(E79:H79)</f>
        <v/>
      </c>
      <c r="J79" s="61" t="n"/>
      <c r="K79" s="57" t="n"/>
      <c r="L79" s="58">
        <f>B79</f>
        <v/>
      </c>
      <c r="M79" s="59" t="n"/>
      <c r="N79" s="57" t="n"/>
      <c r="O79" s="57" t="n"/>
      <c r="P79" s="57" t="n"/>
      <c r="Q79" s="57" t="n"/>
      <c r="R79" s="60">
        <f>SUM(N79:Q79)</f>
        <v/>
      </c>
      <c r="S79" s="61" t="n"/>
      <c r="T79" s="57" t="n"/>
      <c r="U79" s="58">
        <f>K79</f>
        <v/>
      </c>
      <c r="V79" s="59" t="n"/>
      <c r="W79" s="57" t="n"/>
      <c r="X79" s="57" t="n"/>
      <c r="Y79" s="57" t="n"/>
      <c r="Z79" s="57" t="n"/>
      <c r="AA79" s="60">
        <f>SUM(W79:Z79)</f>
        <v/>
      </c>
      <c r="AB79" s="61" t="n"/>
      <c r="AC79" s="57" t="n"/>
      <c r="AD79" s="58">
        <f>T79</f>
        <v/>
      </c>
      <c r="AE79" s="59" t="n"/>
      <c r="AF79" s="57" t="n"/>
      <c r="AG79" s="57" t="n"/>
      <c r="AH79" s="57" t="n"/>
      <c r="AI79" s="57" t="n"/>
      <c r="AJ79" s="60">
        <f>SUM(AF79:AI79)</f>
        <v/>
      </c>
      <c r="AK79" s="61" t="n"/>
      <c r="AL79" s="57" t="n"/>
      <c r="AM79" s="58">
        <f>AC79</f>
        <v/>
      </c>
      <c r="AN79" s="59" t="n"/>
      <c r="AO79" s="57" t="n"/>
      <c r="AP79" s="57" t="n"/>
      <c r="AQ79" s="57" t="n"/>
      <c r="AR79" s="57" t="n"/>
      <c r="AS79" s="60">
        <f>SUM(AO79:AR79)</f>
        <v/>
      </c>
      <c r="AT79" s="61" t="n"/>
      <c r="AU79" s="57" t="n"/>
      <c r="AV79" s="58">
        <f>AL79</f>
        <v/>
      </c>
      <c r="AW79" s="59" t="n"/>
      <c r="AX79" s="57" t="n"/>
      <c r="AY79" s="57" t="n"/>
      <c r="AZ79" s="57" t="n"/>
      <c r="BA79" s="57" t="n"/>
      <c r="BB79" s="60">
        <f>SUM(AX79:BA79)</f>
        <v/>
      </c>
      <c r="BC79" s="61" t="n"/>
      <c r="BD79" s="57" t="n"/>
      <c r="BE79" s="58">
        <f>AU79</f>
        <v/>
      </c>
      <c r="BF79" s="59" t="n"/>
      <c r="BG79" s="57" t="n"/>
      <c r="BH79" s="57" t="n"/>
      <c r="BI79" s="57" t="n"/>
      <c r="BJ79" s="57" t="n"/>
      <c r="BK79" s="60">
        <f>SUM(BG79:BJ79)</f>
        <v/>
      </c>
      <c r="BL79" s="61" t="n"/>
      <c r="BM79" s="57" t="n"/>
      <c r="BN79" s="58">
        <f>BD79</f>
        <v/>
      </c>
      <c r="BO79" s="59" t="n"/>
      <c r="BP79" s="57" t="n"/>
      <c r="BQ79" s="57" t="n"/>
      <c r="BR79" s="57" t="n"/>
      <c r="BS79" s="57" t="n"/>
      <c r="BT79" s="60">
        <f>SUM(BP79:BS79)</f>
        <v/>
      </c>
      <c r="BU79" s="61" t="n"/>
      <c r="BV79" s="57" t="n"/>
      <c r="BW79" s="58">
        <f>BM79</f>
        <v/>
      </c>
      <c r="BX79" s="59" t="n"/>
      <c r="BY79" s="57" t="n"/>
      <c r="BZ79" s="57" t="n"/>
      <c r="CA79" s="57" t="n"/>
      <c r="CB79" s="57" t="n"/>
      <c r="CC79" s="60">
        <f>SUM(BY79:CB79)</f>
        <v/>
      </c>
      <c r="CD79" s="61" t="n"/>
      <c r="CE79" s="57" t="n"/>
      <c r="CF79" s="58">
        <f>BV79</f>
        <v/>
      </c>
      <c r="CG79" s="59" t="n"/>
      <c r="CH79" s="57" t="n"/>
      <c r="CI79" s="57" t="n"/>
      <c r="CJ79" s="57" t="n"/>
      <c r="CK79" s="57" t="n"/>
      <c r="CL79" s="60">
        <f>SUM(CH79:CK79)</f>
        <v/>
      </c>
      <c r="CM79" s="61" t="n"/>
      <c r="CN79" s="57" t="n"/>
      <c r="CO79" s="58">
        <f>CE79</f>
        <v/>
      </c>
      <c r="CP79" s="59" t="n"/>
      <c r="CQ79" s="57" t="n"/>
      <c r="CR79" s="57" t="n"/>
      <c r="CS79" s="57" t="n"/>
      <c r="CT79" s="57" t="n"/>
      <c r="CU79" s="60">
        <f>SUM(CQ79:CT79)</f>
        <v/>
      </c>
      <c r="CV79" s="61" t="n"/>
      <c r="CW79" s="57" t="n"/>
      <c r="CX79" s="58">
        <f>CN79</f>
        <v/>
      </c>
      <c r="CY79" s="59" t="n"/>
      <c r="CZ79" s="57" t="n"/>
      <c r="DA79" s="57" t="n"/>
      <c r="DB79" s="57" t="n"/>
      <c r="DC79" s="57" t="n"/>
      <c r="DD79" s="60">
        <f>SUM(CZ79:DC79)</f>
        <v/>
      </c>
      <c r="DE79" s="61" t="n"/>
      <c r="DF79" s="57" t="n"/>
      <c r="DG79" s="58">
        <f>CW79</f>
        <v/>
      </c>
      <c r="DH79" s="59" t="n"/>
      <c r="DI79" s="57" t="n"/>
      <c r="DJ79" s="57" t="n"/>
      <c r="DK79" s="57" t="n"/>
      <c r="DL79" s="57" t="n"/>
      <c r="DM79" s="60">
        <f>SUM(DI79:DL79)</f>
        <v/>
      </c>
      <c r="DN79" s="61" t="n"/>
      <c r="DO79" s="57" t="n"/>
      <c r="DP79" s="58">
        <f>DF79</f>
        <v/>
      </c>
      <c r="DQ79" s="59" t="n"/>
      <c r="DR79" s="57" t="n"/>
      <c r="DS79" s="57" t="n"/>
      <c r="DT79" s="57" t="n"/>
      <c r="DU79" s="57" t="n"/>
      <c r="DV79" s="60">
        <f>SUM(DR79:DU79)</f>
        <v/>
      </c>
      <c r="DW79" s="61" t="n"/>
      <c r="DX79" s="57" t="n"/>
      <c r="DY79" s="58">
        <f>DO79</f>
        <v/>
      </c>
      <c r="DZ79" s="59" t="n"/>
      <c r="EA79" s="57" t="n"/>
      <c r="EB79" s="57" t="n"/>
      <c r="EC79" s="57" t="n"/>
      <c r="ED79" s="57" t="n"/>
      <c r="EE79" s="60">
        <f>SUM(EA79:ED79)</f>
        <v/>
      </c>
      <c r="EF79" s="61" t="n"/>
      <c r="EG79" s="57" t="n"/>
      <c r="EH79" s="58">
        <f>DX79</f>
        <v/>
      </c>
      <c r="EI79" s="59" t="n"/>
      <c r="EJ79" s="57" t="n"/>
      <c r="EK79" s="57" t="n"/>
      <c r="EL79" s="57" t="n"/>
      <c r="EM79" s="57" t="n"/>
      <c r="EN79" s="60">
        <f>SUM(EJ79:EM79)</f>
        <v/>
      </c>
      <c r="EO79" s="61" t="n"/>
      <c r="EP79" s="57" t="n"/>
      <c r="EQ79" s="58">
        <f>EG79</f>
        <v/>
      </c>
      <c r="ER79" s="59" t="n"/>
      <c r="ES79" s="57" t="n"/>
      <c r="ET79" s="57" t="n"/>
      <c r="EU79" s="57" t="n"/>
      <c r="EV79" s="57" t="n"/>
      <c r="EW79" s="60">
        <f>SUM(ES79:EV79)</f>
        <v/>
      </c>
      <c r="EX79" s="61" t="n"/>
      <c r="EY79" s="57" t="n"/>
      <c r="EZ79" s="58">
        <f>EP79</f>
        <v/>
      </c>
      <c r="FA79" s="59" t="n"/>
      <c r="FB79" s="57" t="n"/>
      <c r="FC79" s="57" t="n"/>
      <c r="FD79" s="57" t="n"/>
      <c r="FE79" s="57" t="n"/>
      <c r="FF79" s="60">
        <f>SUM(FB79:FE79)</f>
        <v/>
      </c>
      <c r="FG79" s="61" t="n"/>
      <c r="FH79" s="57" t="n"/>
      <c r="FI79" s="58">
        <f>EY79</f>
        <v/>
      </c>
      <c r="FJ79" s="59" t="n"/>
      <c r="FK79" s="57" t="n"/>
      <c r="FL79" s="57" t="n"/>
      <c r="FM79" s="57" t="n"/>
      <c r="FN79" s="57" t="n"/>
      <c r="FO79" s="60">
        <f>SUM(FK79:FN79)</f>
        <v/>
      </c>
      <c r="FP79" s="61" t="n"/>
      <c r="FQ79" s="57" t="n"/>
      <c r="FR79" s="58">
        <f>FH79</f>
        <v/>
      </c>
      <c r="FS79" s="59" t="n"/>
      <c r="FT79" s="57" t="n"/>
      <c r="FU79" s="57" t="n"/>
      <c r="FV79" s="57" t="n"/>
      <c r="FW79" s="57" t="n"/>
      <c r="FX79" s="60">
        <f>SUM(FT79:FW79)</f>
        <v/>
      </c>
      <c r="FY79" s="61" t="n"/>
      <c r="FZ79" s="57" t="n"/>
      <c r="GA79" s="58">
        <f>FQ79</f>
        <v/>
      </c>
      <c r="GB79" s="59" t="n"/>
      <c r="GC79" s="57" t="n"/>
      <c r="GD79" s="57" t="n"/>
      <c r="GE79" s="57" t="n"/>
      <c r="GF79" s="57" t="n"/>
      <c r="GG79" s="60">
        <f>SUM(GC79:GF79)</f>
        <v/>
      </c>
      <c r="GH79" s="61" t="n"/>
      <c r="GI79" s="57" t="n"/>
      <c r="GJ79" s="58">
        <f>FZ79</f>
        <v/>
      </c>
      <c r="GK79" s="59" t="n"/>
      <c r="GL79" s="57" t="n"/>
      <c r="GM79" s="57" t="n"/>
      <c r="GN79" s="57" t="n"/>
      <c r="GO79" s="57" t="n"/>
      <c r="GP79" s="60">
        <f>SUM(GL79:GO79)</f>
        <v/>
      </c>
      <c r="GQ79" s="61" t="n"/>
      <c r="GR79" s="57" t="n"/>
      <c r="GS79" s="58">
        <f>GI79</f>
        <v/>
      </c>
      <c r="GT79" s="59" t="n"/>
      <c r="GU79" s="57" t="n"/>
      <c r="GV79" s="57" t="n"/>
      <c r="GW79" s="57" t="n"/>
      <c r="GX79" s="57" t="n"/>
      <c r="GY79" s="60">
        <f>SUM(GU79:GX79)</f>
        <v/>
      </c>
      <c r="GZ79" s="61" t="n"/>
      <c r="HA79" s="57" t="n"/>
      <c r="HB79" s="58">
        <f>GR79</f>
        <v/>
      </c>
      <c r="HC79" s="59" t="n"/>
      <c r="HD79" s="57" t="n"/>
      <c r="HE79" s="57" t="n"/>
      <c r="HF79" s="57" t="n"/>
      <c r="HG79" s="57" t="n"/>
      <c r="HH79" s="60">
        <f>SUM(HD79:HG79)</f>
        <v/>
      </c>
      <c r="HI79" s="61" t="n"/>
      <c r="HJ79" s="57" t="n"/>
      <c r="HK79" s="58">
        <f>HA79</f>
        <v/>
      </c>
      <c r="HL79" s="59" t="n"/>
      <c r="HM79" s="57" t="n"/>
      <c r="HN79" s="57" t="n"/>
      <c r="HO79" s="57" t="n"/>
      <c r="HP79" s="57" t="n"/>
      <c r="HQ79" s="60">
        <f>SUM(HM79:HP79)</f>
        <v/>
      </c>
      <c r="HR79" s="61" t="n"/>
      <c r="HS79" s="57" t="n"/>
      <c r="HT79" s="58">
        <f>HJ79</f>
        <v/>
      </c>
      <c r="HU79" s="59" t="n"/>
      <c r="HV79" s="57" t="n"/>
      <c r="HW79" s="57" t="n"/>
      <c r="HX79" s="57" t="n"/>
      <c r="HY79" s="57" t="n"/>
      <c r="HZ79" s="60">
        <f>SUM(HV79:HY79)</f>
        <v/>
      </c>
      <c r="IA79" s="61" t="n"/>
      <c r="IB79" s="57" t="n"/>
      <c r="IC79" s="58">
        <f>HS79</f>
        <v/>
      </c>
      <c r="ID79" s="59" t="n"/>
      <c r="IE79" s="57" t="n"/>
      <c r="IF79" s="57" t="n"/>
      <c r="IG79" s="57" t="n"/>
      <c r="IH79" s="57" t="n"/>
      <c r="II79" s="60">
        <f>SUM(IE79:IH79)</f>
        <v/>
      </c>
      <c r="IJ79" s="61" t="n"/>
      <c r="IK79" s="57" t="n"/>
      <c r="IL79" s="58">
        <f>IB79</f>
        <v/>
      </c>
      <c r="IM79" s="59" t="n"/>
      <c r="IN79" s="57" t="n"/>
      <c r="IO79" s="57" t="n"/>
      <c r="IP79" s="57" t="n"/>
      <c r="IQ79" s="57" t="n"/>
      <c r="IR79" s="60">
        <f>SUM(IN79:IQ79)</f>
        <v/>
      </c>
      <c r="IS79" s="61" t="n"/>
      <c r="IT79" s="57" t="n"/>
      <c r="IU79" s="58">
        <f>IK79</f>
        <v/>
      </c>
      <c r="IV79" s="59" t="n"/>
      <c r="IW79" s="57" t="n"/>
      <c r="IX79" s="57" t="n"/>
      <c r="IY79" s="57" t="n"/>
      <c r="IZ79" s="57" t="n"/>
      <c r="JA79" s="60">
        <f>SUM(IW79:IZ79)</f>
        <v/>
      </c>
      <c r="JB79" s="61" t="n"/>
      <c r="JC79" s="57" t="n"/>
      <c r="JD79" s="58">
        <f>IT79</f>
        <v/>
      </c>
      <c r="JE79" s="59" t="n"/>
      <c r="JF79" s="57" t="n"/>
      <c r="JG79" s="57" t="n"/>
      <c r="JH79" s="57" t="n"/>
      <c r="JI79" s="57" t="n"/>
      <c r="JJ79" s="60">
        <f>SUM(JF79:JI79)</f>
        <v/>
      </c>
      <c r="JK79" s="61" t="n"/>
      <c r="JL79" s="57" t="n"/>
      <c r="JM79" s="58">
        <f>JC79</f>
        <v/>
      </c>
      <c r="JN79" s="59" t="n"/>
      <c r="JO79" s="57" t="n"/>
      <c r="JP79" s="57" t="n"/>
      <c r="JQ79" s="57" t="n"/>
      <c r="JR79" s="57" t="n"/>
      <c r="JS79" s="60">
        <f>SUM(JO79:JR79)</f>
        <v/>
      </c>
      <c r="JT79" s="61" t="n"/>
      <c r="JU79" s="62">
        <f>I79+R79+AA79+AJ79+AS79+BB79+BK79+BT79+CC79+CL79+CU79+DD79+DM79+DV79+EE79+EN79+EW79+FF79+FO79+FX79+GG79+GP79+GY79+HH79+HQ79+HZ79+II79+IR79+JA79+JJ79+JS79</f>
        <v/>
      </c>
      <c r="JV79" s="63">
        <f>D79+M79+V79+AE79+AN79+AW79+BF79+BO79+BX79+CG79+CP79+CY79+DH79+DQ79+DZ79+EI79+ER79+FA79+FJ79+FS79+GB79+GK79+GT79+HC79+HL79+HU79+ID79+IM79+IV79+JE79+JN79</f>
        <v/>
      </c>
      <c r="JW79" s="62">
        <f>CHOOSE($Z$3,B79, K79, T79, AC79, AL79, AU79, BD79, BM79, BV79, CE79, CN79, CW79, DF79, DO79, DX79, EG79, EP79, EY79, FH79, FQ79, FZ79, GI79, GR79, HA79, HJ79, HS79, IB79, IK79, IT79, JC79, JL79)</f>
        <v/>
      </c>
      <c r="JX79" s="62">
        <f>IFERROR(JU79/$Z$3,0)</f>
        <v/>
      </c>
      <c r="JY79" s="62">
        <f>Configurações!$C$19</f>
        <v/>
      </c>
      <c r="JZ79" s="64">
        <f>IF(JY79=0,"— Sem meta",IF(JU79&gt;=JY79,"✓ Atingida","Em andamento"))</f>
        <v/>
      </c>
      <c r="KA79" s="65">
        <f>JU79+(1*0.0000001)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66:JZ79"/>
  <mergeCells count="65">
    <mergeCell ref="C6:D6"/>
    <mergeCell ref="I6:J6"/>
    <mergeCell ref="G10:I10"/>
    <mergeCell ref="T65:AB65"/>
    <mergeCell ref="CW65:DE65"/>
    <mergeCell ref="IK65:IS65"/>
    <mergeCell ref="FH65:FP65"/>
    <mergeCell ref="JV65:JV66"/>
    <mergeCell ref="C5:D5"/>
    <mergeCell ref="EY65:FG65"/>
    <mergeCell ref="JY65:JY66"/>
    <mergeCell ref="A2:KA2"/>
    <mergeCell ref="E5:F5"/>
    <mergeCell ref="K5:L5"/>
    <mergeCell ref="J9:L9"/>
    <mergeCell ref="AU65:BC65"/>
    <mergeCell ref="GI65:GQ65"/>
    <mergeCell ref="HJ65:HR65"/>
    <mergeCell ref="A6:B6"/>
    <mergeCell ref="A12:L12"/>
    <mergeCell ref="A65:A66"/>
    <mergeCell ref="JL65:JT65"/>
    <mergeCell ref="A8:L8"/>
    <mergeCell ref="FQ65:FY65"/>
    <mergeCell ref="D9:F9"/>
    <mergeCell ref="G6:H6"/>
    <mergeCell ref="B65:J65"/>
    <mergeCell ref="HS65:IA65"/>
    <mergeCell ref="AC65:AK65"/>
    <mergeCell ref="BD65:BL65"/>
    <mergeCell ref="A4:L4"/>
    <mergeCell ref="DO65:DW65"/>
    <mergeCell ref="A10:C10"/>
    <mergeCell ref="CE65:CM65"/>
    <mergeCell ref="DF65:DN65"/>
    <mergeCell ref="E6:F6"/>
    <mergeCell ref="EG65:EO65"/>
    <mergeCell ref="JX65:JX66"/>
    <mergeCell ref="JZ65:JZ66"/>
    <mergeCell ref="K65:S65"/>
    <mergeCell ref="A5:B5"/>
    <mergeCell ref="G5:H5"/>
    <mergeCell ref="A9:C9"/>
    <mergeCell ref="G9:I9"/>
    <mergeCell ref="I5:J5"/>
    <mergeCell ref="A64:KA64"/>
    <mergeCell ref="IT65:JB65"/>
    <mergeCell ref="A1:KA1"/>
    <mergeCell ref="D10:F10"/>
    <mergeCell ref="BV65:CD65"/>
    <mergeCell ref="IB65:IJ65"/>
    <mergeCell ref="CN65:CV65"/>
    <mergeCell ref="BM65:BU65"/>
    <mergeCell ref="DX65:EF65"/>
    <mergeCell ref="JU65:JU66"/>
    <mergeCell ref="J10:L10"/>
    <mergeCell ref="EP65:EX65"/>
    <mergeCell ref="JW65:JW66"/>
    <mergeCell ref="FZ65:GH65"/>
    <mergeCell ref="KA65:KA66"/>
    <mergeCell ref="HA65:HI65"/>
    <mergeCell ref="AL65:AT65"/>
    <mergeCell ref="GR65:GZ65"/>
    <mergeCell ref="JC65:JK65"/>
    <mergeCell ref="K6:L6"/>
  </mergeCells>
  <conditionalFormatting sqref="H14:H26">
    <cfRule type="expression" priority="1" dxfId="0">
      <formula>ISNUMBER(SEARCH("Atingida",H14))</formula>
    </cfRule>
  </conditionalFormatting>
  <conditionalFormatting sqref="B65:JT79">
    <cfRule type="expression" priority="2" dxfId="1">
      <formula>$Z$3&lt;INT((COLUMN()-2)/9)+1</formula>
    </cfRule>
  </conditionalFormatting>
  <conditionalFormatting sqref="D67:D79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I67:I79">
    <cfRule type="colorScale" priority="5">
      <colorScale>
        <cfvo type="min"/>
        <cfvo type="max"/>
        <color rgb="00FFFFFF"/>
        <color rgb="0063BE7B"/>
      </colorScale>
    </cfRule>
  </conditionalFormatting>
  <conditionalFormatting sqref="M67:M79">
    <cfRule type="cellIs" priority="6" operator="greaterThan" dxfId="2">
      <formula>0</formula>
    </cfRule>
    <cfRule type="cellIs" priority="7" operator="lessThan" dxfId="3">
      <formula>0</formula>
    </cfRule>
  </conditionalFormatting>
  <conditionalFormatting sqref="R67:R79">
    <cfRule type="colorScale" priority="8">
      <colorScale>
        <cfvo type="min"/>
        <cfvo type="max"/>
        <color rgb="00FFFFFF"/>
        <color rgb="0063BE7B"/>
      </colorScale>
    </cfRule>
  </conditionalFormatting>
  <conditionalFormatting sqref="V67:V79">
    <cfRule type="cellIs" priority="9" operator="greaterThan" dxfId="2">
      <formula>0</formula>
    </cfRule>
    <cfRule type="cellIs" priority="10" operator="lessThan" dxfId="3">
      <formula>0</formula>
    </cfRule>
  </conditionalFormatting>
  <conditionalFormatting sqref="AA67:AA79">
    <cfRule type="colorScale" priority="11">
      <colorScale>
        <cfvo type="min"/>
        <cfvo type="max"/>
        <color rgb="00FFFFFF"/>
        <color rgb="0063BE7B"/>
      </colorScale>
    </cfRule>
  </conditionalFormatting>
  <conditionalFormatting sqref="AE67:AE79">
    <cfRule type="cellIs" priority="12" operator="greaterThan" dxfId="2">
      <formula>0</formula>
    </cfRule>
    <cfRule type="cellIs" priority="13" operator="lessThan" dxfId="3">
      <formula>0</formula>
    </cfRule>
  </conditionalFormatting>
  <conditionalFormatting sqref="AJ67:AJ79">
    <cfRule type="colorScale" priority="14">
      <colorScale>
        <cfvo type="min"/>
        <cfvo type="max"/>
        <color rgb="00FFFFFF"/>
        <color rgb="0063BE7B"/>
      </colorScale>
    </cfRule>
  </conditionalFormatting>
  <conditionalFormatting sqref="AN67:AN79">
    <cfRule type="cellIs" priority="15" operator="greaterThan" dxfId="2">
      <formula>0</formula>
    </cfRule>
    <cfRule type="cellIs" priority="16" operator="lessThan" dxfId="3">
      <formula>0</formula>
    </cfRule>
  </conditionalFormatting>
  <conditionalFormatting sqref="AS67:AS79">
    <cfRule type="colorScale" priority="17">
      <colorScale>
        <cfvo type="min"/>
        <cfvo type="max"/>
        <color rgb="00FFFFFF"/>
        <color rgb="0063BE7B"/>
      </colorScale>
    </cfRule>
  </conditionalFormatting>
  <conditionalFormatting sqref="AW67:AW79">
    <cfRule type="cellIs" priority="18" operator="greaterThan" dxfId="2">
      <formula>0</formula>
    </cfRule>
    <cfRule type="cellIs" priority="19" operator="lessThan" dxfId="3">
      <formula>0</formula>
    </cfRule>
  </conditionalFormatting>
  <conditionalFormatting sqref="BB67:BB79">
    <cfRule type="colorScale" priority="20">
      <colorScale>
        <cfvo type="min"/>
        <cfvo type="max"/>
        <color rgb="00FFFFFF"/>
        <color rgb="0063BE7B"/>
      </colorScale>
    </cfRule>
  </conditionalFormatting>
  <conditionalFormatting sqref="BF67:BF79">
    <cfRule type="cellIs" priority="21" operator="greaterThan" dxfId="2">
      <formula>0</formula>
    </cfRule>
    <cfRule type="cellIs" priority="22" operator="lessThan" dxfId="3">
      <formula>0</formula>
    </cfRule>
  </conditionalFormatting>
  <conditionalFormatting sqref="BK67:BK79">
    <cfRule type="colorScale" priority="23">
      <colorScale>
        <cfvo type="min"/>
        <cfvo type="max"/>
        <color rgb="00FFFFFF"/>
        <color rgb="0063BE7B"/>
      </colorScale>
    </cfRule>
  </conditionalFormatting>
  <conditionalFormatting sqref="BO67:BO79">
    <cfRule type="cellIs" priority="24" operator="greaterThan" dxfId="2">
      <formula>0</formula>
    </cfRule>
    <cfRule type="cellIs" priority="25" operator="lessThan" dxfId="3">
      <formula>0</formula>
    </cfRule>
  </conditionalFormatting>
  <conditionalFormatting sqref="BT67:BT79">
    <cfRule type="colorScale" priority="26">
      <colorScale>
        <cfvo type="min"/>
        <cfvo type="max"/>
        <color rgb="00FFFFFF"/>
        <color rgb="0063BE7B"/>
      </colorScale>
    </cfRule>
  </conditionalFormatting>
  <conditionalFormatting sqref="BX67:BX79">
    <cfRule type="cellIs" priority="27" operator="greaterThan" dxfId="2">
      <formula>0</formula>
    </cfRule>
    <cfRule type="cellIs" priority="28" operator="lessThan" dxfId="3">
      <formula>0</formula>
    </cfRule>
  </conditionalFormatting>
  <conditionalFormatting sqref="CC67:CC79">
    <cfRule type="colorScale" priority="29">
      <colorScale>
        <cfvo type="min"/>
        <cfvo type="max"/>
        <color rgb="00FFFFFF"/>
        <color rgb="0063BE7B"/>
      </colorScale>
    </cfRule>
  </conditionalFormatting>
  <conditionalFormatting sqref="CG67:CG79">
    <cfRule type="cellIs" priority="30" operator="greaterThan" dxfId="2">
      <formula>0</formula>
    </cfRule>
    <cfRule type="cellIs" priority="31" operator="lessThan" dxfId="3">
      <formula>0</formula>
    </cfRule>
  </conditionalFormatting>
  <conditionalFormatting sqref="CL67:CL79">
    <cfRule type="colorScale" priority="32">
      <colorScale>
        <cfvo type="min"/>
        <cfvo type="max"/>
        <color rgb="00FFFFFF"/>
        <color rgb="0063BE7B"/>
      </colorScale>
    </cfRule>
  </conditionalFormatting>
  <conditionalFormatting sqref="CP67:CP79">
    <cfRule type="cellIs" priority="33" operator="greaterThan" dxfId="2">
      <formula>0</formula>
    </cfRule>
    <cfRule type="cellIs" priority="34" operator="lessThan" dxfId="3">
      <formula>0</formula>
    </cfRule>
  </conditionalFormatting>
  <conditionalFormatting sqref="CU67:CU79">
    <cfRule type="colorScale" priority="35">
      <colorScale>
        <cfvo type="min"/>
        <cfvo type="max"/>
        <color rgb="00FFFFFF"/>
        <color rgb="0063BE7B"/>
      </colorScale>
    </cfRule>
  </conditionalFormatting>
  <conditionalFormatting sqref="CY67:CY79">
    <cfRule type="cellIs" priority="36" operator="greaterThan" dxfId="2">
      <formula>0</formula>
    </cfRule>
    <cfRule type="cellIs" priority="37" operator="lessThan" dxfId="3">
      <formula>0</formula>
    </cfRule>
  </conditionalFormatting>
  <conditionalFormatting sqref="DD67:DD79">
    <cfRule type="colorScale" priority="38">
      <colorScale>
        <cfvo type="min"/>
        <cfvo type="max"/>
        <color rgb="00FFFFFF"/>
        <color rgb="0063BE7B"/>
      </colorScale>
    </cfRule>
  </conditionalFormatting>
  <conditionalFormatting sqref="DH67:DH79">
    <cfRule type="cellIs" priority="39" operator="greaterThan" dxfId="2">
      <formula>0</formula>
    </cfRule>
    <cfRule type="cellIs" priority="40" operator="lessThan" dxfId="3">
      <formula>0</formula>
    </cfRule>
  </conditionalFormatting>
  <conditionalFormatting sqref="DM67:DM79">
    <cfRule type="colorScale" priority="41">
      <colorScale>
        <cfvo type="min"/>
        <cfvo type="max"/>
        <color rgb="00FFFFFF"/>
        <color rgb="0063BE7B"/>
      </colorScale>
    </cfRule>
  </conditionalFormatting>
  <conditionalFormatting sqref="DQ67:DQ79">
    <cfRule type="cellIs" priority="42" operator="greaterThan" dxfId="2">
      <formula>0</formula>
    </cfRule>
    <cfRule type="cellIs" priority="43" operator="lessThan" dxfId="3">
      <formula>0</formula>
    </cfRule>
  </conditionalFormatting>
  <conditionalFormatting sqref="DV67:DV79">
    <cfRule type="colorScale" priority="44">
      <colorScale>
        <cfvo type="min"/>
        <cfvo type="max"/>
        <color rgb="00FFFFFF"/>
        <color rgb="0063BE7B"/>
      </colorScale>
    </cfRule>
  </conditionalFormatting>
  <conditionalFormatting sqref="DZ67:DZ79">
    <cfRule type="cellIs" priority="45" operator="greaterThan" dxfId="2">
      <formula>0</formula>
    </cfRule>
    <cfRule type="cellIs" priority="46" operator="lessThan" dxfId="3">
      <formula>0</formula>
    </cfRule>
  </conditionalFormatting>
  <conditionalFormatting sqref="EE67:EE79">
    <cfRule type="colorScale" priority="47">
      <colorScale>
        <cfvo type="min"/>
        <cfvo type="max"/>
        <color rgb="00FFFFFF"/>
        <color rgb="0063BE7B"/>
      </colorScale>
    </cfRule>
  </conditionalFormatting>
  <conditionalFormatting sqref="EI67:EI79">
    <cfRule type="cellIs" priority="48" operator="greaterThan" dxfId="2">
      <formula>0</formula>
    </cfRule>
    <cfRule type="cellIs" priority="49" operator="lessThan" dxfId="3">
      <formula>0</formula>
    </cfRule>
  </conditionalFormatting>
  <conditionalFormatting sqref="EN67:EN79">
    <cfRule type="colorScale" priority="50">
      <colorScale>
        <cfvo type="min"/>
        <cfvo type="max"/>
        <color rgb="00FFFFFF"/>
        <color rgb="0063BE7B"/>
      </colorScale>
    </cfRule>
  </conditionalFormatting>
  <conditionalFormatting sqref="ER67:ER79">
    <cfRule type="cellIs" priority="51" operator="greaterThan" dxfId="2">
      <formula>0</formula>
    </cfRule>
    <cfRule type="cellIs" priority="52" operator="lessThan" dxfId="3">
      <formula>0</formula>
    </cfRule>
  </conditionalFormatting>
  <conditionalFormatting sqref="EW67:EW79">
    <cfRule type="colorScale" priority="53">
      <colorScale>
        <cfvo type="min"/>
        <cfvo type="max"/>
        <color rgb="00FFFFFF"/>
        <color rgb="0063BE7B"/>
      </colorScale>
    </cfRule>
  </conditionalFormatting>
  <conditionalFormatting sqref="FA67:FA79">
    <cfRule type="cellIs" priority="54" operator="greaterThan" dxfId="2">
      <formula>0</formula>
    </cfRule>
    <cfRule type="cellIs" priority="55" operator="lessThan" dxfId="3">
      <formula>0</formula>
    </cfRule>
  </conditionalFormatting>
  <conditionalFormatting sqref="FF67:FF79">
    <cfRule type="colorScale" priority="56">
      <colorScale>
        <cfvo type="min"/>
        <cfvo type="max"/>
        <color rgb="00FFFFFF"/>
        <color rgb="0063BE7B"/>
      </colorScale>
    </cfRule>
  </conditionalFormatting>
  <conditionalFormatting sqref="FJ67:FJ79">
    <cfRule type="cellIs" priority="57" operator="greaterThan" dxfId="2">
      <formula>0</formula>
    </cfRule>
    <cfRule type="cellIs" priority="58" operator="lessThan" dxfId="3">
      <formula>0</formula>
    </cfRule>
  </conditionalFormatting>
  <conditionalFormatting sqref="FO67:FO79">
    <cfRule type="colorScale" priority="59">
      <colorScale>
        <cfvo type="min"/>
        <cfvo type="max"/>
        <color rgb="00FFFFFF"/>
        <color rgb="0063BE7B"/>
      </colorScale>
    </cfRule>
  </conditionalFormatting>
  <conditionalFormatting sqref="FS67:FS79">
    <cfRule type="cellIs" priority="60" operator="greaterThan" dxfId="2">
      <formula>0</formula>
    </cfRule>
    <cfRule type="cellIs" priority="61" operator="lessThan" dxfId="3">
      <formula>0</formula>
    </cfRule>
  </conditionalFormatting>
  <conditionalFormatting sqref="FX67:FX79">
    <cfRule type="colorScale" priority="62">
      <colorScale>
        <cfvo type="min"/>
        <cfvo type="max"/>
        <color rgb="00FFFFFF"/>
        <color rgb="0063BE7B"/>
      </colorScale>
    </cfRule>
  </conditionalFormatting>
  <conditionalFormatting sqref="GB67:GB79">
    <cfRule type="cellIs" priority="63" operator="greaterThan" dxfId="2">
      <formula>0</formula>
    </cfRule>
    <cfRule type="cellIs" priority="64" operator="lessThan" dxfId="3">
      <formula>0</formula>
    </cfRule>
  </conditionalFormatting>
  <conditionalFormatting sqref="GG67:GG79">
    <cfRule type="colorScale" priority="65">
      <colorScale>
        <cfvo type="min"/>
        <cfvo type="max"/>
        <color rgb="00FFFFFF"/>
        <color rgb="0063BE7B"/>
      </colorScale>
    </cfRule>
  </conditionalFormatting>
  <conditionalFormatting sqref="GK67:GK79">
    <cfRule type="cellIs" priority="66" operator="greaterThan" dxfId="2">
      <formula>0</formula>
    </cfRule>
    <cfRule type="cellIs" priority="67" operator="lessThan" dxfId="3">
      <formula>0</formula>
    </cfRule>
  </conditionalFormatting>
  <conditionalFormatting sqref="GP67:GP79">
    <cfRule type="colorScale" priority="68">
      <colorScale>
        <cfvo type="min"/>
        <cfvo type="max"/>
        <color rgb="00FFFFFF"/>
        <color rgb="0063BE7B"/>
      </colorScale>
    </cfRule>
  </conditionalFormatting>
  <conditionalFormatting sqref="GT67:GT79">
    <cfRule type="cellIs" priority="69" operator="greaterThan" dxfId="2">
      <formula>0</formula>
    </cfRule>
    <cfRule type="cellIs" priority="70" operator="lessThan" dxfId="3">
      <formula>0</formula>
    </cfRule>
  </conditionalFormatting>
  <conditionalFormatting sqref="GY67:GY79">
    <cfRule type="colorScale" priority="71">
      <colorScale>
        <cfvo type="min"/>
        <cfvo type="max"/>
        <color rgb="00FFFFFF"/>
        <color rgb="0063BE7B"/>
      </colorScale>
    </cfRule>
  </conditionalFormatting>
  <conditionalFormatting sqref="HC67:HC79">
    <cfRule type="cellIs" priority="72" operator="greaterThan" dxfId="2">
      <formula>0</formula>
    </cfRule>
    <cfRule type="cellIs" priority="73" operator="lessThan" dxfId="3">
      <formula>0</formula>
    </cfRule>
  </conditionalFormatting>
  <conditionalFormatting sqref="HH67:HH79">
    <cfRule type="colorScale" priority="74">
      <colorScale>
        <cfvo type="min"/>
        <cfvo type="max"/>
        <color rgb="00FFFFFF"/>
        <color rgb="0063BE7B"/>
      </colorScale>
    </cfRule>
  </conditionalFormatting>
  <conditionalFormatting sqref="HL67:HL79">
    <cfRule type="cellIs" priority="75" operator="greaterThan" dxfId="2">
      <formula>0</formula>
    </cfRule>
    <cfRule type="cellIs" priority="76" operator="lessThan" dxfId="3">
      <formula>0</formula>
    </cfRule>
  </conditionalFormatting>
  <conditionalFormatting sqref="HQ67:HQ79">
    <cfRule type="colorScale" priority="77">
      <colorScale>
        <cfvo type="min"/>
        <cfvo type="max"/>
        <color rgb="00FFFFFF"/>
        <color rgb="0063BE7B"/>
      </colorScale>
    </cfRule>
  </conditionalFormatting>
  <conditionalFormatting sqref="HU67:HU79">
    <cfRule type="cellIs" priority="78" operator="greaterThan" dxfId="2">
      <formula>0</formula>
    </cfRule>
    <cfRule type="cellIs" priority="79" operator="lessThan" dxfId="3">
      <formula>0</formula>
    </cfRule>
  </conditionalFormatting>
  <conditionalFormatting sqref="HZ67:HZ79">
    <cfRule type="colorScale" priority="80">
      <colorScale>
        <cfvo type="min"/>
        <cfvo type="max"/>
        <color rgb="00FFFFFF"/>
        <color rgb="0063BE7B"/>
      </colorScale>
    </cfRule>
  </conditionalFormatting>
  <conditionalFormatting sqref="ID67:ID79">
    <cfRule type="cellIs" priority="81" operator="greaterThan" dxfId="2">
      <formula>0</formula>
    </cfRule>
    <cfRule type="cellIs" priority="82" operator="lessThan" dxfId="3">
      <formula>0</formula>
    </cfRule>
  </conditionalFormatting>
  <conditionalFormatting sqref="II67:II79">
    <cfRule type="colorScale" priority="83">
      <colorScale>
        <cfvo type="min"/>
        <cfvo type="max"/>
        <color rgb="00FFFFFF"/>
        <color rgb="0063BE7B"/>
      </colorScale>
    </cfRule>
  </conditionalFormatting>
  <conditionalFormatting sqref="IM67:IM79">
    <cfRule type="cellIs" priority="84" operator="greaterThan" dxfId="2">
      <formula>0</formula>
    </cfRule>
    <cfRule type="cellIs" priority="85" operator="lessThan" dxfId="3">
      <formula>0</formula>
    </cfRule>
  </conditionalFormatting>
  <conditionalFormatting sqref="IR67:IR79">
    <cfRule type="colorScale" priority="86">
      <colorScale>
        <cfvo type="min"/>
        <cfvo type="max"/>
        <color rgb="00FFFFFF"/>
        <color rgb="0063BE7B"/>
      </colorScale>
    </cfRule>
  </conditionalFormatting>
  <conditionalFormatting sqref="IV67:IV79">
    <cfRule type="cellIs" priority="87" operator="greaterThan" dxfId="2">
      <formula>0</formula>
    </cfRule>
    <cfRule type="cellIs" priority="88" operator="lessThan" dxfId="3">
      <formula>0</formula>
    </cfRule>
  </conditionalFormatting>
  <conditionalFormatting sqref="JA67:JA79">
    <cfRule type="colorScale" priority="89">
      <colorScale>
        <cfvo type="min"/>
        <cfvo type="max"/>
        <color rgb="00FFFFFF"/>
        <color rgb="0063BE7B"/>
      </colorScale>
    </cfRule>
  </conditionalFormatting>
  <conditionalFormatting sqref="JE67:JE79">
    <cfRule type="cellIs" priority="90" operator="greaterThan" dxfId="2">
      <formula>0</formula>
    </cfRule>
    <cfRule type="cellIs" priority="91" operator="lessThan" dxfId="3">
      <formula>0</formula>
    </cfRule>
  </conditionalFormatting>
  <conditionalFormatting sqref="JJ67:JJ79">
    <cfRule type="colorScale" priority="92">
      <colorScale>
        <cfvo type="min"/>
        <cfvo type="max"/>
        <color rgb="00FFFFFF"/>
        <color rgb="0063BE7B"/>
      </colorScale>
    </cfRule>
  </conditionalFormatting>
  <conditionalFormatting sqref="JN67:JN79">
    <cfRule type="cellIs" priority="93" operator="greaterThan" dxfId="2">
      <formula>0</formula>
    </cfRule>
    <cfRule type="cellIs" priority="94" operator="lessThan" dxfId="3">
      <formula>0</formula>
    </cfRule>
  </conditionalFormatting>
  <conditionalFormatting sqref="JS67:JS79">
    <cfRule type="colorScale" priority="95">
      <colorScale>
        <cfvo type="min"/>
        <cfvo type="max"/>
        <color rgb="00FFFFFF"/>
        <color rgb="0063BE7B"/>
      </colorScale>
    </cfRule>
  </conditionalFormatting>
  <conditionalFormatting sqref="JZ67:JZ79">
    <cfRule type="expression" priority="96" dxfId="0">
      <formula>ISNUMBER(SEARCH("Atingida",JZ67))</formula>
    </cfRule>
  </conditionalFormatting>
  <dataValidations count="4">
    <dataValidation sqref="B67:B79 K67:K79 T67:T79 AC67:AC79 AL67:AL79 AU67:AU79 BD67:BD79 BM67:BM79 BV67:BV79 CE67:CE79 CN67:CN79 CW67:CW79 DF67:DF79 DO67:DO79 DX67:DX79 EG67:EG79 EP67:EP79 EY67:EY79 FH67:FH79 FQ67:FQ79 FZ67:FZ79 GI67:GI79 GR67:GR79 HA67:HA79 HJ67:HJ79 HS67:HS79 IB67:IB79 IK67:IK79 IT67:IT79 JC67:JC79 JL67:JL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D67:D79 M67:M79 V67:V79 AE67:AE79 AN67:AN79 AW67:AW79 BF67:BF79 BO67:BO79 BX67:BX79 CG67:CG79 CP67:CP79 CY67:CY79 DH67:DH79 DQ67:DQ79 DZ67:DZ79 EI67:EI79 ER67:ER79 FA67:FA79 FJ67:FJ79 FS67:FS79 GB67:GB79 GK67:GK79 GT67:GT79 HC67:HC79 HL67:HL79 HU67:HU79 ID67:ID79 IM67:IM79 IV67:IV79 JE67:JE79 JN67:JN79" showDropDown="0" showInputMessage="0" showErrorMessage="1" allowBlank="1" errorTitle="Valor inválido" error="Informe um valor numérico (positivo ou negativo)." type="decimal" operator="between">
      <formula1>-999999999</formula1>
      <formula2>999999999</formula2>
    </dataValidation>
    <dataValidation sqref="E67:E79 F67:F79 G67:G79 H67:H79 N67:N79 O67:O79 P67:P79 Q67:Q79 W67:W79 X67:X79 Y67:Y79 Z67:Z79 AF67:AF79 AG67:AG79 AH67:AH79 AI67:AI79 AO67:AO79 AP67:AP79 AQ67:AQ79 AR67:AR79 AX67:AX79 AY67:AY79 AZ67:AZ79 BA67:BA79 BG67:BG79 BH67:BH79 BI67:BI79 BJ67:BJ79 BP67:BP79 BQ67:BQ79 BR67:BR79 BS67:BS79 BY67:BY79 BZ67:BZ79 CA67:CA79 CB67:CB79 CH67:CH79 CI67:CI79 CJ67:CJ79 CK67:CK79 CQ67:CQ79 CR67:CR79 CS67:CS79 CT67:CT79 CZ67:CZ79 DA67:DA79 DB67:DB79 DC67:DC79 DI67:DI79 DJ67:DJ79 DK67:DK79 DL67:DL79 DR67:DR79 DS67:DS79 DT67:DT79 DU67:DU79 EA67:EA79 EB67:EB79 EC67:EC79 ED67:ED79 EJ67:EJ79 EK67:EK79 EL67:EL79 EM67:EM79 ES67:ES79 ET67:ET79 EU67:EU79 EV67:EV79 FB67:FB79 FC67:FC79 FD67:FD79 FE67:FE79 FK67:FK79 FL67:FL79 FM67:FM79 FN67:FN79 FT67:FT79 FU67:FU79 FV67:FV79 FW67:FW79 GC67:GC79 GD67:GD79 GE67:GE79 GF67:GF79 GL67:GL79 GM67:GM79 GN67:GN79 GO67:GO79 GU67:GU79 GV67:GV79 GW67:GW79 GX67:GX79 HD67:HD79 HE67:HE79 HF67:HF79 HG67:HG79 HM67:HM79 HN67:HN79 HO67:HO79 HP67:HP79 HV67:HV79 HW67:HW79 HX67:HX79 HY67:HY79 IE67:IE79 IF67:IF79 IG67:IG79 IH67:IH79 IN67:IN79 IO67:IO79 IP67:IP79 IQ67:IQ79 IW67:IW79 IX67:IX79 IY67:IY79 IZ67:IZ79 JF67:JF79 JG67:JG79 JH67:JH79 JI67:JI79 JO67:JO79 JP67:JP79 JQ67:JQ79 JR67:JR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J67:J79 S67:S79 AB67:AB79 AK67:AK79 AT67:AT79 BC67:BC79 BL67:BL79 BU67:BU79 CD67:CD79 CM67:CM79 CV67:CV79 DE67:DE79 DN67:DN79 DW67:DW79 EF67:EF79 EO67:EO79 EX67:EX79 FG67:FG79 FP67:FP79 FY67:FY79 GH67:GH79 GQ67:GQ79 GZ67:GZ79 HI67:HI79 HR67:HR79 IA67:IA79 IJ67:IJ79 IS67:IS79 JB67:JB79 JK67:JK79 JT67:JT79" showDropDown="0" showInputMessage="0" showErrorMessage="1" allowBlank="1" errorTitle="Texto muito longo" error="Limite de 300 caracteres." type="textLength" operator="lessThanOrEqual">
      <formula1>300</formula1>
    </dataValidation>
  </dataValidations>
  <pageMargins left="0.75" right="0.75" top="1" bottom="1" header="0.5" footer="0.5"/>
  <pageSetup orientation="landscape" fitToHeight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I79"/>
  <sheetViews>
    <sheetView showGridLines="0" zoomScale="90" workbookViewId="0">
      <pane xSplit="1" ySplit="66" topLeftCell="B6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11" customWidth="1" min="5" max="5"/>
    <col width="12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4" customWidth="1" min="13" max="13"/>
    <col width="11" customWidth="1" min="14" max="14"/>
    <col width="12" customWidth="1" min="15" max="15"/>
    <col width="13" customWidth="1" min="16" max="16"/>
    <col width="13" customWidth="1" min="17" max="17"/>
    <col width="13" customWidth="1" min="18" max="18"/>
    <col width="20" customWidth="1" min="19" max="19"/>
    <col width="13" customWidth="1" min="20" max="20"/>
    <col width="13" customWidth="1" min="21" max="21"/>
    <col width="14" customWidth="1" min="22" max="22"/>
    <col width="11" customWidth="1" min="23" max="23"/>
    <col width="12" customWidth="1" min="24" max="24"/>
    <col width="13" customWidth="1" min="25" max="25"/>
    <col width="13" customWidth="1" min="26" max="26"/>
    <col width="13" customWidth="1" min="27" max="27"/>
    <col width="20" customWidth="1" min="28" max="28"/>
    <col width="13" customWidth="1" min="29" max="29"/>
    <col width="13" customWidth="1" min="30" max="30"/>
    <col width="14" customWidth="1" min="31" max="31"/>
    <col width="11" customWidth="1" min="32" max="32"/>
    <col width="12" customWidth="1" min="33" max="33"/>
    <col width="13" customWidth="1" min="34" max="34"/>
    <col width="13" customWidth="1" min="35" max="35"/>
    <col width="13" customWidth="1" min="36" max="36"/>
    <col width="20" customWidth="1" min="37" max="37"/>
    <col width="13" customWidth="1" min="38" max="38"/>
    <col width="13" customWidth="1" min="39" max="39"/>
    <col width="14" customWidth="1" min="40" max="40"/>
    <col width="11" customWidth="1" min="41" max="41"/>
    <col width="12" customWidth="1" min="42" max="42"/>
    <col width="13" customWidth="1" min="43" max="43"/>
    <col width="13" customWidth="1" min="44" max="44"/>
    <col width="13" customWidth="1" min="45" max="45"/>
    <col width="20" customWidth="1" min="46" max="46"/>
    <col width="13" customWidth="1" min="47" max="47"/>
    <col width="13" customWidth="1" min="48" max="48"/>
    <col width="14" customWidth="1" min="49" max="49"/>
    <col width="11" customWidth="1" min="50" max="50"/>
    <col width="12" customWidth="1" min="51" max="51"/>
    <col width="13" customWidth="1" min="52" max="52"/>
    <col width="13" customWidth="1" min="53" max="53"/>
    <col width="13" customWidth="1" min="54" max="54"/>
    <col width="20" customWidth="1" min="55" max="55"/>
    <col width="13" customWidth="1" min="56" max="56"/>
    <col width="13" customWidth="1" min="57" max="57"/>
    <col width="14" customWidth="1" min="58" max="58"/>
    <col width="11" customWidth="1" min="59" max="59"/>
    <col width="12" customWidth="1" min="60" max="60"/>
    <col width="13" customWidth="1" min="61" max="61"/>
    <col width="13" customWidth="1" min="62" max="62"/>
    <col width="13" customWidth="1" min="63" max="63"/>
    <col width="20" customWidth="1" min="64" max="64"/>
    <col width="13" customWidth="1" min="65" max="65"/>
    <col width="13" customWidth="1" min="66" max="66"/>
    <col width="14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20" customWidth="1" min="73" max="73"/>
    <col width="13" customWidth="1" min="74" max="74"/>
    <col width="13" customWidth="1" min="75" max="75"/>
    <col width="14" customWidth="1" min="76" max="76"/>
    <col width="11" customWidth="1" min="77" max="77"/>
    <col width="12" customWidth="1" min="78" max="78"/>
    <col width="13" customWidth="1" min="79" max="79"/>
    <col width="13" customWidth="1" min="80" max="80"/>
    <col width="13" customWidth="1" min="81" max="81"/>
    <col width="20" customWidth="1" min="82" max="82"/>
    <col width="13" customWidth="1" min="83" max="83"/>
    <col width="13" customWidth="1" min="84" max="84"/>
    <col width="14" customWidth="1" min="85" max="85"/>
    <col width="11" customWidth="1" min="86" max="86"/>
    <col width="12" customWidth="1" min="87" max="87"/>
    <col width="13" customWidth="1" min="88" max="88"/>
    <col width="13" customWidth="1" min="89" max="89"/>
    <col width="13" customWidth="1" min="90" max="90"/>
    <col width="20" customWidth="1" min="91" max="91"/>
    <col width="13" customWidth="1" min="92" max="92"/>
    <col width="13" customWidth="1" min="93" max="93"/>
    <col width="14" customWidth="1" min="94" max="94"/>
    <col width="11" customWidth="1" min="95" max="95"/>
    <col width="12" customWidth="1" min="96" max="96"/>
    <col width="13" customWidth="1" min="97" max="97"/>
    <col width="13" customWidth="1" min="98" max="98"/>
    <col width="13" customWidth="1" min="99" max="99"/>
    <col width="20" customWidth="1" min="100" max="100"/>
    <col width="13" customWidth="1" min="101" max="101"/>
    <col width="13" customWidth="1" min="102" max="102"/>
    <col width="14" customWidth="1" min="103" max="103"/>
    <col width="11" customWidth="1" min="104" max="104"/>
    <col width="12" customWidth="1" min="105" max="105"/>
    <col width="13" customWidth="1" min="106" max="106"/>
    <col width="13" customWidth="1" min="107" max="107"/>
    <col width="13" customWidth="1" min="108" max="108"/>
    <col width="20" customWidth="1" min="109" max="109"/>
    <col width="13" customWidth="1" min="110" max="110"/>
    <col width="13" customWidth="1" min="111" max="111"/>
    <col width="14" customWidth="1" min="112" max="112"/>
    <col width="11" customWidth="1" min="113" max="113"/>
    <col width="12" customWidth="1" min="114" max="114"/>
    <col width="13" customWidth="1" min="115" max="115"/>
    <col width="13" customWidth="1" min="116" max="116"/>
    <col width="13" customWidth="1" min="117" max="117"/>
    <col width="20" customWidth="1" min="118" max="118"/>
    <col width="13" customWidth="1" min="119" max="119"/>
    <col width="13" customWidth="1" min="120" max="120"/>
    <col width="14" customWidth="1" min="121" max="121"/>
    <col width="11" customWidth="1" min="122" max="122"/>
    <col width="12" customWidth="1" min="123" max="123"/>
    <col width="13" customWidth="1" min="124" max="124"/>
    <col width="13" customWidth="1" min="125" max="125"/>
    <col width="13" customWidth="1" min="126" max="126"/>
    <col width="20" customWidth="1" min="127" max="127"/>
    <col width="13" customWidth="1" min="128" max="128"/>
    <col width="13" customWidth="1" min="129" max="129"/>
    <col width="14" customWidth="1" min="130" max="130"/>
    <col width="11" customWidth="1" min="131" max="131"/>
    <col width="12" customWidth="1" min="132" max="132"/>
    <col width="13" customWidth="1" min="133" max="133"/>
    <col width="13" customWidth="1" min="134" max="134"/>
    <col width="13" customWidth="1" min="135" max="135"/>
    <col width="20" customWidth="1" min="136" max="136"/>
    <col width="13" customWidth="1" min="137" max="137"/>
    <col width="13" customWidth="1" min="138" max="138"/>
    <col width="14" customWidth="1" min="139" max="139"/>
    <col width="11" customWidth="1" min="140" max="140"/>
    <col width="12" customWidth="1" min="141" max="141"/>
    <col width="13" customWidth="1" min="142" max="142"/>
    <col width="13" customWidth="1" min="143" max="143"/>
    <col width="13" customWidth="1" min="144" max="144"/>
    <col width="20" customWidth="1" min="145" max="145"/>
    <col width="13" customWidth="1" min="146" max="146"/>
    <col width="13" customWidth="1" min="147" max="147"/>
    <col width="14" customWidth="1" min="148" max="148"/>
    <col width="11" customWidth="1" min="149" max="149"/>
    <col width="12" customWidth="1" min="150" max="150"/>
    <col width="13" customWidth="1" min="151" max="151"/>
    <col width="13" customWidth="1" min="152" max="152"/>
    <col width="13" customWidth="1" min="153" max="153"/>
    <col width="20" customWidth="1" min="154" max="154"/>
    <col width="13" customWidth="1" min="155" max="155"/>
    <col width="13" customWidth="1" min="156" max="156"/>
    <col width="14" customWidth="1" min="157" max="157"/>
    <col width="11" customWidth="1" min="158" max="158"/>
    <col width="12" customWidth="1" min="159" max="159"/>
    <col width="13" customWidth="1" min="160" max="160"/>
    <col width="13" customWidth="1" min="161" max="161"/>
    <col width="13" customWidth="1" min="162" max="162"/>
    <col width="20" customWidth="1" min="163" max="163"/>
    <col width="13" customWidth="1" min="164" max="164"/>
    <col width="13" customWidth="1" min="165" max="165"/>
    <col width="14" customWidth="1" min="166" max="166"/>
    <col width="11" customWidth="1" min="167" max="167"/>
    <col width="12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13" customWidth="1" min="173" max="173"/>
    <col width="13" customWidth="1" min="174" max="174"/>
    <col width="14" customWidth="1" min="175" max="175"/>
    <col width="11" customWidth="1" min="176" max="176"/>
    <col width="12" customWidth="1" min="177" max="177"/>
    <col width="13" customWidth="1" min="178" max="178"/>
    <col width="13" customWidth="1" min="179" max="179"/>
    <col width="13" customWidth="1" min="180" max="180"/>
    <col width="20" customWidth="1" min="181" max="181"/>
    <col width="13" customWidth="1" min="182" max="182"/>
    <col width="13" customWidth="1" min="183" max="183"/>
    <col width="14" customWidth="1" min="184" max="184"/>
    <col width="11" customWidth="1" min="185" max="185"/>
    <col width="12" customWidth="1" min="186" max="186"/>
    <col width="13" customWidth="1" min="187" max="187"/>
    <col width="13" customWidth="1" min="188" max="188"/>
    <col width="13" customWidth="1" min="189" max="189"/>
    <col width="20" customWidth="1" min="190" max="190"/>
    <col width="13" customWidth="1" min="191" max="191"/>
    <col width="13" customWidth="1" min="192" max="192"/>
    <col width="14" customWidth="1" min="193" max="193"/>
    <col width="11" customWidth="1" min="194" max="194"/>
    <col width="12" customWidth="1" min="195" max="195"/>
    <col width="13" customWidth="1" min="196" max="196"/>
    <col width="13" customWidth="1" min="197" max="197"/>
    <col width="13" customWidth="1" min="198" max="198"/>
    <col width="20" customWidth="1" min="199" max="199"/>
    <col width="13" customWidth="1" min="200" max="200"/>
    <col width="13" customWidth="1" min="201" max="201"/>
    <col width="14" customWidth="1" min="202" max="202"/>
    <col width="11" customWidth="1" min="203" max="203"/>
    <col width="12" customWidth="1" min="204" max="204"/>
    <col width="13" customWidth="1" min="205" max="205"/>
    <col width="13" customWidth="1" min="206" max="206"/>
    <col width="13" customWidth="1" min="207" max="207"/>
    <col width="20" customWidth="1" min="208" max="208"/>
    <col width="13" customWidth="1" min="209" max="209"/>
    <col width="13" customWidth="1" min="210" max="210"/>
    <col width="14" customWidth="1" min="211" max="211"/>
    <col width="11" customWidth="1" min="212" max="212"/>
    <col width="12" customWidth="1" min="213" max="213"/>
    <col width="13" customWidth="1" min="214" max="214"/>
    <col width="13" customWidth="1" min="215" max="215"/>
    <col width="13" customWidth="1" min="216" max="216"/>
    <col width="20" customWidth="1" min="217" max="217"/>
    <col width="13" customWidth="1" min="218" max="218"/>
    <col width="13" customWidth="1" min="219" max="219"/>
    <col width="14" customWidth="1" min="220" max="220"/>
    <col width="11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20" customWidth="1" min="226" max="226"/>
    <col width="13" customWidth="1" min="227" max="227"/>
    <col width="13" customWidth="1" min="228" max="228"/>
    <col width="14" customWidth="1" min="229" max="229"/>
    <col width="11" customWidth="1" min="230" max="230"/>
    <col width="12" customWidth="1" min="231" max="231"/>
    <col width="13" customWidth="1" min="232" max="232"/>
    <col width="13" customWidth="1" min="233" max="233"/>
    <col width="13" customWidth="1" min="234" max="234"/>
    <col width="20" customWidth="1" min="235" max="235"/>
    <col width="13" customWidth="1" min="236" max="236"/>
    <col width="13" customWidth="1" min="237" max="237"/>
    <col width="14" customWidth="1" min="238" max="238"/>
    <col width="11" customWidth="1" min="239" max="239"/>
    <col width="12" customWidth="1" min="240" max="240"/>
    <col width="13" customWidth="1" min="241" max="241"/>
    <col width="13" customWidth="1" min="242" max="242"/>
    <col width="13" customWidth="1" min="243" max="243"/>
    <col width="20" customWidth="1" min="244" max="244"/>
    <col width="13" customWidth="1" min="245" max="245"/>
    <col width="13" customWidth="1" min="246" max="246"/>
    <col width="14" customWidth="1" min="247" max="247"/>
    <col width="11" customWidth="1" min="248" max="248"/>
    <col width="12" customWidth="1" min="249" max="249"/>
    <col width="13" customWidth="1" min="250" max="250"/>
    <col width="13" customWidth="1" min="251" max="251"/>
    <col width="13" customWidth="1" min="252" max="252"/>
    <col width="20" customWidth="1" min="253" max="253"/>
    <col width="13" customWidth="1" min="254" max="254"/>
    <col width="13" customWidth="1" min="255" max="255"/>
    <col width="14" customWidth="1" min="256" max="256"/>
    <col width="11" customWidth="1" min="257" max="257"/>
    <col width="12" customWidth="1" min="258" max="258"/>
    <col width="13" customWidth="1" min="259" max="259"/>
    <col width="13" customWidth="1" min="260" max="260"/>
    <col width="13" customWidth="1" min="261" max="261"/>
    <col width="20" customWidth="1" min="262" max="262"/>
    <col width="13" customWidth="1" min="263" max="263"/>
    <col width="13" customWidth="1" min="264" max="264"/>
    <col width="14" customWidth="1" min="265" max="265"/>
    <col width="11" customWidth="1" min="266" max="266"/>
    <col width="12" customWidth="1" min="267" max="267"/>
    <col width="13" customWidth="1" min="268" max="268"/>
    <col width="13" customWidth="1" min="269" max="269"/>
    <col width="13" customWidth="1" min="270" max="270"/>
    <col width="20" customWidth="1" min="271" max="271"/>
    <col width="13" customWidth="1" min="272" max="272"/>
    <col width="13" customWidth="1" min="273" max="273"/>
    <col width="14" customWidth="1" min="274" max="274"/>
    <col width="11" customWidth="1" min="275" max="275"/>
    <col width="12" customWidth="1" min="276" max="276"/>
    <col width="13" customWidth="1" min="277" max="277"/>
    <col width="13" customWidth="1" min="278" max="278"/>
    <col width="13" customWidth="1" min="279" max="279"/>
    <col width="20" customWidth="1" min="280" max="280"/>
    <col width="16" customWidth="1" min="281" max="281"/>
    <col width="16" customWidth="1" min="282" max="282"/>
    <col width="16" customWidth="1" min="283" max="283"/>
    <col width="14" customWidth="1" min="284" max="284"/>
    <col width="14" customWidth="1" min="285" max="285"/>
    <col width="14" customWidth="1" min="286" max="286"/>
    <col hidden="1" width="10" customWidth="1" min="287" max="287"/>
    <col hidden="1" width="16" customWidth="1" min="289" max="289"/>
    <col hidden="1" width="16" customWidth="1" min="290" max="290"/>
    <col hidden="1" width="16" customWidth="1" min="291" max="291"/>
    <col hidden="1" width="16" customWidth="1" min="292" max="292"/>
    <col hidden="1" width="16" customWidth="1" min="294" max="294"/>
    <col hidden="1" width="16" customWidth="1" min="295" max="295"/>
  </cols>
  <sheetData>
    <row r="1" ht="32" customHeight="1">
      <c r="A1" s="11">
        <f>"ACOMPANHAMENTO DIÁRIO DE ASSESSORES — ABRIL / "&amp;Configurações!$B$3</f>
        <v/>
      </c>
      <c r="KC1" t="inlineStr">
        <is>
          <t>Dia</t>
        </is>
      </c>
      <c r="KD1" t="inlineStr">
        <is>
          <t>Data</t>
        </is>
      </c>
      <c r="KE1" t="inlineStr">
        <is>
          <t>Produção do Dia</t>
        </is>
      </c>
      <c r="KF1" t="inlineStr">
        <is>
          <t>Captação do Dia</t>
        </is>
      </c>
    </row>
    <row r="2" ht="18" customHeight="1">
      <c r="A2" s="12">
        <f>"Dias no mês: "&amp;$Z$3&amp;"   |   Cada assessor ocupa 1 linha. Role para a direita para ver os dias. Apenas as células destacadas em amarelo são editáveis."</f>
        <v/>
      </c>
      <c r="KC2" s="13" t="n">
        <v>1</v>
      </c>
      <c r="KD2" s="14">
        <f>IF(1&lt;=$Z$3,DATE(Configurações!$B$3,4,1),"")</f>
        <v/>
      </c>
      <c r="KE2" s="13">
        <f>SUM($I$67:$I$79)</f>
        <v/>
      </c>
      <c r="KF2" s="13">
        <f>SUM($D$67:$D$79)</f>
        <v/>
      </c>
      <c r="KH2" t="inlineStr">
        <is>
          <t>COE</t>
        </is>
      </c>
      <c r="KI2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</row>
    <row r="3">
      <c r="Y3" s="15" t="inlineStr">
        <is>
          <t>Dias no mês</t>
        </is>
      </c>
      <c r="Z3" s="16">
        <f>DAY(EOMONTH(DATE(Configurações!$B$3,4,1),0))</f>
        <v/>
      </c>
      <c r="KC3" s="13" t="n">
        <v>2</v>
      </c>
      <c r="KD3" s="14">
        <f>IF(2&lt;=$Z$3,DATE(Configurações!$B$3,4,2),"")</f>
        <v/>
      </c>
      <c r="KE3" s="13">
        <f>SUM($R$67:$R$79)</f>
        <v/>
      </c>
      <c r="KF3" s="13">
        <f>SUM($M$67:$M$79)</f>
        <v/>
      </c>
      <c r="KH3" t="inlineStr">
        <is>
          <t>PREVIDÊNCIA</t>
        </is>
      </c>
      <c r="KI3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</row>
    <row r="4" ht="22" customHeight="1">
      <c r="A4" s="17" t="inlineStr">
        <is>
          <t>📊  INDICADORES DO MÊS</t>
        </is>
      </c>
      <c r="KC4" s="13" t="n">
        <v>3</v>
      </c>
      <c r="KD4" s="14">
        <f>IF(3&lt;=$Z$3,DATE(Configurações!$B$3,4,3),"")</f>
        <v/>
      </c>
      <c r="KE4" s="13">
        <f>SUM($AA$67:$AA$79)</f>
        <v/>
      </c>
      <c r="KF4" s="13">
        <f>SUM($V$67:$V$79)</f>
        <v/>
      </c>
      <c r="KH4" t="inlineStr">
        <is>
          <t>CRÉDITO PRIVADO</t>
        </is>
      </c>
      <c r="KI4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</row>
    <row r="5" ht="26" customHeight="1">
      <c r="A5" s="18" t="inlineStr">
        <is>
          <t>PRODUÇÃO TOTAL DO MÊS</t>
        </is>
      </c>
      <c r="C5" s="18" t="inlineStr">
        <is>
          <t>CAPTAÇÃO LÍQUIDA DO MÊS</t>
        </is>
      </c>
      <c r="E5" s="18" t="inlineStr">
        <is>
          <t>SALDO PULSO TOTAL (ATUAL)</t>
        </is>
      </c>
      <c r="G5" s="18" t="inlineStr">
        <is>
          <t>MÉDIA DIÁRIA DA EQUIPE</t>
        </is>
      </c>
      <c r="I5" s="18" t="inlineStr">
        <is>
          <t>MELHOR DIA DE PRODUÇÃO</t>
        </is>
      </c>
      <c r="K5" s="18" t="inlineStr">
        <is>
          <t>MELHOR ASSESSOR DO MÊS</t>
        </is>
      </c>
      <c r="KC5" s="13" t="n">
        <v>4</v>
      </c>
      <c r="KD5" s="14">
        <f>IF(4&lt;=$Z$3,DATE(Configurações!$B$3,4,4),"")</f>
        <v/>
      </c>
      <c r="KE5" s="13">
        <f>SUM($AJ$67:$AJ$79)</f>
        <v/>
      </c>
      <c r="KF5" s="13">
        <f>SUM($AE$67:$AE$79)</f>
        <v/>
      </c>
      <c r="KH5" t="inlineStr">
        <is>
          <t>TÍTULOS PÚBLICOS</t>
        </is>
      </c>
      <c r="KI5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</row>
    <row r="6" ht="30" customHeight="1">
      <c r="A6" s="19">
        <f>SUM($JU$67:$JU$79)</f>
        <v/>
      </c>
      <c r="C6" s="19">
        <f>SUM($JV$67:$JV$79)</f>
        <v/>
      </c>
      <c r="E6" s="19">
        <f>SUM($JW$67:$JW$79)</f>
        <v/>
      </c>
      <c r="G6" s="19">
        <f>IFERROR(SUM($JU$67:$JU$79)/$Z$3,0)</f>
        <v/>
      </c>
      <c r="I6" s="20">
        <f>IFERROR("Dia "&amp;TEXT(INDEX($KD$2:$KD$32,MATCH(MAX($KE$2:$KE$32),$KE$2:$KE$32,0)),"dd/mm")&amp;"  -  "&amp;TEXT(MAX($KE$2:$KE$32),"R$ #,##0"),"—")</f>
        <v/>
      </c>
      <c r="K6" s="20">
        <f>IFERROR($B$14&amp;"  -  "&amp;TEXT($C$14,"R$ #,##0"),"—")</f>
        <v/>
      </c>
      <c r="KC6" s="13" t="n">
        <v>5</v>
      </c>
      <c r="KD6" s="14">
        <f>IF(5&lt;=$Z$3,DATE(Configurações!$B$3,4,5),"")</f>
        <v/>
      </c>
      <c r="KE6" s="13">
        <f>SUM($AS$67:$AS$79)</f>
        <v/>
      </c>
      <c r="KF6" s="13">
        <f>SUM($AN$67:$AN$79)</f>
        <v/>
      </c>
    </row>
    <row r="7">
      <c r="KC7" s="13" t="n">
        <v>6</v>
      </c>
      <c r="KD7" s="14">
        <f>IF(6&lt;=$Z$3,DATE(Configurações!$B$3,4,6),"")</f>
        <v/>
      </c>
      <c r="KE7" s="13">
        <f>SUM($BB$67:$BB$79)</f>
        <v/>
      </c>
      <c r="KF7" s="13">
        <f>SUM($AW$67:$AW$79)</f>
        <v/>
      </c>
    </row>
    <row r="8" ht="22" customHeight="1">
      <c r="A8" s="17" t="inlineStr">
        <is>
          <t>💰  TOTAIS POR PRODUTO</t>
        </is>
      </c>
      <c r="KC8" s="13" t="n">
        <v>7</v>
      </c>
      <c r="KD8" s="14">
        <f>IF(7&lt;=$Z$3,DATE(Configurações!$B$3,4,7),"")</f>
        <v/>
      </c>
      <c r="KE8" s="13">
        <f>SUM($BK$67:$BK$79)</f>
        <v/>
      </c>
      <c r="KF8" s="13">
        <f>SUM($BF$67:$BF$79)</f>
        <v/>
      </c>
    </row>
    <row r="9" ht="20" customHeight="1">
      <c r="A9" s="18" t="inlineStr">
        <is>
          <t>COE</t>
        </is>
      </c>
      <c r="D9" s="18" t="inlineStr">
        <is>
          <t>PREVIDÊNCIA</t>
        </is>
      </c>
      <c r="G9" s="18" t="inlineStr">
        <is>
          <t>CRÉDITO PRIVADO</t>
        </is>
      </c>
      <c r="J9" s="18" t="inlineStr">
        <is>
          <t>TÍTULOS PÚBLICOS</t>
        </is>
      </c>
      <c r="KC9" s="13" t="n">
        <v>8</v>
      </c>
      <c r="KD9" s="14">
        <f>IF(8&lt;=$Z$3,DATE(Configurações!$B$3,4,8),"")</f>
        <v/>
      </c>
      <c r="KE9" s="13">
        <f>SUM($BT$67:$BT$79)</f>
        <v/>
      </c>
      <c r="KF9" s="13">
        <f>SUM($BO$67:$BO$79)</f>
        <v/>
      </c>
    </row>
    <row r="10" ht="26" customHeight="1">
      <c r="A10" s="19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  <c r="D10" s="19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  <c r="G10" s="19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  <c r="J10" s="19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  <c r="KC10" s="13" t="n">
        <v>9</v>
      </c>
      <c r="KD10" s="14">
        <f>IF(9&lt;=$Z$3,DATE(Configurações!$B$3,4,9),"")</f>
        <v/>
      </c>
      <c r="KE10" s="13">
        <f>SUM($CC$67:$CC$79)</f>
        <v/>
      </c>
      <c r="KF10" s="13">
        <f>SUM($BX$67:$BX$79)</f>
        <v/>
      </c>
    </row>
    <row r="11">
      <c r="KC11" s="13" t="n">
        <v>10</v>
      </c>
      <c r="KD11" s="14">
        <f>IF(10&lt;=$Z$3,DATE(Configurações!$B$3,4,10),"")</f>
        <v/>
      </c>
      <c r="KE11" s="13">
        <f>SUM($CL$67:$CL$79)</f>
        <v/>
      </c>
      <c r="KF11" s="13">
        <f>SUM($CG$67:$CG$79)</f>
        <v/>
      </c>
    </row>
    <row r="12" ht="22" customHeight="1">
      <c r="A12" s="17" t="inlineStr">
        <is>
          <t>🏆  RANKING DE ASSESSORES (TOP 5 EM DESTAQUE)</t>
        </is>
      </c>
      <c r="KC12" s="13" t="n">
        <v>11</v>
      </c>
      <c r="KD12" s="14">
        <f>IF(11&lt;=$Z$3,DATE(Configurações!$B$3,4,11),"")</f>
        <v/>
      </c>
      <c r="KE12" s="13">
        <f>SUM($CU$67:$CU$79)</f>
        <v/>
      </c>
      <c r="KF12" s="13">
        <f>SUM($CP$67:$CP$79)</f>
        <v/>
      </c>
    </row>
    <row r="13" ht="22" customHeight="1">
      <c r="A13" s="5" t="inlineStr">
        <is>
          <t>Pos.</t>
        </is>
      </c>
      <c r="B13" s="5" t="inlineStr">
        <is>
          <t>Assessor</t>
        </is>
      </c>
      <c r="C13" s="5" t="inlineStr">
        <is>
          <t>Produção Total</t>
        </is>
      </c>
      <c r="D13" s="5" t="inlineStr">
        <is>
          <t>Captação Líquida</t>
        </is>
      </c>
      <c r="E13" s="5" t="inlineStr">
        <is>
          <t>Saldo Pulso Atual</t>
        </is>
      </c>
      <c r="F13" s="5" t="inlineStr">
        <is>
          <t>Média Diária</t>
        </is>
      </c>
      <c r="G13" s="5" t="inlineStr">
        <is>
          <t>Meta Mensal</t>
        </is>
      </c>
      <c r="H13" s="5" t="inlineStr">
        <is>
          <t>Status</t>
        </is>
      </c>
      <c r="KC13" s="13" t="n">
        <v>12</v>
      </c>
      <c r="KD13" s="14">
        <f>IF(12&lt;=$Z$3,DATE(Configurações!$B$3,4,12),"")</f>
        <v/>
      </c>
      <c r="KE13" s="13">
        <f>SUM($DD$67:$DD$79)</f>
        <v/>
      </c>
      <c r="KF13" s="13">
        <f>SUM($CY$67:$CY$79)</f>
        <v/>
      </c>
    </row>
    <row r="14" ht="18" customHeight="1">
      <c r="A14" s="21" t="n">
        <v>1</v>
      </c>
      <c r="B14" s="22">
        <f>INDEX($A$67:$A$79,MATCH(LARGE($KA$67:$KA$79,1),$KA$67:$KA$79,0))</f>
        <v/>
      </c>
      <c r="C14" s="23">
        <f>INDEX($JU$67:$JU$79,MATCH(LARGE($KA$67:$KA$79,1),$KA$67:$KA$79,0))</f>
        <v/>
      </c>
      <c r="D14" s="24">
        <f>INDEX($JV$67:$JV$79,MATCH(LARGE($KA$67:$KA$79,1),$KA$67:$KA$79,0))</f>
        <v/>
      </c>
      <c r="E14" s="23">
        <f>INDEX($JW$67:$JW$79,MATCH(LARGE($KA$67:$KA$79,1),$KA$67:$KA$79,0))</f>
        <v/>
      </c>
      <c r="F14" s="23">
        <f>INDEX($JX$67:$JX$79,MATCH(LARGE($KA$67:$KA$79,1),$KA$67:$KA$79,0))</f>
        <v/>
      </c>
      <c r="G14" s="23">
        <f>INDEX($JY$67:$JY$79,MATCH(LARGE($KA$67:$KA$79,1),$KA$67:$KA$79,0))</f>
        <v/>
      </c>
      <c r="H14" s="25">
        <f>IF(G14=0,"— Sem meta",IF(C14&gt;=G14,"✓ Meta atingida","Em andamento"))</f>
        <v/>
      </c>
      <c r="KC14" s="13" t="n">
        <v>13</v>
      </c>
      <c r="KD14" s="14">
        <f>IF(13&lt;=$Z$3,DATE(Configurações!$B$3,4,13),"")</f>
        <v/>
      </c>
      <c r="KE14" s="13">
        <f>SUM($DM$67:$DM$79)</f>
        <v/>
      </c>
      <c r="KF14" s="13">
        <f>SUM($DH$67:$DH$79)</f>
        <v/>
      </c>
    </row>
    <row r="15" ht="18" customHeight="1">
      <c r="A15" s="26" t="n">
        <v>2</v>
      </c>
      <c r="B15" s="27">
        <f>INDEX($A$67:$A$79,MATCH(LARGE($KA$67:$KA$79,2),$KA$67:$KA$79,0))</f>
        <v/>
      </c>
      <c r="C15" s="28">
        <f>INDEX($JU$67:$JU$79,MATCH(LARGE($KA$67:$KA$79,2),$KA$67:$KA$79,0))</f>
        <v/>
      </c>
      <c r="D15" s="29">
        <f>INDEX($JV$67:$JV$79,MATCH(LARGE($KA$67:$KA$79,2),$KA$67:$KA$79,0))</f>
        <v/>
      </c>
      <c r="E15" s="28">
        <f>INDEX($JW$67:$JW$79,MATCH(LARGE($KA$67:$KA$79,2),$KA$67:$KA$79,0))</f>
        <v/>
      </c>
      <c r="F15" s="28">
        <f>INDEX($JX$67:$JX$79,MATCH(LARGE($KA$67:$KA$79,2),$KA$67:$KA$79,0))</f>
        <v/>
      </c>
      <c r="G15" s="28">
        <f>INDEX($JY$67:$JY$79,MATCH(LARGE($KA$67:$KA$79,2),$KA$67:$KA$79,0))</f>
        <v/>
      </c>
      <c r="H15" s="30">
        <f>IF(G15=0,"— Sem meta",IF(C15&gt;=G15,"✓ Meta atingida","Em andamento"))</f>
        <v/>
      </c>
      <c r="KC15" s="13" t="n">
        <v>14</v>
      </c>
      <c r="KD15" s="14">
        <f>IF(14&lt;=$Z$3,DATE(Configurações!$B$3,4,14),"")</f>
        <v/>
      </c>
      <c r="KE15" s="13">
        <f>SUM($DV$67:$DV$79)</f>
        <v/>
      </c>
      <c r="KF15" s="13">
        <f>SUM($DQ$67:$DQ$79)</f>
        <v/>
      </c>
    </row>
    <row r="16" ht="18" customHeight="1">
      <c r="A16" s="31" t="n">
        <v>3</v>
      </c>
      <c r="B16" s="32">
        <f>INDEX($A$67:$A$79,MATCH(LARGE($KA$67:$KA$79,3),$KA$67:$KA$79,0))</f>
        <v/>
      </c>
      <c r="C16" s="33">
        <f>INDEX($JU$67:$JU$79,MATCH(LARGE($KA$67:$KA$79,3),$KA$67:$KA$79,0))</f>
        <v/>
      </c>
      <c r="D16" s="34">
        <f>INDEX($JV$67:$JV$79,MATCH(LARGE($KA$67:$KA$79,3),$KA$67:$KA$79,0))</f>
        <v/>
      </c>
      <c r="E16" s="33">
        <f>INDEX($JW$67:$JW$79,MATCH(LARGE($KA$67:$KA$79,3),$KA$67:$KA$79,0))</f>
        <v/>
      </c>
      <c r="F16" s="33">
        <f>INDEX($JX$67:$JX$79,MATCH(LARGE($KA$67:$KA$79,3),$KA$67:$KA$79,0))</f>
        <v/>
      </c>
      <c r="G16" s="33">
        <f>INDEX($JY$67:$JY$79,MATCH(LARGE($KA$67:$KA$79,3),$KA$67:$KA$79,0))</f>
        <v/>
      </c>
      <c r="H16" s="35">
        <f>IF(G16=0,"— Sem meta",IF(C16&gt;=G16,"✓ Meta atingida","Em andamento"))</f>
        <v/>
      </c>
      <c r="KC16" s="13" t="n">
        <v>15</v>
      </c>
      <c r="KD16" s="14">
        <f>IF(15&lt;=$Z$3,DATE(Configurações!$B$3,4,15),"")</f>
        <v/>
      </c>
      <c r="KE16" s="13">
        <f>SUM($EE$67:$EE$79)</f>
        <v/>
      </c>
      <c r="KF16" s="13">
        <f>SUM($DZ$67:$DZ$79)</f>
        <v/>
      </c>
    </row>
    <row r="17" ht="18" customHeight="1">
      <c r="A17" s="36" t="n">
        <v>4</v>
      </c>
      <c r="B17" s="37">
        <f>INDEX($A$67:$A$79,MATCH(LARGE($KA$67:$KA$79,4),$KA$67:$KA$79,0))</f>
        <v/>
      </c>
      <c r="C17" s="38">
        <f>INDEX($JU$67:$JU$79,MATCH(LARGE($KA$67:$KA$79,4),$KA$67:$KA$79,0))</f>
        <v/>
      </c>
      <c r="D17" s="39">
        <f>INDEX($JV$67:$JV$79,MATCH(LARGE($KA$67:$KA$79,4),$KA$67:$KA$79,0))</f>
        <v/>
      </c>
      <c r="E17" s="38">
        <f>INDEX($JW$67:$JW$79,MATCH(LARGE($KA$67:$KA$79,4),$KA$67:$KA$79,0))</f>
        <v/>
      </c>
      <c r="F17" s="38">
        <f>INDEX($JX$67:$JX$79,MATCH(LARGE($KA$67:$KA$79,4),$KA$67:$KA$79,0))</f>
        <v/>
      </c>
      <c r="G17" s="38">
        <f>INDEX($JY$67:$JY$79,MATCH(LARGE($KA$67:$KA$79,4),$KA$67:$KA$79,0))</f>
        <v/>
      </c>
      <c r="H17" s="40">
        <f>IF(G17=0,"— Sem meta",IF(C17&gt;=G17,"✓ Meta atingida","Em andamento"))</f>
        <v/>
      </c>
      <c r="KC17" s="13" t="n">
        <v>16</v>
      </c>
      <c r="KD17" s="14">
        <f>IF(16&lt;=$Z$3,DATE(Configurações!$B$3,4,16),"")</f>
        <v/>
      </c>
      <c r="KE17" s="13">
        <f>SUM($EN$67:$EN$79)</f>
        <v/>
      </c>
      <c r="KF17" s="13">
        <f>SUM($EI$67:$EI$79)</f>
        <v/>
      </c>
    </row>
    <row r="18" ht="18" customHeight="1">
      <c r="A18" s="36" t="n">
        <v>5</v>
      </c>
      <c r="B18" s="37">
        <f>INDEX($A$67:$A$79,MATCH(LARGE($KA$67:$KA$79,5),$KA$67:$KA$79,0))</f>
        <v/>
      </c>
      <c r="C18" s="38">
        <f>INDEX($JU$67:$JU$79,MATCH(LARGE($KA$67:$KA$79,5),$KA$67:$KA$79,0))</f>
        <v/>
      </c>
      <c r="D18" s="39">
        <f>INDEX($JV$67:$JV$79,MATCH(LARGE($KA$67:$KA$79,5),$KA$67:$KA$79,0))</f>
        <v/>
      </c>
      <c r="E18" s="38">
        <f>INDEX($JW$67:$JW$79,MATCH(LARGE($KA$67:$KA$79,5),$KA$67:$KA$79,0))</f>
        <v/>
      </c>
      <c r="F18" s="38">
        <f>INDEX($JX$67:$JX$79,MATCH(LARGE($KA$67:$KA$79,5),$KA$67:$KA$79,0))</f>
        <v/>
      </c>
      <c r="G18" s="38">
        <f>INDEX($JY$67:$JY$79,MATCH(LARGE($KA$67:$KA$79,5),$KA$67:$KA$79,0))</f>
        <v/>
      </c>
      <c r="H18" s="40">
        <f>IF(G18=0,"— Sem meta",IF(C18&gt;=G18,"✓ Meta atingida","Em andamento"))</f>
        <v/>
      </c>
      <c r="KC18" s="13" t="n">
        <v>17</v>
      </c>
      <c r="KD18" s="14">
        <f>IF(17&lt;=$Z$3,DATE(Configurações!$B$3,4,17),"")</f>
        <v/>
      </c>
      <c r="KE18" s="13">
        <f>SUM($EW$67:$EW$79)</f>
        <v/>
      </c>
      <c r="KF18" s="13">
        <f>SUM($ER$67:$ER$79)</f>
        <v/>
      </c>
    </row>
    <row r="19" ht="18" customHeight="1">
      <c r="A19" s="41" t="n">
        <v>6</v>
      </c>
      <c r="B19" s="42">
        <f>INDEX($A$67:$A$79,MATCH(LARGE($KA$67:$KA$79,6),$KA$67:$KA$79,0))</f>
        <v/>
      </c>
      <c r="C19" s="43">
        <f>INDEX($JU$67:$JU$79,MATCH(LARGE($KA$67:$KA$79,6),$KA$67:$KA$79,0))</f>
        <v/>
      </c>
      <c r="D19" s="44">
        <f>INDEX($JV$67:$JV$79,MATCH(LARGE($KA$67:$KA$79,6),$KA$67:$KA$79,0))</f>
        <v/>
      </c>
      <c r="E19" s="43">
        <f>INDEX($JW$67:$JW$79,MATCH(LARGE($KA$67:$KA$79,6),$KA$67:$KA$79,0))</f>
        <v/>
      </c>
      <c r="F19" s="43">
        <f>INDEX($JX$67:$JX$79,MATCH(LARGE($KA$67:$KA$79,6),$KA$67:$KA$79,0))</f>
        <v/>
      </c>
      <c r="G19" s="43">
        <f>INDEX($JY$67:$JY$79,MATCH(LARGE($KA$67:$KA$79,6),$KA$67:$KA$79,0))</f>
        <v/>
      </c>
      <c r="H19" s="45">
        <f>IF(G19=0,"— Sem meta",IF(C19&gt;=G19,"✓ Meta atingida","Em andamento"))</f>
        <v/>
      </c>
      <c r="KC19" s="13" t="n">
        <v>18</v>
      </c>
      <c r="KD19" s="14">
        <f>IF(18&lt;=$Z$3,DATE(Configurações!$B$3,4,18),"")</f>
        <v/>
      </c>
      <c r="KE19" s="13">
        <f>SUM($FF$67:$FF$79)</f>
        <v/>
      </c>
      <c r="KF19" s="13">
        <f>SUM($FA$67:$FA$79)</f>
        <v/>
      </c>
    </row>
    <row r="20" ht="18" customHeight="1">
      <c r="A20" s="46" t="n">
        <v>7</v>
      </c>
      <c r="B20" s="47">
        <f>INDEX($A$67:$A$79,MATCH(LARGE($KA$67:$KA$79,7),$KA$67:$KA$79,0))</f>
        <v/>
      </c>
      <c r="C20" s="48">
        <f>INDEX($JU$67:$JU$79,MATCH(LARGE($KA$67:$KA$79,7),$KA$67:$KA$79,0))</f>
        <v/>
      </c>
      <c r="D20" s="49">
        <f>INDEX($JV$67:$JV$79,MATCH(LARGE($KA$67:$KA$79,7),$KA$67:$KA$79,0))</f>
        <v/>
      </c>
      <c r="E20" s="48">
        <f>INDEX($JW$67:$JW$79,MATCH(LARGE($KA$67:$KA$79,7),$KA$67:$KA$79,0))</f>
        <v/>
      </c>
      <c r="F20" s="48">
        <f>INDEX($JX$67:$JX$79,MATCH(LARGE($KA$67:$KA$79,7),$KA$67:$KA$79,0))</f>
        <v/>
      </c>
      <c r="G20" s="48">
        <f>INDEX($JY$67:$JY$79,MATCH(LARGE($KA$67:$KA$79,7),$KA$67:$KA$79,0))</f>
        <v/>
      </c>
      <c r="H20" s="50">
        <f>IF(G20=0,"— Sem meta",IF(C20&gt;=G20,"✓ Meta atingida","Em andamento"))</f>
        <v/>
      </c>
      <c r="KC20" s="13" t="n">
        <v>19</v>
      </c>
      <c r="KD20" s="14">
        <f>IF(19&lt;=$Z$3,DATE(Configurações!$B$3,4,19),"")</f>
        <v/>
      </c>
      <c r="KE20" s="13">
        <f>SUM($FO$67:$FO$79)</f>
        <v/>
      </c>
      <c r="KF20" s="13">
        <f>SUM($FJ$67:$FJ$79)</f>
        <v/>
      </c>
    </row>
    <row r="21" ht="18" customHeight="1">
      <c r="A21" s="41" t="n">
        <v>8</v>
      </c>
      <c r="B21" s="42">
        <f>INDEX($A$67:$A$79,MATCH(LARGE($KA$67:$KA$79,8),$KA$67:$KA$79,0))</f>
        <v/>
      </c>
      <c r="C21" s="43">
        <f>INDEX($JU$67:$JU$79,MATCH(LARGE($KA$67:$KA$79,8),$KA$67:$KA$79,0))</f>
        <v/>
      </c>
      <c r="D21" s="44">
        <f>INDEX($JV$67:$JV$79,MATCH(LARGE($KA$67:$KA$79,8),$KA$67:$KA$79,0))</f>
        <v/>
      </c>
      <c r="E21" s="43">
        <f>INDEX($JW$67:$JW$79,MATCH(LARGE($KA$67:$KA$79,8),$KA$67:$KA$79,0))</f>
        <v/>
      </c>
      <c r="F21" s="43">
        <f>INDEX($JX$67:$JX$79,MATCH(LARGE($KA$67:$KA$79,8),$KA$67:$KA$79,0))</f>
        <v/>
      </c>
      <c r="G21" s="43">
        <f>INDEX($JY$67:$JY$79,MATCH(LARGE($KA$67:$KA$79,8),$KA$67:$KA$79,0))</f>
        <v/>
      </c>
      <c r="H21" s="45">
        <f>IF(G21=0,"— Sem meta",IF(C21&gt;=G21,"✓ Meta atingida","Em andamento"))</f>
        <v/>
      </c>
      <c r="KC21" s="13" t="n">
        <v>20</v>
      </c>
      <c r="KD21" s="14">
        <f>IF(20&lt;=$Z$3,DATE(Configurações!$B$3,4,20),"")</f>
        <v/>
      </c>
      <c r="KE21" s="13">
        <f>SUM($FX$67:$FX$79)</f>
        <v/>
      </c>
      <c r="KF21" s="13">
        <f>SUM($FS$67:$FS$79)</f>
        <v/>
      </c>
    </row>
    <row r="22" ht="18" customHeight="1">
      <c r="A22" s="46" t="n">
        <v>9</v>
      </c>
      <c r="B22" s="47">
        <f>INDEX($A$67:$A$79,MATCH(LARGE($KA$67:$KA$79,9),$KA$67:$KA$79,0))</f>
        <v/>
      </c>
      <c r="C22" s="48">
        <f>INDEX($JU$67:$JU$79,MATCH(LARGE($KA$67:$KA$79,9),$KA$67:$KA$79,0))</f>
        <v/>
      </c>
      <c r="D22" s="49">
        <f>INDEX($JV$67:$JV$79,MATCH(LARGE($KA$67:$KA$79,9),$KA$67:$KA$79,0))</f>
        <v/>
      </c>
      <c r="E22" s="48">
        <f>INDEX($JW$67:$JW$79,MATCH(LARGE($KA$67:$KA$79,9),$KA$67:$KA$79,0))</f>
        <v/>
      </c>
      <c r="F22" s="48">
        <f>INDEX($JX$67:$JX$79,MATCH(LARGE($KA$67:$KA$79,9),$KA$67:$KA$79,0))</f>
        <v/>
      </c>
      <c r="G22" s="48">
        <f>INDEX($JY$67:$JY$79,MATCH(LARGE($KA$67:$KA$79,9),$KA$67:$KA$79,0))</f>
        <v/>
      </c>
      <c r="H22" s="50">
        <f>IF(G22=0,"— Sem meta",IF(C22&gt;=G22,"✓ Meta atingida","Em andamento"))</f>
        <v/>
      </c>
      <c r="KC22" s="13" t="n">
        <v>21</v>
      </c>
      <c r="KD22" s="14">
        <f>IF(21&lt;=$Z$3,DATE(Configurações!$B$3,4,21),"")</f>
        <v/>
      </c>
      <c r="KE22" s="13">
        <f>SUM($GG$67:$GG$79)</f>
        <v/>
      </c>
      <c r="KF22" s="13">
        <f>SUM($GB$67:$GB$79)</f>
        <v/>
      </c>
    </row>
    <row r="23" ht="18" customHeight="1">
      <c r="A23" s="41" t="n">
        <v>10</v>
      </c>
      <c r="B23" s="42">
        <f>INDEX($A$67:$A$79,MATCH(LARGE($KA$67:$KA$79,10),$KA$67:$KA$79,0))</f>
        <v/>
      </c>
      <c r="C23" s="43">
        <f>INDEX($JU$67:$JU$79,MATCH(LARGE($KA$67:$KA$79,10),$KA$67:$KA$79,0))</f>
        <v/>
      </c>
      <c r="D23" s="44">
        <f>INDEX($JV$67:$JV$79,MATCH(LARGE($KA$67:$KA$79,10),$KA$67:$KA$79,0))</f>
        <v/>
      </c>
      <c r="E23" s="43">
        <f>INDEX($JW$67:$JW$79,MATCH(LARGE($KA$67:$KA$79,10),$KA$67:$KA$79,0))</f>
        <v/>
      </c>
      <c r="F23" s="43">
        <f>INDEX($JX$67:$JX$79,MATCH(LARGE($KA$67:$KA$79,10),$KA$67:$KA$79,0))</f>
        <v/>
      </c>
      <c r="G23" s="43">
        <f>INDEX($JY$67:$JY$79,MATCH(LARGE($KA$67:$KA$79,10),$KA$67:$KA$79,0))</f>
        <v/>
      </c>
      <c r="H23" s="45">
        <f>IF(G23=0,"— Sem meta",IF(C23&gt;=G23,"✓ Meta atingida","Em andamento"))</f>
        <v/>
      </c>
      <c r="KC23" s="13" t="n">
        <v>22</v>
      </c>
      <c r="KD23" s="14">
        <f>IF(22&lt;=$Z$3,DATE(Configurações!$B$3,4,22),"")</f>
        <v/>
      </c>
      <c r="KE23" s="13">
        <f>SUM($GP$67:$GP$79)</f>
        <v/>
      </c>
      <c r="KF23" s="13">
        <f>SUM($GK$67:$GK$79)</f>
        <v/>
      </c>
    </row>
    <row r="24" ht="18" customHeight="1">
      <c r="A24" s="46" t="n">
        <v>11</v>
      </c>
      <c r="B24" s="47">
        <f>INDEX($A$67:$A$79,MATCH(LARGE($KA$67:$KA$79,11),$KA$67:$KA$79,0))</f>
        <v/>
      </c>
      <c r="C24" s="48">
        <f>INDEX($JU$67:$JU$79,MATCH(LARGE($KA$67:$KA$79,11),$KA$67:$KA$79,0))</f>
        <v/>
      </c>
      <c r="D24" s="49">
        <f>INDEX($JV$67:$JV$79,MATCH(LARGE($KA$67:$KA$79,11),$KA$67:$KA$79,0))</f>
        <v/>
      </c>
      <c r="E24" s="48">
        <f>INDEX($JW$67:$JW$79,MATCH(LARGE($KA$67:$KA$79,11),$KA$67:$KA$79,0))</f>
        <v/>
      </c>
      <c r="F24" s="48">
        <f>INDEX($JX$67:$JX$79,MATCH(LARGE($KA$67:$KA$79,11),$KA$67:$KA$79,0))</f>
        <v/>
      </c>
      <c r="G24" s="48">
        <f>INDEX($JY$67:$JY$79,MATCH(LARGE($KA$67:$KA$79,11),$KA$67:$KA$79,0))</f>
        <v/>
      </c>
      <c r="H24" s="50">
        <f>IF(G24=0,"— Sem meta",IF(C24&gt;=G24,"✓ Meta atingida","Em andamento"))</f>
        <v/>
      </c>
      <c r="KC24" s="13" t="n">
        <v>23</v>
      </c>
      <c r="KD24" s="14">
        <f>IF(23&lt;=$Z$3,DATE(Configurações!$B$3,4,23),"")</f>
        <v/>
      </c>
      <c r="KE24" s="13">
        <f>SUM($GY$67:$GY$79)</f>
        <v/>
      </c>
      <c r="KF24" s="13">
        <f>SUM($GT$67:$GT$79)</f>
        <v/>
      </c>
    </row>
    <row r="25" ht="18" customHeight="1">
      <c r="A25" s="41" t="n">
        <v>12</v>
      </c>
      <c r="B25" s="42">
        <f>INDEX($A$67:$A$79,MATCH(LARGE($KA$67:$KA$79,12),$KA$67:$KA$79,0))</f>
        <v/>
      </c>
      <c r="C25" s="43">
        <f>INDEX($JU$67:$JU$79,MATCH(LARGE($KA$67:$KA$79,12),$KA$67:$KA$79,0))</f>
        <v/>
      </c>
      <c r="D25" s="44">
        <f>INDEX($JV$67:$JV$79,MATCH(LARGE($KA$67:$KA$79,12),$KA$67:$KA$79,0))</f>
        <v/>
      </c>
      <c r="E25" s="43">
        <f>INDEX($JW$67:$JW$79,MATCH(LARGE($KA$67:$KA$79,12),$KA$67:$KA$79,0))</f>
        <v/>
      </c>
      <c r="F25" s="43">
        <f>INDEX($JX$67:$JX$79,MATCH(LARGE($KA$67:$KA$79,12),$KA$67:$KA$79,0))</f>
        <v/>
      </c>
      <c r="G25" s="43">
        <f>INDEX($JY$67:$JY$79,MATCH(LARGE($KA$67:$KA$79,12),$KA$67:$KA$79,0))</f>
        <v/>
      </c>
      <c r="H25" s="45">
        <f>IF(G25=0,"— Sem meta",IF(C25&gt;=G25,"✓ Meta atingida","Em andamento"))</f>
        <v/>
      </c>
      <c r="KC25" s="13" t="n">
        <v>24</v>
      </c>
      <c r="KD25" s="14">
        <f>IF(24&lt;=$Z$3,DATE(Configurações!$B$3,4,24),"")</f>
        <v/>
      </c>
      <c r="KE25" s="13">
        <f>SUM($HH$67:$HH$79)</f>
        <v/>
      </c>
      <c r="KF25" s="13">
        <f>SUM($HC$67:$HC$79)</f>
        <v/>
      </c>
    </row>
    <row r="26" ht="18" customHeight="1">
      <c r="A26" s="46" t="n">
        <v>13</v>
      </c>
      <c r="B26" s="47">
        <f>INDEX($A$67:$A$79,MATCH(LARGE($KA$67:$KA$79,13),$KA$67:$KA$79,0))</f>
        <v/>
      </c>
      <c r="C26" s="48">
        <f>INDEX($JU$67:$JU$79,MATCH(LARGE($KA$67:$KA$79,13),$KA$67:$KA$79,0))</f>
        <v/>
      </c>
      <c r="D26" s="49">
        <f>INDEX($JV$67:$JV$79,MATCH(LARGE($KA$67:$KA$79,13),$KA$67:$KA$79,0))</f>
        <v/>
      </c>
      <c r="E26" s="48">
        <f>INDEX($JW$67:$JW$79,MATCH(LARGE($KA$67:$KA$79,13),$KA$67:$KA$79,0))</f>
        <v/>
      </c>
      <c r="F26" s="48">
        <f>INDEX($JX$67:$JX$79,MATCH(LARGE($KA$67:$KA$79,13),$KA$67:$KA$79,0))</f>
        <v/>
      </c>
      <c r="G26" s="48">
        <f>INDEX($JY$67:$JY$79,MATCH(LARGE($KA$67:$KA$79,13),$KA$67:$KA$79,0))</f>
        <v/>
      </c>
      <c r="H26" s="50">
        <f>IF(G26=0,"— Sem meta",IF(C26&gt;=G26,"✓ Meta atingida","Em andamento"))</f>
        <v/>
      </c>
      <c r="KC26" s="13" t="n">
        <v>25</v>
      </c>
      <c r="KD26" s="14">
        <f>IF(25&lt;=$Z$3,DATE(Configurações!$B$3,4,25),"")</f>
        <v/>
      </c>
      <c r="KE26" s="13">
        <f>SUM($HQ$67:$HQ$79)</f>
        <v/>
      </c>
      <c r="KF26" s="13">
        <f>SUM($HL$67:$HL$79)</f>
        <v/>
      </c>
    </row>
    <row r="27">
      <c r="KC27" s="13" t="n">
        <v>26</v>
      </c>
      <c r="KD27" s="14">
        <f>IF(26&lt;=$Z$3,DATE(Configurações!$B$3,4,26),"")</f>
        <v/>
      </c>
      <c r="KE27" s="13">
        <f>SUM($HZ$67:$HZ$79)</f>
        <v/>
      </c>
      <c r="KF27" s="13">
        <f>SUM($HU$67:$HU$79)</f>
        <v/>
      </c>
    </row>
    <row r="28">
      <c r="KC28" s="13" t="n">
        <v>27</v>
      </c>
      <c r="KD28" s="14">
        <f>IF(27&lt;=$Z$3,DATE(Configurações!$B$3,4,27),"")</f>
        <v/>
      </c>
      <c r="KE28" s="13">
        <f>SUM($II$67:$II$79)</f>
        <v/>
      </c>
      <c r="KF28" s="13">
        <f>SUM($ID$67:$ID$79)</f>
        <v/>
      </c>
    </row>
    <row r="29">
      <c r="KC29" s="13" t="n">
        <v>28</v>
      </c>
      <c r="KD29" s="14">
        <f>IF(28&lt;=$Z$3,DATE(Configurações!$B$3,4,28),"")</f>
        <v/>
      </c>
      <c r="KE29" s="13">
        <f>SUM($IR$67:$IR$79)</f>
        <v/>
      </c>
      <c r="KF29" s="13">
        <f>SUM($IM$67:$IM$79)</f>
        <v/>
      </c>
    </row>
    <row r="30">
      <c r="KC30" s="13" t="n">
        <v>29</v>
      </c>
      <c r="KD30" s="14">
        <f>IF(29&lt;=$Z$3,DATE(Configurações!$B$3,4,29),"")</f>
        <v/>
      </c>
      <c r="KE30" s="13">
        <f>SUM($JA$67:$JA$79)</f>
        <v/>
      </c>
      <c r="KF30" s="13">
        <f>SUM($IV$67:$IV$79)</f>
        <v/>
      </c>
    </row>
    <row r="31">
      <c r="KC31" s="13" t="n">
        <v>30</v>
      </c>
      <c r="KD31" s="14">
        <f>IF(30&lt;=$Z$3,DATE(Configurações!$B$3,4,30),"")</f>
        <v/>
      </c>
      <c r="KE31" s="13">
        <f>SUM($JJ$67:$JJ$79)</f>
        <v/>
      </c>
      <c r="KF31" s="13">
        <f>SUM($JE$67:$JE$79)</f>
        <v/>
      </c>
    </row>
    <row r="32">
      <c r="KC32" s="13" t="n">
        <v>31</v>
      </c>
      <c r="KD32" s="14">
        <f>IF(31&lt;=$Z$3,DATE(Configurações!$B$3,4,31),"")</f>
        <v/>
      </c>
      <c r="KE32" s="13">
        <f>SUM($JS$67:$JS$79)</f>
        <v/>
      </c>
      <c r="KF32" s="13">
        <f>SUM($JN$67:$JN$79)</f>
        <v/>
      </c>
    </row>
    <row r="64" ht="22" customHeight="1">
      <c r="A64" s="51" t="inlineStr">
        <is>
          <t>📋  LANÇAMENTOS DIÁRIOS POR ASSESSOR (role para a direita)</t>
        </is>
      </c>
    </row>
    <row r="65" ht="20" customHeight="1">
      <c r="A65" s="52" t="inlineStr">
        <is>
          <t>Assessor</t>
        </is>
      </c>
      <c r="B65" s="18">
        <f>"Dia 1 — "&amp;IF(1&lt;=$Z$3,TEXT(DATE(Configurações!$B$3,4,1),"dd/mm")&amp;" ("&amp;CHOOSE(WEEKDAY(DATE(Configurações!$B$3,4,1)),"Dom","Seg","Ter","Qua","Qui","Sex","Sáb")&amp;")","—")</f>
        <v/>
      </c>
      <c r="K65" s="18">
        <f>"Dia 2 — "&amp;IF(2&lt;=$Z$3,TEXT(DATE(Configurações!$B$3,4,2),"dd/mm")&amp;" ("&amp;CHOOSE(WEEKDAY(DATE(Configurações!$B$3,4,2)),"Dom","Seg","Ter","Qua","Qui","Sex","Sáb")&amp;")","—")</f>
        <v/>
      </c>
      <c r="T65" s="18">
        <f>"Dia 3 — "&amp;IF(3&lt;=$Z$3,TEXT(DATE(Configurações!$B$3,4,3),"dd/mm")&amp;" ("&amp;CHOOSE(WEEKDAY(DATE(Configurações!$B$3,4,3)),"Dom","Seg","Ter","Qua","Qui","Sex","Sáb")&amp;")","—")</f>
        <v/>
      </c>
      <c r="AC65" s="18">
        <f>"Dia 4 — "&amp;IF(4&lt;=$Z$3,TEXT(DATE(Configurações!$B$3,4,4),"dd/mm")&amp;" ("&amp;CHOOSE(WEEKDAY(DATE(Configurações!$B$3,4,4)),"Dom","Seg","Ter","Qua","Qui","Sex","Sáb")&amp;")","—")</f>
        <v/>
      </c>
      <c r="AL65" s="18">
        <f>"Dia 5 — "&amp;IF(5&lt;=$Z$3,TEXT(DATE(Configurações!$B$3,4,5),"dd/mm")&amp;" ("&amp;CHOOSE(WEEKDAY(DATE(Configurações!$B$3,4,5)),"Dom","Seg","Ter","Qua","Qui","Sex","Sáb")&amp;")","—")</f>
        <v/>
      </c>
      <c r="AU65" s="18">
        <f>"Dia 6 — "&amp;IF(6&lt;=$Z$3,TEXT(DATE(Configurações!$B$3,4,6),"dd/mm")&amp;" ("&amp;CHOOSE(WEEKDAY(DATE(Configurações!$B$3,4,6)),"Dom","Seg","Ter","Qua","Qui","Sex","Sáb")&amp;")","—")</f>
        <v/>
      </c>
      <c r="BD65" s="18">
        <f>"Dia 7 — "&amp;IF(7&lt;=$Z$3,TEXT(DATE(Configurações!$B$3,4,7),"dd/mm")&amp;" ("&amp;CHOOSE(WEEKDAY(DATE(Configurações!$B$3,4,7)),"Dom","Seg","Ter","Qua","Qui","Sex","Sáb")&amp;")","—")</f>
        <v/>
      </c>
      <c r="BM65" s="18">
        <f>"Dia 8 — "&amp;IF(8&lt;=$Z$3,TEXT(DATE(Configurações!$B$3,4,8),"dd/mm")&amp;" ("&amp;CHOOSE(WEEKDAY(DATE(Configurações!$B$3,4,8)),"Dom","Seg","Ter","Qua","Qui","Sex","Sáb")&amp;")","—")</f>
        <v/>
      </c>
      <c r="BV65" s="18">
        <f>"Dia 9 — "&amp;IF(9&lt;=$Z$3,TEXT(DATE(Configurações!$B$3,4,9),"dd/mm")&amp;" ("&amp;CHOOSE(WEEKDAY(DATE(Configurações!$B$3,4,9)),"Dom","Seg","Ter","Qua","Qui","Sex","Sáb")&amp;")","—")</f>
        <v/>
      </c>
      <c r="CE65" s="18">
        <f>"Dia 10 — "&amp;IF(10&lt;=$Z$3,TEXT(DATE(Configurações!$B$3,4,10),"dd/mm")&amp;" ("&amp;CHOOSE(WEEKDAY(DATE(Configurações!$B$3,4,10)),"Dom","Seg","Ter","Qua","Qui","Sex","Sáb")&amp;")","—")</f>
        <v/>
      </c>
      <c r="CN65" s="18">
        <f>"Dia 11 — "&amp;IF(11&lt;=$Z$3,TEXT(DATE(Configurações!$B$3,4,11),"dd/mm")&amp;" ("&amp;CHOOSE(WEEKDAY(DATE(Configurações!$B$3,4,11)),"Dom","Seg","Ter","Qua","Qui","Sex","Sáb")&amp;")","—")</f>
        <v/>
      </c>
      <c r="CW65" s="18">
        <f>"Dia 12 — "&amp;IF(12&lt;=$Z$3,TEXT(DATE(Configurações!$B$3,4,12),"dd/mm")&amp;" ("&amp;CHOOSE(WEEKDAY(DATE(Configurações!$B$3,4,12)),"Dom","Seg","Ter","Qua","Qui","Sex","Sáb")&amp;")","—")</f>
        <v/>
      </c>
      <c r="DF65" s="18">
        <f>"Dia 13 — "&amp;IF(13&lt;=$Z$3,TEXT(DATE(Configurações!$B$3,4,13),"dd/mm")&amp;" ("&amp;CHOOSE(WEEKDAY(DATE(Configurações!$B$3,4,13)),"Dom","Seg","Ter","Qua","Qui","Sex","Sáb")&amp;")","—")</f>
        <v/>
      </c>
      <c r="DO65" s="18">
        <f>"Dia 14 — "&amp;IF(14&lt;=$Z$3,TEXT(DATE(Configurações!$B$3,4,14),"dd/mm")&amp;" ("&amp;CHOOSE(WEEKDAY(DATE(Configurações!$B$3,4,14)),"Dom","Seg","Ter","Qua","Qui","Sex","Sáb")&amp;")","—")</f>
        <v/>
      </c>
      <c r="DX65" s="18">
        <f>"Dia 15 — "&amp;IF(15&lt;=$Z$3,TEXT(DATE(Configurações!$B$3,4,15),"dd/mm")&amp;" ("&amp;CHOOSE(WEEKDAY(DATE(Configurações!$B$3,4,15)),"Dom","Seg","Ter","Qua","Qui","Sex","Sáb")&amp;")","—")</f>
        <v/>
      </c>
      <c r="EG65" s="18">
        <f>"Dia 16 — "&amp;IF(16&lt;=$Z$3,TEXT(DATE(Configurações!$B$3,4,16),"dd/mm")&amp;" ("&amp;CHOOSE(WEEKDAY(DATE(Configurações!$B$3,4,16)),"Dom","Seg","Ter","Qua","Qui","Sex","Sáb")&amp;")","—")</f>
        <v/>
      </c>
      <c r="EP65" s="18">
        <f>"Dia 17 — "&amp;IF(17&lt;=$Z$3,TEXT(DATE(Configurações!$B$3,4,17),"dd/mm")&amp;" ("&amp;CHOOSE(WEEKDAY(DATE(Configurações!$B$3,4,17)),"Dom","Seg","Ter","Qua","Qui","Sex","Sáb")&amp;")","—")</f>
        <v/>
      </c>
      <c r="EY65" s="18">
        <f>"Dia 18 — "&amp;IF(18&lt;=$Z$3,TEXT(DATE(Configurações!$B$3,4,18),"dd/mm")&amp;" ("&amp;CHOOSE(WEEKDAY(DATE(Configurações!$B$3,4,18)),"Dom","Seg","Ter","Qua","Qui","Sex","Sáb")&amp;")","—")</f>
        <v/>
      </c>
      <c r="FH65" s="18">
        <f>"Dia 19 — "&amp;IF(19&lt;=$Z$3,TEXT(DATE(Configurações!$B$3,4,19),"dd/mm")&amp;" ("&amp;CHOOSE(WEEKDAY(DATE(Configurações!$B$3,4,19)),"Dom","Seg","Ter","Qua","Qui","Sex","Sáb")&amp;")","—")</f>
        <v/>
      </c>
      <c r="FQ65" s="18">
        <f>"Dia 20 — "&amp;IF(20&lt;=$Z$3,TEXT(DATE(Configurações!$B$3,4,20),"dd/mm")&amp;" ("&amp;CHOOSE(WEEKDAY(DATE(Configurações!$B$3,4,20)),"Dom","Seg","Ter","Qua","Qui","Sex","Sáb")&amp;")","—")</f>
        <v/>
      </c>
      <c r="FZ65" s="18">
        <f>"Dia 21 — "&amp;IF(21&lt;=$Z$3,TEXT(DATE(Configurações!$B$3,4,21),"dd/mm")&amp;" ("&amp;CHOOSE(WEEKDAY(DATE(Configurações!$B$3,4,21)),"Dom","Seg","Ter","Qua","Qui","Sex","Sáb")&amp;")","—")</f>
        <v/>
      </c>
      <c r="GI65" s="18">
        <f>"Dia 22 — "&amp;IF(22&lt;=$Z$3,TEXT(DATE(Configurações!$B$3,4,22),"dd/mm")&amp;" ("&amp;CHOOSE(WEEKDAY(DATE(Configurações!$B$3,4,22)),"Dom","Seg","Ter","Qua","Qui","Sex","Sáb")&amp;")","—")</f>
        <v/>
      </c>
      <c r="GR65" s="18">
        <f>"Dia 23 — "&amp;IF(23&lt;=$Z$3,TEXT(DATE(Configurações!$B$3,4,23),"dd/mm")&amp;" ("&amp;CHOOSE(WEEKDAY(DATE(Configurações!$B$3,4,23)),"Dom","Seg","Ter","Qua","Qui","Sex","Sáb")&amp;")","—")</f>
        <v/>
      </c>
      <c r="HA65" s="18">
        <f>"Dia 24 — "&amp;IF(24&lt;=$Z$3,TEXT(DATE(Configurações!$B$3,4,24),"dd/mm")&amp;" ("&amp;CHOOSE(WEEKDAY(DATE(Configurações!$B$3,4,24)),"Dom","Seg","Ter","Qua","Qui","Sex","Sáb")&amp;")","—")</f>
        <v/>
      </c>
      <c r="HJ65" s="18">
        <f>"Dia 25 — "&amp;IF(25&lt;=$Z$3,TEXT(DATE(Configurações!$B$3,4,25),"dd/mm")&amp;" ("&amp;CHOOSE(WEEKDAY(DATE(Configurações!$B$3,4,25)),"Dom","Seg","Ter","Qua","Qui","Sex","Sáb")&amp;")","—")</f>
        <v/>
      </c>
      <c r="HS65" s="18">
        <f>"Dia 26 — "&amp;IF(26&lt;=$Z$3,TEXT(DATE(Configurações!$B$3,4,26),"dd/mm")&amp;" ("&amp;CHOOSE(WEEKDAY(DATE(Configurações!$B$3,4,26)),"Dom","Seg","Ter","Qua","Qui","Sex","Sáb")&amp;")","—")</f>
        <v/>
      </c>
      <c r="IB65" s="18">
        <f>"Dia 27 — "&amp;IF(27&lt;=$Z$3,TEXT(DATE(Configurações!$B$3,4,27),"dd/mm")&amp;" ("&amp;CHOOSE(WEEKDAY(DATE(Configurações!$B$3,4,27)),"Dom","Seg","Ter","Qua","Qui","Sex","Sáb")&amp;")","—")</f>
        <v/>
      </c>
      <c r="IK65" s="18">
        <f>"Dia 28 — "&amp;IF(28&lt;=$Z$3,TEXT(DATE(Configurações!$B$3,4,28),"dd/mm")&amp;" ("&amp;CHOOSE(WEEKDAY(DATE(Configurações!$B$3,4,28)),"Dom","Seg","Ter","Qua","Qui","Sex","Sáb")&amp;")","—")</f>
        <v/>
      </c>
      <c r="IT65" s="18">
        <f>"Dia 29 — "&amp;IF(29&lt;=$Z$3,TEXT(DATE(Configurações!$B$3,4,29),"dd/mm")&amp;" ("&amp;CHOOSE(WEEKDAY(DATE(Configurações!$B$3,4,29)),"Dom","Seg","Ter","Qua","Qui","Sex","Sáb")&amp;")","—")</f>
        <v/>
      </c>
      <c r="JC65" s="18">
        <f>"Dia 30 — "&amp;IF(30&lt;=$Z$3,TEXT(DATE(Configurações!$B$3,4,30),"dd/mm")&amp;" ("&amp;CHOOSE(WEEKDAY(DATE(Configurações!$B$3,4,30)),"Dom","Seg","Ter","Qua","Qui","Sex","Sáb")&amp;")","—")</f>
        <v/>
      </c>
      <c r="JL65" s="18">
        <f>"Dia 31 — "&amp;IF(31&lt;=$Z$3,TEXT(DATE(Configurações!$B$3,4,31),"dd/mm")&amp;" ("&amp;CHOOSE(WEEKDAY(DATE(Configurações!$B$3,4,31)),"Dom","Seg","Ter","Qua","Qui","Sex","Sáb")&amp;")","—")</f>
        <v/>
      </c>
      <c r="JU65" s="53" t="inlineStr">
        <is>
          <t>Produção Total (Mês)</t>
        </is>
      </c>
      <c r="JV65" s="53" t="inlineStr">
        <is>
          <t>Captação Líquida (Mês)</t>
        </is>
      </c>
      <c r="JW65" s="53" t="inlineStr">
        <is>
          <t>Saldo Pulso Atual</t>
        </is>
      </c>
      <c r="JX65" s="53" t="inlineStr">
        <is>
          <t>Média Diária</t>
        </is>
      </c>
      <c r="JY65" s="53" t="inlineStr">
        <is>
          <t>Meta Mensal</t>
        </is>
      </c>
      <c r="JZ65" s="53" t="inlineStr">
        <is>
          <t>Status Meta</t>
        </is>
      </c>
      <c r="KA65" s="53" t="inlineStr"/>
    </row>
    <row r="66" ht="26" customHeight="1">
      <c r="B66" s="54" t="inlineStr">
        <is>
          <t>Saldo Pulso</t>
        </is>
      </c>
      <c r="C66" s="54" t="inlineStr">
        <is>
          <t>Saldo Anterior</t>
        </is>
      </c>
      <c r="D66" s="54" t="inlineStr">
        <is>
          <t>Captação Líq.</t>
        </is>
      </c>
      <c r="E66" s="54" t="inlineStr">
        <is>
          <t>COE</t>
        </is>
      </c>
      <c r="F66" s="54" t="inlineStr">
        <is>
          <t>Previdência</t>
        </is>
      </c>
      <c r="G66" s="54" t="inlineStr">
        <is>
          <t>Créd. Privado</t>
        </is>
      </c>
      <c r="H66" s="54" t="inlineStr">
        <is>
          <t>Tít. Públicos</t>
        </is>
      </c>
      <c r="I66" s="54" t="inlineStr">
        <is>
          <t>Produção Tot.</t>
        </is>
      </c>
      <c r="J66" s="54" t="inlineStr">
        <is>
          <t>Obs.</t>
        </is>
      </c>
      <c r="K66" s="54" t="inlineStr">
        <is>
          <t>Saldo Pulso</t>
        </is>
      </c>
      <c r="L66" s="54" t="inlineStr">
        <is>
          <t>Saldo Anterior</t>
        </is>
      </c>
      <c r="M66" s="54" t="inlineStr">
        <is>
          <t>Captação Líq.</t>
        </is>
      </c>
      <c r="N66" s="54" t="inlineStr">
        <is>
          <t>COE</t>
        </is>
      </c>
      <c r="O66" s="54" t="inlineStr">
        <is>
          <t>Previdência</t>
        </is>
      </c>
      <c r="P66" s="54" t="inlineStr">
        <is>
          <t>Créd. Privado</t>
        </is>
      </c>
      <c r="Q66" s="54" t="inlineStr">
        <is>
          <t>Tít. Públicos</t>
        </is>
      </c>
      <c r="R66" s="54" t="inlineStr">
        <is>
          <t>Produção Tot.</t>
        </is>
      </c>
      <c r="S66" s="54" t="inlineStr">
        <is>
          <t>Obs.</t>
        </is>
      </c>
      <c r="T66" s="54" t="inlineStr">
        <is>
          <t>Saldo Pulso</t>
        </is>
      </c>
      <c r="U66" s="54" t="inlineStr">
        <is>
          <t>Saldo Anterior</t>
        </is>
      </c>
      <c r="V66" s="54" t="inlineStr">
        <is>
          <t>Captação Líq.</t>
        </is>
      </c>
      <c r="W66" s="54" t="inlineStr">
        <is>
          <t>COE</t>
        </is>
      </c>
      <c r="X66" s="54" t="inlineStr">
        <is>
          <t>Previdência</t>
        </is>
      </c>
      <c r="Y66" s="54" t="inlineStr">
        <is>
          <t>Créd. Privado</t>
        </is>
      </c>
      <c r="Z66" s="54" t="inlineStr">
        <is>
          <t>Tít. Públicos</t>
        </is>
      </c>
      <c r="AA66" s="54" t="inlineStr">
        <is>
          <t>Produção Tot.</t>
        </is>
      </c>
      <c r="AB66" s="54" t="inlineStr">
        <is>
          <t>Obs.</t>
        </is>
      </c>
      <c r="AC66" s="54" t="inlineStr">
        <is>
          <t>Saldo Pulso</t>
        </is>
      </c>
      <c r="AD66" s="54" t="inlineStr">
        <is>
          <t>Saldo Anterior</t>
        </is>
      </c>
      <c r="AE66" s="54" t="inlineStr">
        <is>
          <t>Captação Líq.</t>
        </is>
      </c>
      <c r="AF66" s="54" t="inlineStr">
        <is>
          <t>COE</t>
        </is>
      </c>
      <c r="AG66" s="54" t="inlineStr">
        <is>
          <t>Previdência</t>
        </is>
      </c>
      <c r="AH66" s="54" t="inlineStr">
        <is>
          <t>Créd. Privado</t>
        </is>
      </c>
      <c r="AI66" s="54" t="inlineStr">
        <is>
          <t>Tít. Públicos</t>
        </is>
      </c>
      <c r="AJ66" s="54" t="inlineStr">
        <is>
          <t>Produção Tot.</t>
        </is>
      </c>
      <c r="AK66" s="54" t="inlineStr">
        <is>
          <t>Obs.</t>
        </is>
      </c>
      <c r="AL66" s="54" t="inlineStr">
        <is>
          <t>Saldo Pulso</t>
        </is>
      </c>
      <c r="AM66" s="54" t="inlineStr">
        <is>
          <t>Saldo Anterior</t>
        </is>
      </c>
      <c r="AN66" s="54" t="inlineStr">
        <is>
          <t>Captação Líq.</t>
        </is>
      </c>
      <c r="AO66" s="54" t="inlineStr">
        <is>
          <t>COE</t>
        </is>
      </c>
      <c r="AP66" s="54" t="inlineStr">
        <is>
          <t>Previdência</t>
        </is>
      </c>
      <c r="AQ66" s="54" t="inlineStr">
        <is>
          <t>Créd. Privado</t>
        </is>
      </c>
      <c r="AR66" s="54" t="inlineStr">
        <is>
          <t>Tít. Públicos</t>
        </is>
      </c>
      <c r="AS66" s="54" t="inlineStr">
        <is>
          <t>Produção Tot.</t>
        </is>
      </c>
      <c r="AT66" s="54" t="inlineStr">
        <is>
          <t>Obs.</t>
        </is>
      </c>
      <c r="AU66" s="54" t="inlineStr">
        <is>
          <t>Saldo Pulso</t>
        </is>
      </c>
      <c r="AV66" s="54" t="inlineStr">
        <is>
          <t>Saldo Anterior</t>
        </is>
      </c>
      <c r="AW66" s="54" t="inlineStr">
        <is>
          <t>Captação Líq.</t>
        </is>
      </c>
      <c r="AX66" s="54" t="inlineStr">
        <is>
          <t>COE</t>
        </is>
      </c>
      <c r="AY66" s="54" t="inlineStr">
        <is>
          <t>Previdência</t>
        </is>
      </c>
      <c r="AZ66" s="54" t="inlineStr">
        <is>
          <t>Créd. Privado</t>
        </is>
      </c>
      <c r="BA66" s="54" t="inlineStr">
        <is>
          <t>Tít. Públicos</t>
        </is>
      </c>
      <c r="BB66" s="54" t="inlineStr">
        <is>
          <t>Produção Tot.</t>
        </is>
      </c>
      <c r="BC66" s="54" t="inlineStr">
        <is>
          <t>Obs.</t>
        </is>
      </c>
      <c r="BD66" s="54" t="inlineStr">
        <is>
          <t>Saldo Pulso</t>
        </is>
      </c>
      <c r="BE66" s="54" t="inlineStr">
        <is>
          <t>Saldo Anterior</t>
        </is>
      </c>
      <c r="BF66" s="54" t="inlineStr">
        <is>
          <t>Captação Líq.</t>
        </is>
      </c>
      <c r="BG66" s="54" t="inlineStr">
        <is>
          <t>COE</t>
        </is>
      </c>
      <c r="BH66" s="54" t="inlineStr">
        <is>
          <t>Previdência</t>
        </is>
      </c>
      <c r="BI66" s="54" t="inlineStr">
        <is>
          <t>Créd. Privado</t>
        </is>
      </c>
      <c r="BJ66" s="54" t="inlineStr">
        <is>
          <t>Tít. Públicos</t>
        </is>
      </c>
      <c r="BK66" s="54" t="inlineStr">
        <is>
          <t>Produção Tot.</t>
        </is>
      </c>
      <c r="BL66" s="54" t="inlineStr">
        <is>
          <t>Obs.</t>
        </is>
      </c>
      <c r="BM66" s="54" t="inlineStr">
        <is>
          <t>Saldo Pulso</t>
        </is>
      </c>
      <c r="BN66" s="54" t="inlineStr">
        <is>
          <t>Saldo Anterior</t>
        </is>
      </c>
      <c r="BO66" s="54" t="inlineStr">
        <is>
          <t>Captação Líq.</t>
        </is>
      </c>
      <c r="BP66" s="54" t="inlineStr">
        <is>
          <t>COE</t>
        </is>
      </c>
      <c r="BQ66" s="54" t="inlineStr">
        <is>
          <t>Previdência</t>
        </is>
      </c>
      <c r="BR66" s="54" t="inlineStr">
        <is>
          <t>Créd. Privado</t>
        </is>
      </c>
      <c r="BS66" s="54" t="inlineStr">
        <is>
          <t>Tít. Públicos</t>
        </is>
      </c>
      <c r="BT66" s="54" t="inlineStr">
        <is>
          <t>Produção Tot.</t>
        </is>
      </c>
      <c r="BU66" s="54" t="inlineStr">
        <is>
          <t>Obs.</t>
        </is>
      </c>
      <c r="BV66" s="54" t="inlineStr">
        <is>
          <t>Saldo Pulso</t>
        </is>
      </c>
      <c r="BW66" s="54" t="inlineStr">
        <is>
          <t>Saldo Anterior</t>
        </is>
      </c>
      <c r="BX66" s="54" t="inlineStr">
        <is>
          <t>Captação Líq.</t>
        </is>
      </c>
      <c r="BY66" s="54" t="inlineStr">
        <is>
          <t>COE</t>
        </is>
      </c>
      <c r="BZ66" s="54" t="inlineStr">
        <is>
          <t>Previdência</t>
        </is>
      </c>
      <c r="CA66" s="54" t="inlineStr">
        <is>
          <t>Créd. Privado</t>
        </is>
      </c>
      <c r="CB66" s="54" t="inlineStr">
        <is>
          <t>Tít. Públicos</t>
        </is>
      </c>
      <c r="CC66" s="54" t="inlineStr">
        <is>
          <t>Produção Tot.</t>
        </is>
      </c>
      <c r="CD66" s="54" t="inlineStr">
        <is>
          <t>Obs.</t>
        </is>
      </c>
      <c r="CE66" s="54" t="inlineStr">
        <is>
          <t>Saldo Pulso</t>
        </is>
      </c>
      <c r="CF66" s="54" t="inlineStr">
        <is>
          <t>Saldo Anterior</t>
        </is>
      </c>
      <c r="CG66" s="54" t="inlineStr">
        <is>
          <t>Captação Líq.</t>
        </is>
      </c>
      <c r="CH66" s="54" t="inlineStr">
        <is>
          <t>COE</t>
        </is>
      </c>
      <c r="CI66" s="54" t="inlineStr">
        <is>
          <t>Previdência</t>
        </is>
      </c>
      <c r="CJ66" s="54" t="inlineStr">
        <is>
          <t>Créd. Privado</t>
        </is>
      </c>
      <c r="CK66" s="54" t="inlineStr">
        <is>
          <t>Tít. Públicos</t>
        </is>
      </c>
      <c r="CL66" s="54" t="inlineStr">
        <is>
          <t>Produção Tot.</t>
        </is>
      </c>
      <c r="CM66" s="54" t="inlineStr">
        <is>
          <t>Obs.</t>
        </is>
      </c>
      <c r="CN66" s="54" t="inlineStr">
        <is>
          <t>Saldo Pulso</t>
        </is>
      </c>
      <c r="CO66" s="54" t="inlineStr">
        <is>
          <t>Saldo Anterior</t>
        </is>
      </c>
      <c r="CP66" s="54" t="inlineStr">
        <is>
          <t>Captação Líq.</t>
        </is>
      </c>
      <c r="CQ66" s="54" t="inlineStr">
        <is>
          <t>COE</t>
        </is>
      </c>
      <c r="CR66" s="54" t="inlineStr">
        <is>
          <t>Previdência</t>
        </is>
      </c>
      <c r="CS66" s="54" t="inlineStr">
        <is>
          <t>Créd. Privado</t>
        </is>
      </c>
      <c r="CT66" s="54" t="inlineStr">
        <is>
          <t>Tít. Públicos</t>
        </is>
      </c>
      <c r="CU66" s="54" t="inlineStr">
        <is>
          <t>Produção Tot.</t>
        </is>
      </c>
      <c r="CV66" s="54" t="inlineStr">
        <is>
          <t>Obs.</t>
        </is>
      </c>
      <c r="CW66" s="54" t="inlineStr">
        <is>
          <t>Saldo Pulso</t>
        </is>
      </c>
      <c r="CX66" s="54" t="inlineStr">
        <is>
          <t>Saldo Anterior</t>
        </is>
      </c>
      <c r="CY66" s="54" t="inlineStr">
        <is>
          <t>Captação Líq.</t>
        </is>
      </c>
      <c r="CZ66" s="54" t="inlineStr">
        <is>
          <t>COE</t>
        </is>
      </c>
      <c r="DA66" s="54" t="inlineStr">
        <is>
          <t>Previdência</t>
        </is>
      </c>
      <c r="DB66" s="54" t="inlineStr">
        <is>
          <t>Créd. Privado</t>
        </is>
      </c>
      <c r="DC66" s="54" t="inlineStr">
        <is>
          <t>Tít. Públicos</t>
        </is>
      </c>
      <c r="DD66" s="54" t="inlineStr">
        <is>
          <t>Produção Tot.</t>
        </is>
      </c>
      <c r="DE66" s="54" t="inlineStr">
        <is>
          <t>Obs.</t>
        </is>
      </c>
      <c r="DF66" s="54" t="inlineStr">
        <is>
          <t>Saldo Pulso</t>
        </is>
      </c>
      <c r="DG66" s="54" t="inlineStr">
        <is>
          <t>Saldo Anterior</t>
        </is>
      </c>
      <c r="DH66" s="54" t="inlineStr">
        <is>
          <t>Captação Líq.</t>
        </is>
      </c>
      <c r="DI66" s="54" t="inlineStr">
        <is>
          <t>COE</t>
        </is>
      </c>
      <c r="DJ66" s="54" t="inlineStr">
        <is>
          <t>Previdência</t>
        </is>
      </c>
      <c r="DK66" s="54" t="inlineStr">
        <is>
          <t>Créd. Privado</t>
        </is>
      </c>
      <c r="DL66" s="54" t="inlineStr">
        <is>
          <t>Tít. Públicos</t>
        </is>
      </c>
      <c r="DM66" s="54" t="inlineStr">
        <is>
          <t>Produção Tot.</t>
        </is>
      </c>
      <c r="DN66" s="54" t="inlineStr">
        <is>
          <t>Obs.</t>
        </is>
      </c>
      <c r="DO66" s="54" t="inlineStr">
        <is>
          <t>Saldo Pulso</t>
        </is>
      </c>
      <c r="DP66" s="54" t="inlineStr">
        <is>
          <t>Saldo Anterior</t>
        </is>
      </c>
      <c r="DQ66" s="54" t="inlineStr">
        <is>
          <t>Captação Líq.</t>
        </is>
      </c>
      <c r="DR66" s="54" t="inlineStr">
        <is>
          <t>COE</t>
        </is>
      </c>
      <c r="DS66" s="54" t="inlineStr">
        <is>
          <t>Previdência</t>
        </is>
      </c>
      <c r="DT66" s="54" t="inlineStr">
        <is>
          <t>Créd. Privado</t>
        </is>
      </c>
      <c r="DU66" s="54" t="inlineStr">
        <is>
          <t>Tít. Públicos</t>
        </is>
      </c>
      <c r="DV66" s="54" t="inlineStr">
        <is>
          <t>Produção Tot.</t>
        </is>
      </c>
      <c r="DW66" s="54" t="inlineStr">
        <is>
          <t>Obs.</t>
        </is>
      </c>
      <c r="DX66" s="54" t="inlineStr">
        <is>
          <t>Saldo Pulso</t>
        </is>
      </c>
      <c r="DY66" s="54" t="inlineStr">
        <is>
          <t>Saldo Anterior</t>
        </is>
      </c>
      <c r="DZ66" s="54" t="inlineStr">
        <is>
          <t>Captação Líq.</t>
        </is>
      </c>
      <c r="EA66" s="54" t="inlineStr">
        <is>
          <t>COE</t>
        </is>
      </c>
      <c r="EB66" s="54" t="inlineStr">
        <is>
          <t>Previdência</t>
        </is>
      </c>
      <c r="EC66" s="54" t="inlineStr">
        <is>
          <t>Créd. Privado</t>
        </is>
      </c>
      <c r="ED66" s="54" t="inlineStr">
        <is>
          <t>Tít. Públicos</t>
        </is>
      </c>
      <c r="EE66" s="54" t="inlineStr">
        <is>
          <t>Produção Tot.</t>
        </is>
      </c>
      <c r="EF66" s="54" t="inlineStr">
        <is>
          <t>Obs.</t>
        </is>
      </c>
      <c r="EG66" s="54" t="inlineStr">
        <is>
          <t>Saldo Pulso</t>
        </is>
      </c>
      <c r="EH66" s="54" t="inlineStr">
        <is>
          <t>Saldo Anterior</t>
        </is>
      </c>
      <c r="EI66" s="54" t="inlineStr">
        <is>
          <t>Captação Líq.</t>
        </is>
      </c>
      <c r="EJ66" s="54" t="inlineStr">
        <is>
          <t>COE</t>
        </is>
      </c>
      <c r="EK66" s="54" t="inlineStr">
        <is>
          <t>Previdência</t>
        </is>
      </c>
      <c r="EL66" s="54" t="inlineStr">
        <is>
          <t>Créd. Privado</t>
        </is>
      </c>
      <c r="EM66" s="54" t="inlineStr">
        <is>
          <t>Tít. Públicos</t>
        </is>
      </c>
      <c r="EN66" s="54" t="inlineStr">
        <is>
          <t>Produção Tot.</t>
        </is>
      </c>
      <c r="EO66" s="54" t="inlineStr">
        <is>
          <t>Obs.</t>
        </is>
      </c>
      <c r="EP66" s="54" t="inlineStr">
        <is>
          <t>Saldo Pulso</t>
        </is>
      </c>
      <c r="EQ66" s="54" t="inlineStr">
        <is>
          <t>Saldo Anterior</t>
        </is>
      </c>
      <c r="ER66" s="54" t="inlineStr">
        <is>
          <t>Captação Líq.</t>
        </is>
      </c>
      <c r="ES66" s="54" t="inlineStr">
        <is>
          <t>COE</t>
        </is>
      </c>
      <c r="ET66" s="54" t="inlineStr">
        <is>
          <t>Previdência</t>
        </is>
      </c>
      <c r="EU66" s="54" t="inlineStr">
        <is>
          <t>Créd. Privado</t>
        </is>
      </c>
      <c r="EV66" s="54" t="inlineStr">
        <is>
          <t>Tít. Públicos</t>
        </is>
      </c>
      <c r="EW66" s="54" t="inlineStr">
        <is>
          <t>Produção Tot.</t>
        </is>
      </c>
      <c r="EX66" s="54" t="inlineStr">
        <is>
          <t>Obs.</t>
        </is>
      </c>
      <c r="EY66" s="54" t="inlineStr">
        <is>
          <t>Saldo Pulso</t>
        </is>
      </c>
      <c r="EZ66" s="54" t="inlineStr">
        <is>
          <t>Saldo Anterior</t>
        </is>
      </c>
      <c r="FA66" s="54" t="inlineStr">
        <is>
          <t>Captação Líq.</t>
        </is>
      </c>
      <c r="FB66" s="54" t="inlineStr">
        <is>
          <t>COE</t>
        </is>
      </c>
      <c r="FC66" s="54" t="inlineStr">
        <is>
          <t>Previdência</t>
        </is>
      </c>
      <c r="FD66" s="54" t="inlineStr">
        <is>
          <t>Créd. Privado</t>
        </is>
      </c>
      <c r="FE66" s="54" t="inlineStr">
        <is>
          <t>Tít. Públicos</t>
        </is>
      </c>
      <c r="FF66" s="54" t="inlineStr">
        <is>
          <t>Produção Tot.</t>
        </is>
      </c>
      <c r="FG66" s="54" t="inlineStr">
        <is>
          <t>Obs.</t>
        </is>
      </c>
      <c r="FH66" s="54" t="inlineStr">
        <is>
          <t>Saldo Pulso</t>
        </is>
      </c>
      <c r="FI66" s="54" t="inlineStr">
        <is>
          <t>Saldo Anterior</t>
        </is>
      </c>
      <c r="FJ66" s="54" t="inlineStr">
        <is>
          <t>Captação Líq.</t>
        </is>
      </c>
      <c r="FK66" s="54" t="inlineStr">
        <is>
          <t>COE</t>
        </is>
      </c>
      <c r="FL66" s="54" t="inlineStr">
        <is>
          <t>Previdência</t>
        </is>
      </c>
      <c r="FM66" s="54" t="inlineStr">
        <is>
          <t>Créd. Privado</t>
        </is>
      </c>
      <c r="FN66" s="54" t="inlineStr">
        <is>
          <t>Tít. Públicos</t>
        </is>
      </c>
      <c r="FO66" s="54" t="inlineStr">
        <is>
          <t>Produção Tot.</t>
        </is>
      </c>
      <c r="FP66" s="54" t="inlineStr">
        <is>
          <t>Obs.</t>
        </is>
      </c>
      <c r="FQ66" s="54" t="inlineStr">
        <is>
          <t>Saldo Pulso</t>
        </is>
      </c>
      <c r="FR66" s="54" t="inlineStr">
        <is>
          <t>Saldo Anterior</t>
        </is>
      </c>
      <c r="FS66" s="54" t="inlineStr">
        <is>
          <t>Captação Líq.</t>
        </is>
      </c>
      <c r="FT66" s="54" t="inlineStr">
        <is>
          <t>COE</t>
        </is>
      </c>
      <c r="FU66" s="54" t="inlineStr">
        <is>
          <t>Previdência</t>
        </is>
      </c>
      <c r="FV66" s="54" t="inlineStr">
        <is>
          <t>Créd. Privado</t>
        </is>
      </c>
      <c r="FW66" s="54" t="inlineStr">
        <is>
          <t>Tít. Públicos</t>
        </is>
      </c>
      <c r="FX66" s="54" t="inlineStr">
        <is>
          <t>Produção Tot.</t>
        </is>
      </c>
      <c r="FY66" s="54" t="inlineStr">
        <is>
          <t>Obs.</t>
        </is>
      </c>
      <c r="FZ66" s="54" t="inlineStr">
        <is>
          <t>Saldo Pulso</t>
        </is>
      </c>
      <c r="GA66" s="54" t="inlineStr">
        <is>
          <t>Saldo Anterior</t>
        </is>
      </c>
      <c r="GB66" s="54" t="inlineStr">
        <is>
          <t>Captação Líq.</t>
        </is>
      </c>
      <c r="GC66" s="54" t="inlineStr">
        <is>
          <t>COE</t>
        </is>
      </c>
      <c r="GD66" s="54" t="inlineStr">
        <is>
          <t>Previdência</t>
        </is>
      </c>
      <c r="GE66" s="54" t="inlineStr">
        <is>
          <t>Créd. Privado</t>
        </is>
      </c>
      <c r="GF66" s="54" t="inlineStr">
        <is>
          <t>Tít. Públicos</t>
        </is>
      </c>
      <c r="GG66" s="54" t="inlineStr">
        <is>
          <t>Produção Tot.</t>
        </is>
      </c>
      <c r="GH66" s="54" t="inlineStr">
        <is>
          <t>Obs.</t>
        </is>
      </c>
      <c r="GI66" s="54" t="inlineStr">
        <is>
          <t>Saldo Pulso</t>
        </is>
      </c>
      <c r="GJ66" s="54" t="inlineStr">
        <is>
          <t>Saldo Anterior</t>
        </is>
      </c>
      <c r="GK66" s="54" t="inlineStr">
        <is>
          <t>Captação Líq.</t>
        </is>
      </c>
      <c r="GL66" s="54" t="inlineStr">
        <is>
          <t>COE</t>
        </is>
      </c>
      <c r="GM66" s="54" t="inlineStr">
        <is>
          <t>Previdência</t>
        </is>
      </c>
      <c r="GN66" s="54" t="inlineStr">
        <is>
          <t>Créd. Privado</t>
        </is>
      </c>
      <c r="GO66" s="54" t="inlineStr">
        <is>
          <t>Tít. Públicos</t>
        </is>
      </c>
      <c r="GP66" s="54" t="inlineStr">
        <is>
          <t>Produção Tot.</t>
        </is>
      </c>
      <c r="GQ66" s="54" t="inlineStr">
        <is>
          <t>Obs.</t>
        </is>
      </c>
      <c r="GR66" s="54" t="inlineStr">
        <is>
          <t>Saldo Pulso</t>
        </is>
      </c>
      <c r="GS66" s="54" t="inlineStr">
        <is>
          <t>Saldo Anterior</t>
        </is>
      </c>
      <c r="GT66" s="54" t="inlineStr">
        <is>
          <t>Captação Líq.</t>
        </is>
      </c>
      <c r="GU66" s="54" t="inlineStr">
        <is>
          <t>COE</t>
        </is>
      </c>
      <c r="GV66" s="54" t="inlineStr">
        <is>
          <t>Previdência</t>
        </is>
      </c>
      <c r="GW66" s="54" t="inlineStr">
        <is>
          <t>Créd. Privado</t>
        </is>
      </c>
      <c r="GX66" s="54" t="inlineStr">
        <is>
          <t>Tít. Públicos</t>
        </is>
      </c>
      <c r="GY66" s="54" t="inlineStr">
        <is>
          <t>Produção Tot.</t>
        </is>
      </c>
      <c r="GZ66" s="54" t="inlineStr">
        <is>
          <t>Obs.</t>
        </is>
      </c>
      <c r="HA66" s="54" t="inlineStr">
        <is>
          <t>Saldo Pulso</t>
        </is>
      </c>
      <c r="HB66" s="54" t="inlineStr">
        <is>
          <t>Saldo Anterior</t>
        </is>
      </c>
      <c r="HC66" s="54" t="inlineStr">
        <is>
          <t>Captação Líq.</t>
        </is>
      </c>
      <c r="HD66" s="54" t="inlineStr">
        <is>
          <t>COE</t>
        </is>
      </c>
      <c r="HE66" s="54" t="inlineStr">
        <is>
          <t>Previdência</t>
        </is>
      </c>
      <c r="HF66" s="54" t="inlineStr">
        <is>
          <t>Créd. Privado</t>
        </is>
      </c>
      <c r="HG66" s="54" t="inlineStr">
        <is>
          <t>Tít. Públicos</t>
        </is>
      </c>
      <c r="HH66" s="54" t="inlineStr">
        <is>
          <t>Produção Tot.</t>
        </is>
      </c>
      <c r="HI66" s="54" t="inlineStr">
        <is>
          <t>Obs.</t>
        </is>
      </c>
      <c r="HJ66" s="54" t="inlineStr">
        <is>
          <t>Saldo Pulso</t>
        </is>
      </c>
      <c r="HK66" s="54" t="inlineStr">
        <is>
          <t>Saldo Anterior</t>
        </is>
      </c>
      <c r="HL66" s="54" t="inlineStr">
        <is>
          <t>Captação Líq.</t>
        </is>
      </c>
      <c r="HM66" s="54" t="inlineStr">
        <is>
          <t>COE</t>
        </is>
      </c>
      <c r="HN66" s="54" t="inlineStr">
        <is>
          <t>Previdência</t>
        </is>
      </c>
      <c r="HO66" s="54" t="inlineStr">
        <is>
          <t>Créd. Privado</t>
        </is>
      </c>
      <c r="HP66" s="54" t="inlineStr">
        <is>
          <t>Tít. Públicos</t>
        </is>
      </c>
      <c r="HQ66" s="54" t="inlineStr">
        <is>
          <t>Produção Tot.</t>
        </is>
      </c>
      <c r="HR66" s="54" t="inlineStr">
        <is>
          <t>Obs.</t>
        </is>
      </c>
      <c r="HS66" s="54" t="inlineStr">
        <is>
          <t>Saldo Pulso</t>
        </is>
      </c>
      <c r="HT66" s="54" t="inlineStr">
        <is>
          <t>Saldo Anterior</t>
        </is>
      </c>
      <c r="HU66" s="54" t="inlineStr">
        <is>
          <t>Captação Líq.</t>
        </is>
      </c>
      <c r="HV66" s="54" t="inlineStr">
        <is>
          <t>COE</t>
        </is>
      </c>
      <c r="HW66" s="54" t="inlineStr">
        <is>
          <t>Previdência</t>
        </is>
      </c>
      <c r="HX66" s="54" t="inlineStr">
        <is>
          <t>Créd. Privado</t>
        </is>
      </c>
      <c r="HY66" s="54" t="inlineStr">
        <is>
          <t>Tít. Públicos</t>
        </is>
      </c>
      <c r="HZ66" s="54" t="inlineStr">
        <is>
          <t>Produção Tot.</t>
        </is>
      </c>
      <c r="IA66" s="54" t="inlineStr">
        <is>
          <t>Obs.</t>
        </is>
      </c>
      <c r="IB66" s="54" t="inlineStr">
        <is>
          <t>Saldo Pulso</t>
        </is>
      </c>
      <c r="IC66" s="54" t="inlineStr">
        <is>
          <t>Saldo Anterior</t>
        </is>
      </c>
      <c r="ID66" s="54" t="inlineStr">
        <is>
          <t>Captação Líq.</t>
        </is>
      </c>
      <c r="IE66" s="54" t="inlineStr">
        <is>
          <t>COE</t>
        </is>
      </c>
      <c r="IF66" s="54" t="inlineStr">
        <is>
          <t>Previdência</t>
        </is>
      </c>
      <c r="IG66" s="54" t="inlineStr">
        <is>
          <t>Créd. Privado</t>
        </is>
      </c>
      <c r="IH66" s="54" t="inlineStr">
        <is>
          <t>Tít. Públicos</t>
        </is>
      </c>
      <c r="II66" s="54" t="inlineStr">
        <is>
          <t>Produção Tot.</t>
        </is>
      </c>
      <c r="IJ66" s="54" t="inlineStr">
        <is>
          <t>Obs.</t>
        </is>
      </c>
      <c r="IK66" s="54" t="inlineStr">
        <is>
          <t>Saldo Pulso</t>
        </is>
      </c>
      <c r="IL66" s="54" t="inlineStr">
        <is>
          <t>Saldo Anterior</t>
        </is>
      </c>
      <c r="IM66" s="54" t="inlineStr">
        <is>
          <t>Captação Líq.</t>
        </is>
      </c>
      <c r="IN66" s="54" t="inlineStr">
        <is>
          <t>COE</t>
        </is>
      </c>
      <c r="IO66" s="54" t="inlineStr">
        <is>
          <t>Previdência</t>
        </is>
      </c>
      <c r="IP66" s="54" t="inlineStr">
        <is>
          <t>Créd. Privado</t>
        </is>
      </c>
      <c r="IQ66" s="54" t="inlineStr">
        <is>
          <t>Tít. Públicos</t>
        </is>
      </c>
      <c r="IR66" s="54" t="inlineStr">
        <is>
          <t>Produção Tot.</t>
        </is>
      </c>
      <c r="IS66" s="54" t="inlineStr">
        <is>
          <t>Obs.</t>
        </is>
      </c>
      <c r="IT66" s="54" t="inlineStr">
        <is>
          <t>Saldo Pulso</t>
        </is>
      </c>
      <c r="IU66" s="54" t="inlineStr">
        <is>
          <t>Saldo Anterior</t>
        </is>
      </c>
      <c r="IV66" s="54" t="inlineStr">
        <is>
          <t>Captação Líq.</t>
        </is>
      </c>
      <c r="IW66" s="54" t="inlineStr">
        <is>
          <t>COE</t>
        </is>
      </c>
      <c r="IX66" s="54" t="inlineStr">
        <is>
          <t>Previdência</t>
        </is>
      </c>
      <c r="IY66" s="54" t="inlineStr">
        <is>
          <t>Créd. Privado</t>
        </is>
      </c>
      <c r="IZ66" s="54" t="inlineStr">
        <is>
          <t>Tít. Públicos</t>
        </is>
      </c>
      <c r="JA66" s="54" t="inlineStr">
        <is>
          <t>Produção Tot.</t>
        </is>
      </c>
      <c r="JB66" s="54" t="inlineStr">
        <is>
          <t>Obs.</t>
        </is>
      </c>
      <c r="JC66" s="54" t="inlineStr">
        <is>
          <t>Saldo Pulso</t>
        </is>
      </c>
      <c r="JD66" s="54" t="inlineStr">
        <is>
          <t>Saldo Anterior</t>
        </is>
      </c>
      <c r="JE66" s="54" t="inlineStr">
        <is>
          <t>Captação Líq.</t>
        </is>
      </c>
      <c r="JF66" s="54" t="inlineStr">
        <is>
          <t>COE</t>
        </is>
      </c>
      <c r="JG66" s="54" t="inlineStr">
        <is>
          <t>Previdência</t>
        </is>
      </c>
      <c r="JH66" s="54" t="inlineStr">
        <is>
          <t>Créd. Privado</t>
        </is>
      </c>
      <c r="JI66" s="54" t="inlineStr">
        <is>
          <t>Tít. Públicos</t>
        </is>
      </c>
      <c r="JJ66" s="54" t="inlineStr">
        <is>
          <t>Produção Tot.</t>
        </is>
      </c>
      <c r="JK66" s="54" t="inlineStr">
        <is>
          <t>Obs.</t>
        </is>
      </c>
      <c r="JL66" s="54" t="inlineStr">
        <is>
          <t>Saldo Pulso</t>
        </is>
      </c>
      <c r="JM66" s="54" t="inlineStr">
        <is>
          <t>Saldo Anterior</t>
        </is>
      </c>
      <c r="JN66" s="54" t="inlineStr">
        <is>
          <t>Captação Líq.</t>
        </is>
      </c>
      <c r="JO66" s="54" t="inlineStr">
        <is>
          <t>COE</t>
        </is>
      </c>
      <c r="JP66" s="54" t="inlineStr">
        <is>
          <t>Previdência</t>
        </is>
      </c>
      <c r="JQ66" s="54" t="inlineStr">
        <is>
          <t>Créd. Privado</t>
        </is>
      </c>
      <c r="JR66" s="54" t="inlineStr">
        <is>
          <t>Tít. Públicos</t>
        </is>
      </c>
      <c r="JS66" s="54" t="inlineStr">
        <is>
          <t>Produção Tot.</t>
        </is>
      </c>
      <c r="JT66" s="54" t="inlineStr">
        <is>
          <t>Obs.</t>
        </is>
      </c>
      <c r="JU66" s="55" t="n"/>
      <c r="JV66" s="55" t="n"/>
      <c r="JW66" s="55" t="n"/>
      <c r="JX66" s="55" t="n"/>
      <c r="JY66" s="55" t="n"/>
      <c r="JZ66" s="55" t="n"/>
      <c r="KA66" s="55" t="n"/>
    </row>
    <row r="67" ht="20" customHeight="1">
      <c r="A67" s="56">
        <f>IF(Configurações!$B$7="","Assessor 1",Configurações!$B$7)</f>
        <v/>
      </c>
      <c r="B67" s="57" t="n"/>
      <c r="C67" s="58">
        <f>'Março'!$JW67</f>
        <v/>
      </c>
      <c r="D67" s="59" t="n"/>
      <c r="E67" s="57" t="n"/>
      <c r="F67" s="57" t="n"/>
      <c r="G67" s="57" t="n"/>
      <c r="H67" s="57" t="n"/>
      <c r="I67" s="60">
        <f>SUM(E67:H67)</f>
        <v/>
      </c>
      <c r="J67" s="61" t="n"/>
      <c r="K67" s="57" t="n"/>
      <c r="L67" s="58">
        <f>B67</f>
        <v/>
      </c>
      <c r="M67" s="59" t="n"/>
      <c r="N67" s="57" t="n"/>
      <c r="O67" s="57" t="n"/>
      <c r="P67" s="57" t="n"/>
      <c r="Q67" s="57" t="n"/>
      <c r="R67" s="60">
        <f>SUM(N67:Q67)</f>
        <v/>
      </c>
      <c r="S67" s="61" t="n"/>
      <c r="T67" s="57" t="n"/>
      <c r="U67" s="58">
        <f>K67</f>
        <v/>
      </c>
      <c r="V67" s="59" t="n"/>
      <c r="W67" s="57" t="n"/>
      <c r="X67" s="57" t="n"/>
      <c r="Y67" s="57" t="n"/>
      <c r="Z67" s="57" t="n"/>
      <c r="AA67" s="60">
        <f>SUM(W67:Z67)</f>
        <v/>
      </c>
      <c r="AB67" s="61" t="n"/>
      <c r="AC67" s="57" t="n"/>
      <c r="AD67" s="58">
        <f>T67</f>
        <v/>
      </c>
      <c r="AE67" s="59" t="n"/>
      <c r="AF67" s="57" t="n"/>
      <c r="AG67" s="57" t="n"/>
      <c r="AH67" s="57" t="n"/>
      <c r="AI67" s="57" t="n"/>
      <c r="AJ67" s="60">
        <f>SUM(AF67:AI67)</f>
        <v/>
      </c>
      <c r="AK67" s="61" t="n"/>
      <c r="AL67" s="57" t="n"/>
      <c r="AM67" s="58">
        <f>AC67</f>
        <v/>
      </c>
      <c r="AN67" s="59" t="n"/>
      <c r="AO67" s="57" t="n"/>
      <c r="AP67" s="57" t="n"/>
      <c r="AQ67" s="57" t="n"/>
      <c r="AR67" s="57" t="n"/>
      <c r="AS67" s="60">
        <f>SUM(AO67:AR67)</f>
        <v/>
      </c>
      <c r="AT67" s="61" t="n"/>
      <c r="AU67" s="57" t="n"/>
      <c r="AV67" s="58">
        <f>AL67</f>
        <v/>
      </c>
      <c r="AW67" s="59" t="n"/>
      <c r="AX67" s="57" t="n"/>
      <c r="AY67" s="57" t="n"/>
      <c r="AZ67" s="57" t="n"/>
      <c r="BA67" s="57" t="n"/>
      <c r="BB67" s="60">
        <f>SUM(AX67:BA67)</f>
        <v/>
      </c>
      <c r="BC67" s="61" t="n"/>
      <c r="BD67" s="57" t="n"/>
      <c r="BE67" s="58">
        <f>AU67</f>
        <v/>
      </c>
      <c r="BF67" s="59" t="n"/>
      <c r="BG67" s="57" t="n"/>
      <c r="BH67" s="57" t="n"/>
      <c r="BI67" s="57" t="n"/>
      <c r="BJ67" s="57" t="n"/>
      <c r="BK67" s="60">
        <f>SUM(BG67:BJ67)</f>
        <v/>
      </c>
      <c r="BL67" s="61" t="n"/>
      <c r="BM67" s="57" t="n"/>
      <c r="BN67" s="58">
        <f>BD67</f>
        <v/>
      </c>
      <c r="BO67" s="59" t="n"/>
      <c r="BP67" s="57" t="n"/>
      <c r="BQ67" s="57" t="n"/>
      <c r="BR67" s="57" t="n"/>
      <c r="BS67" s="57" t="n"/>
      <c r="BT67" s="60">
        <f>SUM(BP67:BS67)</f>
        <v/>
      </c>
      <c r="BU67" s="61" t="n"/>
      <c r="BV67" s="57" t="n"/>
      <c r="BW67" s="58">
        <f>BM67</f>
        <v/>
      </c>
      <c r="BX67" s="59" t="n"/>
      <c r="BY67" s="57" t="n"/>
      <c r="BZ67" s="57" t="n"/>
      <c r="CA67" s="57" t="n"/>
      <c r="CB67" s="57" t="n"/>
      <c r="CC67" s="60">
        <f>SUM(BY67:CB67)</f>
        <v/>
      </c>
      <c r="CD67" s="61" t="n"/>
      <c r="CE67" s="57" t="n"/>
      <c r="CF67" s="58">
        <f>BV67</f>
        <v/>
      </c>
      <c r="CG67" s="59" t="n"/>
      <c r="CH67" s="57" t="n"/>
      <c r="CI67" s="57" t="n"/>
      <c r="CJ67" s="57" t="n"/>
      <c r="CK67" s="57" t="n"/>
      <c r="CL67" s="60">
        <f>SUM(CH67:CK67)</f>
        <v/>
      </c>
      <c r="CM67" s="61" t="n"/>
      <c r="CN67" s="57" t="n"/>
      <c r="CO67" s="58">
        <f>CE67</f>
        <v/>
      </c>
      <c r="CP67" s="59" t="n"/>
      <c r="CQ67" s="57" t="n"/>
      <c r="CR67" s="57" t="n"/>
      <c r="CS67" s="57" t="n"/>
      <c r="CT67" s="57" t="n"/>
      <c r="CU67" s="60">
        <f>SUM(CQ67:CT67)</f>
        <v/>
      </c>
      <c r="CV67" s="61" t="n"/>
      <c r="CW67" s="57" t="n"/>
      <c r="CX67" s="58">
        <f>CN67</f>
        <v/>
      </c>
      <c r="CY67" s="59" t="n"/>
      <c r="CZ67" s="57" t="n"/>
      <c r="DA67" s="57" t="n"/>
      <c r="DB67" s="57" t="n"/>
      <c r="DC67" s="57" t="n"/>
      <c r="DD67" s="60">
        <f>SUM(CZ67:DC67)</f>
        <v/>
      </c>
      <c r="DE67" s="61" t="n"/>
      <c r="DF67" s="57" t="n"/>
      <c r="DG67" s="58">
        <f>CW67</f>
        <v/>
      </c>
      <c r="DH67" s="59" t="n"/>
      <c r="DI67" s="57" t="n"/>
      <c r="DJ67" s="57" t="n"/>
      <c r="DK67" s="57" t="n"/>
      <c r="DL67" s="57" t="n"/>
      <c r="DM67" s="60">
        <f>SUM(DI67:DL67)</f>
        <v/>
      </c>
      <c r="DN67" s="61" t="n"/>
      <c r="DO67" s="57" t="n"/>
      <c r="DP67" s="58">
        <f>DF67</f>
        <v/>
      </c>
      <c r="DQ67" s="59" t="n"/>
      <c r="DR67" s="57" t="n"/>
      <c r="DS67" s="57" t="n"/>
      <c r="DT67" s="57" t="n"/>
      <c r="DU67" s="57" t="n"/>
      <c r="DV67" s="60">
        <f>SUM(DR67:DU67)</f>
        <v/>
      </c>
      <c r="DW67" s="61" t="n"/>
      <c r="DX67" s="57" t="n"/>
      <c r="DY67" s="58">
        <f>DO67</f>
        <v/>
      </c>
      <c r="DZ67" s="59" t="n"/>
      <c r="EA67" s="57" t="n"/>
      <c r="EB67" s="57" t="n"/>
      <c r="EC67" s="57" t="n"/>
      <c r="ED67" s="57" t="n"/>
      <c r="EE67" s="60">
        <f>SUM(EA67:ED67)</f>
        <v/>
      </c>
      <c r="EF67" s="61" t="n"/>
      <c r="EG67" s="57" t="n"/>
      <c r="EH67" s="58">
        <f>DX67</f>
        <v/>
      </c>
      <c r="EI67" s="59" t="n"/>
      <c r="EJ67" s="57" t="n"/>
      <c r="EK67" s="57" t="n"/>
      <c r="EL67" s="57" t="n"/>
      <c r="EM67" s="57" t="n"/>
      <c r="EN67" s="60">
        <f>SUM(EJ67:EM67)</f>
        <v/>
      </c>
      <c r="EO67" s="61" t="n"/>
      <c r="EP67" s="57" t="n"/>
      <c r="EQ67" s="58">
        <f>EG67</f>
        <v/>
      </c>
      <c r="ER67" s="59" t="n"/>
      <c r="ES67" s="57" t="n"/>
      <c r="ET67" s="57" t="n"/>
      <c r="EU67" s="57" t="n"/>
      <c r="EV67" s="57" t="n"/>
      <c r="EW67" s="60">
        <f>SUM(ES67:EV67)</f>
        <v/>
      </c>
      <c r="EX67" s="61" t="n"/>
      <c r="EY67" s="57" t="n"/>
      <c r="EZ67" s="58">
        <f>EP67</f>
        <v/>
      </c>
      <c r="FA67" s="59" t="n"/>
      <c r="FB67" s="57" t="n"/>
      <c r="FC67" s="57" t="n"/>
      <c r="FD67" s="57" t="n"/>
      <c r="FE67" s="57" t="n"/>
      <c r="FF67" s="60">
        <f>SUM(FB67:FE67)</f>
        <v/>
      </c>
      <c r="FG67" s="61" t="n"/>
      <c r="FH67" s="57" t="n"/>
      <c r="FI67" s="58">
        <f>EY67</f>
        <v/>
      </c>
      <c r="FJ67" s="59" t="n"/>
      <c r="FK67" s="57" t="n"/>
      <c r="FL67" s="57" t="n"/>
      <c r="FM67" s="57" t="n"/>
      <c r="FN67" s="57" t="n"/>
      <c r="FO67" s="60">
        <f>SUM(FK67:FN67)</f>
        <v/>
      </c>
      <c r="FP67" s="61" t="n"/>
      <c r="FQ67" s="57" t="n"/>
      <c r="FR67" s="58">
        <f>FH67</f>
        <v/>
      </c>
      <c r="FS67" s="59" t="n"/>
      <c r="FT67" s="57" t="n"/>
      <c r="FU67" s="57" t="n"/>
      <c r="FV67" s="57" t="n"/>
      <c r="FW67" s="57" t="n"/>
      <c r="FX67" s="60">
        <f>SUM(FT67:FW67)</f>
        <v/>
      </c>
      <c r="FY67" s="61" t="n"/>
      <c r="FZ67" s="57" t="n"/>
      <c r="GA67" s="58">
        <f>FQ67</f>
        <v/>
      </c>
      <c r="GB67" s="59" t="n"/>
      <c r="GC67" s="57" t="n"/>
      <c r="GD67" s="57" t="n"/>
      <c r="GE67" s="57" t="n"/>
      <c r="GF67" s="57" t="n"/>
      <c r="GG67" s="60">
        <f>SUM(GC67:GF67)</f>
        <v/>
      </c>
      <c r="GH67" s="61" t="n"/>
      <c r="GI67" s="57" t="n"/>
      <c r="GJ67" s="58">
        <f>FZ67</f>
        <v/>
      </c>
      <c r="GK67" s="59" t="n"/>
      <c r="GL67" s="57" t="n"/>
      <c r="GM67" s="57" t="n"/>
      <c r="GN67" s="57" t="n"/>
      <c r="GO67" s="57" t="n"/>
      <c r="GP67" s="60">
        <f>SUM(GL67:GO67)</f>
        <v/>
      </c>
      <c r="GQ67" s="61" t="n"/>
      <c r="GR67" s="57" t="n"/>
      <c r="GS67" s="58">
        <f>GI67</f>
        <v/>
      </c>
      <c r="GT67" s="59" t="n"/>
      <c r="GU67" s="57" t="n"/>
      <c r="GV67" s="57" t="n"/>
      <c r="GW67" s="57" t="n"/>
      <c r="GX67" s="57" t="n"/>
      <c r="GY67" s="60">
        <f>SUM(GU67:GX67)</f>
        <v/>
      </c>
      <c r="GZ67" s="61" t="n"/>
      <c r="HA67" s="57" t="n"/>
      <c r="HB67" s="58">
        <f>GR67</f>
        <v/>
      </c>
      <c r="HC67" s="59" t="n"/>
      <c r="HD67" s="57" t="n"/>
      <c r="HE67" s="57" t="n"/>
      <c r="HF67" s="57" t="n"/>
      <c r="HG67" s="57" t="n"/>
      <c r="HH67" s="60">
        <f>SUM(HD67:HG67)</f>
        <v/>
      </c>
      <c r="HI67" s="61" t="n"/>
      <c r="HJ67" s="57" t="n"/>
      <c r="HK67" s="58">
        <f>HA67</f>
        <v/>
      </c>
      <c r="HL67" s="59" t="n"/>
      <c r="HM67" s="57" t="n"/>
      <c r="HN67" s="57" t="n"/>
      <c r="HO67" s="57" t="n"/>
      <c r="HP67" s="57" t="n"/>
      <c r="HQ67" s="60">
        <f>SUM(HM67:HP67)</f>
        <v/>
      </c>
      <c r="HR67" s="61" t="n"/>
      <c r="HS67" s="57" t="n"/>
      <c r="HT67" s="58">
        <f>HJ67</f>
        <v/>
      </c>
      <c r="HU67" s="59" t="n"/>
      <c r="HV67" s="57" t="n"/>
      <c r="HW67" s="57" t="n"/>
      <c r="HX67" s="57" t="n"/>
      <c r="HY67" s="57" t="n"/>
      <c r="HZ67" s="60">
        <f>SUM(HV67:HY67)</f>
        <v/>
      </c>
      <c r="IA67" s="61" t="n"/>
      <c r="IB67" s="57" t="n"/>
      <c r="IC67" s="58">
        <f>HS67</f>
        <v/>
      </c>
      <c r="ID67" s="59" t="n"/>
      <c r="IE67" s="57" t="n"/>
      <c r="IF67" s="57" t="n"/>
      <c r="IG67" s="57" t="n"/>
      <c r="IH67" s="57" t="n"/>
      <c r="II67" s="60">
        <f>SUM(IE67:IH67)</f>
        <v/>
      </c>
      <c r="IJ67" s="61" t="n"/>
      <c r="IK67" s="57" t="n"/>
      <c r="IL67" s="58">
        <f>IB67</f>
        <v/>
      </c>
      <c r="IM67" s="59" t="n"/>
      <c r="IN67" s="57" t="n"/>
      <c r="IO67" s="57" t="n"/>
      <c r="IP67" s="57" t="n"/>
      <c r="IQ67" s="57" t="n"/>
      <c r="IR67" s="60">
        <f>SUM(IN67:IQ67)</f>
        <v/>
      </c>
      <c r="IS67" s="61" t="n"/>
      <c r="IT67" s="57" t="n"/>
      <c r="IU67" s="58">
        <f>IK67</f>
        <v/>
      </c>
      <c r="IV67" s="59" t="n"/>
      <c r="IW67" s="57" t="n"/>
      <c r="IX67" s="57" t="n"/>
      <c r="IY67" s="57" t="n"/>
      <c r="IZ67" s="57" t="n"/>
      <c r="JA67" s="60">
        <f>SUM(IW67:IZ67)</f>
        <v/>
      </c>
      <c r="JB67" s="61" t="n"/>
      <c r="JC67" s="57" t="n"/>
      <c r="JD67" s="58">
        <f>IT67</f>
        <v/>
      </c>
      <c r="JE67" s="59" t="n"/>
      <c r="JF67" s="57" t="n"/>
      <c r="JG67" s="57" t="n"/>
      <c r="JH67" s="57" t="n"/>
      <c r="JI67" s="57" t="n"/>
      <c r="JJ67" s="60">
        <f>SUM(JF67:JI67)</f>
        <v/>
      </c>
      <c r="JK67" s="61" t="n"/>
      <c r="JL67" s="57" t="n"/>
      <c r="JM67" s="58">
        <f>JC67</f>
        <v/>
      </c>
      <c r="JN67" s="59" t="n"/>
      <c r="JO67" s="57" t="n"/>
      <c r="JP67" s="57" t="n"/>
      <c r="JQ67" s="57" t="n"/>
      <c r="JR67" s="57" t="n"/>
      <c r="JS67" s="60">
        <f>SUM(JO67:JR67)</f>
        <v/>
      </c>
      <c r="JT67" s="61" t="n"/>
      <c r="JU67" s="62">
        <f>I67+R67+AA67+AJ67+AS67+BB67+BK67+BT67+CC67+CL67+CU67+DD67+DM67+DV67+EE67+EN67+EW67+FF67+FO67+FX67+GG67+GP67+GY67+HH67+HQ67+HZ67+II67+IR67+JA67+JJ67+JS67</f>
        <v/>
      </c>
      <c r="JV67" s="63">
        <f>D67+M67+V67+AE67+AN67+AW67+BF67+BO67+BX67+CG67+CP67+CY67+DH67+DQ67+DZ67+EI67+ER67+FA67+FJ67+FS67+GB67+GK67+GT67+HC67+HL67+HU67+ID67+IM67+IV67+JE67+JN67</f>
        <v/>
      </c>
      <c r="JW67" s="62">
        <f>CHOOSE($Z$3,B67, K67, T67, AC67, AL67, AU67, BD67, BM67, BV67, CE67, CN67, CW67, DF67, DO67, DX67, EG67, EP67, EY67, FH67, FQ67, FZ67, GI67, GR67, HA67, HJ67, HS67, IB67, IK67, IT67, JC67, JL67)</f>
        <v/>
      </c>
      <c r="JX67" s="62">
        <f>IFERROR(JU67/$Z$3,0)</f>
        <v/>
      </c>
      <c r="JY67" s="62">
        <f>Configurações!$C$7</f>
        <v/>
      </c>
      <c r="JZ67" s="64">
        <f>IF(JY67=0,"— Sem meta",IF(JU67&gt;=JY67,"✓ Atingida","Em andamento"))</f>
        <v/>
      </c>
      <c r="KA67" s="65">
        <f>JU67+(13*0.0000001)</f>
        <v/>
      </c>
    </row>
    <row r="68" ht="20" customHeight="1">
      <c r="A68" s="56">
        <f>IF(Configurações!$B$8="","Assessor 2",Configurações!$B$8)</f>
        <v/>
      </c>
      <c r="B68" s="57" t="n"/>
      <c r="C68" s="66">
        <f>'Março'!$JW68</f>
        <v/>
      </c>
      <c r="D68" s="59" t="n"/>
      <c r="E68" s="57" t="n"/>
      <c r="F68" s="57" t="n"/>
      <c r="G68" s="57" t="n"/>
      <c r="H68" s="57" t="n"/>
      <c r="I68" s="67">
        <f>SUM(E68:H68)</f>
        <v/>
      </c>
      <c r="J68" s="61" t="n"/>
      <c r="K68" s="57" t="n"/>
      <c r="L68" s="66">
        <f>B68</f>
        <v/>
      </c>
      <c r="M68" s="59" t="n"/>
      <c r="N68" s="57" t="n"/>
      <c r="O68" s="57" t="n"/>
      <c r="P68" s="57" t="n"/>
      <c r="Q68" s="57" t="n"/>
      <c r="R68" s="67">
        <f>SUM(N68:Q68)</f>
        <v/>
      </c>
      <c r="S68" s="61" t="n"/>
      <c r="T68" s="57" t="n"/>
      <c r="U68" s="66">
        <f>K68</f>
        <v/>
      </c>
      <c r="V68" s="59" t="n"/>
      <c r="W68" s="57" t="n"/>
      <c r="X68" s="57" t="n"/>
      <c r="Y68" s="57" t="n"/>
      <c r="Z68" s="57" t="n"/>
      <c r="AA68" s="67">
        <f>SUM(W68:Z68)</f>
        <v/>
      </c>
      <c r="AB68" s="61" t="n"/>
      <c r="AC68" s="57" t="n"/>
      <c r="AD68" s="66">
        <f>T68</f>
        <v/>
      </c>
      <c r="AE68" s="59" t="n"/>
      <c r="AF68" s="57" t="n"/>
      <c r="AG68" s="57" t="n"/>
      <c r="AH68" s="57" t="n"/>
      <c r="AI68" s="57" t="n"/>
      <c r="AJ68" s="67">
        <f>SUM(AF68:AI68)</f>
        <v/>
      </c>
      <c r="AK68" s="61" t="n"/>
      <c r="AL68" s="57" t="n"/>
      <c r="AM68" s="66">
        <f>AC68</f>
        <v/>
      </c>
      <c r="AN68" s="59" t="n"/>
      <c r="AO68" s="57" t="n"/>
      <c r="AP68" s="57" t="n"/>
      <c r="AQ68" s="57" t="n"/>
      <c r="AR68" s="57" t="n"/>
      <c r="AS68" s="67">
        <f>SUM(AO68:AR68)</f>
        <v/>
      </c>
      <c r="AT68" s="61" t="n"/>
      <c r="AU68" s="57" t="n"/>
      <c r="AV68" s="66">
        <f>AL68</f>
        <v/>
      </c>
      <c r="AW68" s="59" t="n"/>
      <c r="AX68" s="57" t="n"/>
      <c r="AY68" s="57" t="n"/>
      <c r="AZ68" s="57" t="n"/>
      <c r="BA68" s="57" t="n"/>
      <c r="BB68" s="67">
        <f>SUM(AX68:BA68)</f>
        <v/>
      </c>
      <c r="BC68" s="61" t="n"/>
      <c r="BD68" s="57" t="n"/>
      <c r="BE68" s="66">
        <f>AU68</f>
        <v/>
      </c>
      <c r="BF68" s="59" t="n"/>
      <c r="BG68" s="57" t="n"/>
      <c r="BH68" s="57" t="n"/>
      <c r="BI68" s="57" t="n"/>
      <c r="BJ68" s="57" t="n"/>
      <c r="BK68" s="67">
        <f>SUM(BG68:BJ68)</f>
        <v/>
      </c>
      <c r="BL68" s="61" t="n"/>
      <c r="BM68" s="57" t="n"/>
      <c r="BN68" s="66">
        <f>BD68</f>
        <v/>
      </c>
      <c r="BO68" s="59" t="n"/>
      <c r="BP68" s="57" t="n"/>
      <c r="BQ68" s="57" t="n"/>
      <c r="BR68" s="57" t="n"/>
      <c r="BS68" s="57" t="n"/>
      <c r="BT68" s="67">
        <f>SUM(BP68:BS68)</f>
        <v/>
      </c>
      <c r="BU68" s="61" t="n"/>
      <c r="BV68" s="57" t="n"/>
      <c r="BW68" s="66">
        <f>BM68</f>
        <v/>
      </c>
      <c r="BX68" s="59" t="n"/>
      <c r="BY68" s="57" t="n"/>
      <c r="BZ68" s="57" t="n"/>
      <c r="CA68" s="57" t="n"/>
      <c r="CB68" s="57" t="n"/>
      <c r="CC68" s="67">
        <f>SUM(BY68:CB68)</f>
        <v/>
      </c>
      <c r="CD68" s="61" t="n"/>
      <c r="CE68" s="57" t="n"/>
      <c r="CF68" s="66">
        <f>BV68</f>
        <v/>
      </c>
      <c r="CG68" s="59" t="n"/>
      <c r="CH68" s="57" t="n"/>
      <c r="CI68" s="57" t="n"/>
      <c r="CJ68" s="57" t="n"/>
      <c r="CK68" s="57" t="n"/>
      <c r="CL68" s="67">
        <f>SUM(CH68:CK68)</f>
        <v/>
      </c>
      <c r="CM68" s="61" t="n"/>
      <c r="CN68" s="57" t="n"/>
      <c r="CO68" s="66">
        <f>CE68</f>
        <v/>
      </c>
      <c r="CP68" s="59" t="n"/>
      <c r="CQ68" s="57" t="n"/>
      <c r="CR68" s="57" t="n"/>
      <c r="CS68" s="57" t="n"/>
      <c r="CT68" s="57" t="n"/>
      <c r="CU68" s="67">
        <f>SUM(CQ68:CT68)</f>
        <v/>
      </c>
      <c r="CV68" s="61" t="n"/>
      <c r="CW68" s="57" t="n"/>
      <c r="CX68" s="66">
        <f>CN68</f>
        <v/>
      </c>
      <c r="CY68" s="59" t="n"/>
      <c r="CZ68" s="57" t="n"/>
      <c r="DA68" s="57" t="n"/>
      <c r="DB68" s="57" t="n"/>
      <c r="DC68" s="57" t="n"/>
      <c r="DD68" s="67">
        <f>SUM(CZ68:DC68)</f>
        <v/>
      </c>
      <c r="DE68" s="61" t="n"/>
      <c r="DF68" s="57" t="n"/>
      <c r="DG68" s="66">
        <f>CW68</f>
        <v/>
      </c>
      <c r="DH68" s="59" t="n"/>
      <c r="DI68" s="57" t="n"/>
      <c r="DJ68" s="57" t="n"/>
      <c r="DK68" s="57" t="n"/>
      <c r="DL68" s="57" t="n"/>
      <c r="DM68" s="67">
        <f>SUM(DI68:DL68)</f>
        <v/>
      </c>
      <c r="DN68" s="61" t="n"/>
      <c r="DO68" s="57" t="n"/>
      <c r="DP68" s="66">
        <f>DF68</f>
        <v/>
      </c>
      <c r="DQ68" s="59" t="n"/>
      <c r="DR68" s="57" t="n"/>
      <c r="DS68" s="57" t="n"/>
      <c r="DT68" s="57" t="n"/>
      <c r="DU68" s="57" t="n"/>
      <c r="DV68" s="67">
        <f>SUM(DR68:DU68)</f>
        <v/>
      </c>
      <c r="DW68" s="61" t="n"/>
      <c r="DX68" s="57" t="n"/>
      <c r="DY68" s="66">
        <f>DO68</f>
        <v/>
      </c>
      <c r="DZ68" s="59" t="n"/>
      <c r="EA68" s="57" t="n"/>
      <c r="EB68" s="57" t="n"/>
      <c r="EC68" s="57" t="n"/>
      <c r="ED68" s="57" t="n"/>
      <c r="EE68" s="67">
        <f>SUM(EA68:ED68)</f>
        <v/>
      </c>
      <c r="EF68" s="61" t="n"/>
      <c r="EG68" s="57" t="n"/>
      <c r="EH68" s="66">
        <f>DX68</f>
        <v/>
      </c>
      <c r="EI68" s="59" t="n"/>
      <c r="EJ68" s="57" t="n"/>
      <c r="EK68" s="57" t="n"/>
      <c r="EL68" s="57" t="n"/>
      <c r="EM68" s="57" t="n"/>
      <c r="EN68" s="67">
        <f>SUM(EJ68:EM68)</f>
        <v/>
      </c>
      <c r="EO68" s="61" t="n"/>
      <c r="EP68" s="57" t="n"/>
      <c r="EQ68" s="66">
        <f>EG68</f>
        <v/>
      </c>
      <c r="ER68" s="59" t="n"/>
      <c r="ES68" s="57" t="n"/>
      <c r="ET68" s="57" t="n"/>
      <c r="EU68" s="57" t="n"/>
      <c r="EV68" s="57" t="n"/>
      <c r="EW68" s="67">
        <f>SUM(ES68:EV68)</f>
        <v/>
      </c>
      <c r="EX68" s="61" t="n"/>
      <c r="EY68" s="57" t="n"/>
      <c r="EZ68" s="66">
        <f>EP68</f>
        <v/>
      </c>
      <c r="FA68" s="59" t="n"/>
      <c r="FB68" s="57" t="n"/>
      <c r="FC68" s="57" t="n"/>
      <c r="FD68" s="57" t="n"/>
      <c r="FE68" s="57" t="n"/>
      <c r="FF68" s="67">
        <f>SUM(FB68:FE68)</f>
        <v/>
      </c>
      <c r="FG68" s="61" t="n"/>
      <c r="FH68" s="57" t="n"/>
      <c r="FI68" s="66">
        <f>EY68</f>
        <v/>
      </c>
      <c r="FJ68" s="59" t="n"/>
      <c r="FK68" s="57" t="n"/>
      <c r="FL68" s="57" t="n"/>
      <c r="FM68" s="57" t="n"/>
      <c r="FN68" s="57" t="n"/>
      <c r="FO68" s="67">
        <f>SUM(FK68:FN68)</f>
        <v/>
      </c>
      <c r="FP68" s="61" t="n"/>
      <c r="FQ68" s="57" t="n"/>
      <c r="FR68" s="66">
        <f>FH68</f>
        <v/>
      </c>
      <c r="FS68" s="59" t="n"/>
      <c r="FT68" s="57" t="n"/>
      <c r="FU68" s="57" t="n"/>
      <c r="FV68" s="57" t="n"/>
      <c r="FW68" s="57" t="n"/>
      <c r="FX68" s="67">
        <f>SUM(FT68:FW68)</f>
        <v/>
      </c>
      <c r="FY68" s="61" t="n"/>
      <c r="FZ68" s="57" t="n"/>
      <c r="GA68" s="66">
        <f>FQ68</f>
        <v/>
      </c>
      <c r="GB68" s="59" t="n"/>
      <c r="GC68" s="57" t="n"/>
      <c r="GD68" s="57" t="n"/>
      <c r="GE68" s="57" t="n"/>
      <c r="GF68" s="57" t="n"/>
      <c r="GG68" s="67">
        <f>SUM(GC68:GF68)</f>
        <v/>
      </c>
      <c r="GH68" s="61" t="n"/>
      <c r="GI68" s="57" t="n"/>
      <c r="GJ68" s="66">
        <f>FZ68</f>
        <v/>
      </c>
      <c r="GK68" s="59" t="n"/>
      <c r="GL68" s="57" t="n"/>
      <c r="GM68" s="57" t="n"/>
      <c r="GN68" s="57" t="n"/>
      <c r="GO68" s="57" t="n"/>
      <c r="GP68" s="67">
        <f>SUM(GL68:GO68)</f>
        <v/>
      </c>
      <c r="GQ68" s="61" t="n"/>
      <c r="GR68" s="57" t="n"/>
      <c r="GS68" s="66">
        <f>GI68</f>
        <v/>
      </c>
      <c r="GT68" s="59" t="n"/>
      <c r="GU68" s="57" t="n"/>
      <c r="GV68" s="57" t="n"/>
      <c r="GW68" s="57" t="n"/>
      <c r="GX68" s="57" t="n"/>
      <c r="GY68" s="67">
        <f>SUM(GU68:GX68)</f>
        <v/>
      </c>
      <c r="GZ68" s="61" t="n"/>
      <c r="HA68" s="57" t="n"/>
      <c r="HB68" s="66">
        <f>GR68</f>
        <v/>
      </c>
      <c r="HC68" s="59" t="n"/>
      <c r="HD68" s="57" t="n"/>
      <c r="HE68" s="57" t="n"/>
      <c r="HF68" s="57" t="n"/>
      <c r="HG68" s="57" t="n"/>
      <c r="HH68" s="67">
        <f>SUM(HD68:HG68)</f>
        <v/>
      </c>
      <c r="HI68" s="61" t="n"/>
      <c r="HJ68" s="57" t="n"/>
      <c r="HK68" s="66">
        <f>HA68</f>
        <v/>
      </c>
      <c r="HL68" s="59" t="n"/>
      <c r="HM68" s="57" t="n"/>
      <c r="HN68" s="57" t="n"/>
      <c r="HO68" s="57" t="n"/>
      <c r="HP68" s="57" t="n"/>
      <c r="HQ68" s="67">
        <f>SUM(HM68:HP68)</f>
        <v/>
      </c>
      <c r="HR68" s="61" t="n"/>
      <c r="HS68" s="57" t="n"/>
      <c r="HT68" s="66">
        <f>HJ68</f>
        <v/>
      </c>
      <c r="HU68" s="59" t="n"/>
      <c r="HV68" s="57" t="n"/>
      <c r="HW68" s="57" t="n"/>
      <c r="HX68" s="57" t="n"/>
      <c r="HY68" s="57" t="n"/>
      <c r="HZ68" s="67">
        <f>SUM(HV68:HY68)</f>
        <v/>
      </c>
      <c r="IA68" s="61" t="n"/>
      <c r="IB68" s="57" t="n"/>
      <c r="IC68" s="66">
        <f>HS68</f>
        <v/>
      </c>
      <c r="ID68" s="59" t="n"/>
      <c r="IE68" s="57" t="n"/>
      <c r="IF68" s="57" t="n"/>
      <c r="IG68" s="57" t="n"/>
      <c r="IH68" s="57" t="n"/>
      <c r="II68" s="67">
        <f>SUM(IE68:IH68)</f>
        <v/>
      </c>
      <c r="IJ68" s="61" t="n"/>
      <c r="IK68" s="57" t="n"/>
      <c r="IL68" s="66">
        <f>IB68</f>
        <v/>
      </c>
      <c r="IM68" s="59" t="n"/>
      <c r="IN68" s="57" t="n"/>
      <c r="IO68" s="57" t="n"/>
      <c r="IP68" s="57" t="n"/>
      <c r="IQ68" s="57" t="n"/>
      <c r="IR68" s="67">
        <f>SUM(IN68:IQ68)</f>
        <v/>
      </c>
      <c r="IS68" s="61" t="n"/>
      <c r="IT68" s="57" t="n"/>
      <c r="IU68" s="66">
        <f>IK68</f>
        <v/>
      </c>
      <c r="IV68" s="59" t="n"/>
      <c r="IW68" s="57" t="n"/>
      <c r="IX68" s="57" t="n"/>
      <c r="IY68" s="57" t="n"/>
      <c r="IZ68" s="57" t="n"/>
      <c r="JA68" s="67">
        <f>SUM(IW68:IZ68)</f>
        <v/>
      </c>
      <c r="JB68" s="61" t="n"/>
      <c r="JC68" s="57" t="n"/>
      <c r="JD68" s="66">
        <f>IT68</f>
        <v/>
      </c>
      <c r="JE68" s="59" t="n"/>
      <c r="JF68" s="57" t="n"/>
      <c r="JG68" s="57" t="n"/>
      <c r="JH68" s="57" t="n"/>
      <c r="JI68" s="57" t="n"/>
      <c r="JJ68" s="67">
        <f>SUM(JF68:JI68)</f>
        <v/>
      </c>
      <c r="JK68" s="61" t="n"/>
      <c r="JL68" s="57" t="n"/>
      <c r="JM68" s="66">
        <f>JC68</f>
        <v/>
      </c>
      <c r="JN68" s="59" t="n"/>
      <c r="JO68" s="57" t="n"/>
      <c r="JP68" s="57" t="n"/>
      <c r="JQ68" s="57" t="n"/>
      <c r="JR68" s="57" t="n"/>
      <c r="JS68" s="67">
        <f>SUM(JO68:JR68)</f>
        <v/>
      </c>
      <c r="JT68" s="61" t="n"/>
      <c r="JU68" s="62">
        <f>I68+R68+AA68+AJ68+AS68+BB68+BK68+BT68+CC68+CL68+CU68+DD68+DM68+DV68+EE68+EN68+EW68+FF68+FO68+FX68+GG68+GP68+GY68+HH68+HQ68+HZ68+II68+IR68+JA68+JJ68+JS68</f>
        <v/>
      </c>
      <c r="JV68" s="63">
        <f>D68+M68+V68+AE68+AN68+AW68+BF68+BO68+BX68+CG68+CP68+CY68+DH68+DQ68+DZ68+EI68+ER68+FA68+FJ68+FS68+GB68+GK68+GT68+HC68+HL68+HU68+ID68+IM68+IV68+JE68+JN68</f>
        <v/>
      </c>
      <c r="JW68" s="62">
        <f>CHOOSE($Z$3,B68, K68, T68, AC68, AL68, AU68, BD68, BM68, BV68, CE68, CN68, CW68, DF68, DO68, DX68, EG68, EP68, EY68, FH68, FQ68, FZ68, GI68, GR68, HA68, HJ68, HS68, IB68, IK68, IT68, JC68, JL68)</f>
        <v/>
      </c>
      <c r="JX68" s="62">
        <f>IFERROR(JU68/$Z$3,0)</f>
        <v/>
      </c>
      <c r="JY68" s="62">
        <f>Configurações!$C$8</f>
        <v/>
      </c>
      <c r="JZ68" s="64">
        <f>IF(JY68=0,"— Sem meta",IF(JU68&gt;=JY68,"✓ Atingida","Em andamento"))</f>
        <v/>
      </c>
      <c r="KA68" s="65">
        <f>JU68+(12*0.0000001)</f>
        <v/>
      </c>
    </row>
    <row r="69" ht="20" customHeight="1">
      <c r="A69" s="56">
        <f>IF(Configurações!$B$9="","Assessor 3",Configurações!$B$9)</f>
        <v/>
      </c>
      <c r="B69" s="57" t="n"/>
      <c r="C69" s="58">
        <f>'Março'!$JW69</f>
        <v/>
      </c>
      <c r="D69" s="59" t="n"/>
      <c r="E69" s="57" t="n"/>
      <c r="F69" s="57" t="n"/>
      <c r="G69" s="57" t="n"/>
      <c r="H69" s="57" t="n"/>
      <c r="I69" s="60">
        <f>SUM(E69:H69)</f>
        <v/>
      </c>
      <c r="J69" s="61" t="n"/>
      <c r="K69" s="57" t="n"/>
      <c r="L69" s="58">
        <f>B69</f>
        <v/>
      </c>
      <c r="M69" s="59" t="n"/>
      <c r="N69" s="57" t="n"/>
      <c r="O69" s="57" t="n"/>
      <c r="P69" s="57" t="n"/>
      <c r="Q69" s="57" t="n"/>
      <c r="R69" s="60">
        <f>SUM(N69:Q69)</f>
        <v/>
      </c>
      <c r="S69" s="61" t="n"/>
      <c r="T69" s="57" t="n"/>
      <c r="U69" s="58">
        <f>K69</f>
        <v/>
      </c>
      <c r="V69" s="59" t="n"/>
      <c r="W69" s="57" t="n"/>
      <c r="X69" s="57" t="n"/>
      <c r="Y69" s="57" t="n"/>
      <c r="Z69" s="57" t="n"/>
      <c r="AA69" s="60">
        <f>SUM(W69:Z69)</f>
        <v/>
      </c>
      <c r="AB69" s="61" t="n"/>
      <c r="AC69" s="57" t="n"/>
      <c r="AD69" s="58">
        <f>T69</f>
        <v/>
      </c>
      <c r="AE69" s="59" t="n"/>
      <c r="AF69" s="57" t="n"/>
      <c r="AG69" s="57" t="n"/>
      <c r="AH69" s="57" t="n"/>
      <c r="AI69" s="57" t="n"/>
      <c r="AJ69" s="60">
        <f>SUM(AF69:AI69)</f>
        <v/>
      </c>
      <c r="AK69" s="61" t="n"/>
      <c r="AL69" s="57" t="n"/>
      <c r="AM69" s="58">
        <f>AC69</f>
        <v/>
      </c>
      <c r="AN69" s="59" t="n"/>
      <c r="AO69" s="57" t="n"/>
      <c r="AP69" s="57" t="n"/>
      <c r="AQ69" s="57" t="n"/>
      <c r="AR69" s="57" t="n"/>
      <c r="AS69" s="60">
        <f>SUM(AO69:AR69)</f>
        <v/>
      </c>
      <c r="AT69" s="61" t="n"/>
      <c r="AU69" s="57" t="n"/>
      <c r="AV69" s="58">
        <f>AL69</f>
        <v/>
      </c>
      <c r="AW69" s="59" t="n"/>
      <c r="AX69" s="57" t="n"/>
      <c r="AY69" s="57" t="n"/>
      <c r="AZ69" s="57" t="n"/>
      <c r="BA69" s="57" t="n"/>
      <c r="BB69" s="60">
        <f>SUM(AX69:BA69)</f>
        <v/>
      </c>
      <c r="BC69" s="61" t="n"/>
      <c r="BD69" s="57" t="n"/>
      <c r="BE69" s="58">
        <f>AU69</f>
        <v/>
      </c>
      <c r="BF69" s="59" t="n"/>
      <c r="BG69" s="57" t="n"/>
      <c r="BH69" s="57" t="n"/>
      <c r="BI69" s="57" t="n"/>
      <c r="BJ69" s="57" t="n"/>
      <c r="BK69" s="60">
        <f>SUM(BG69:BJ69)</f>
        <v/>
      </c>
      <c r="BL69" s="61" t="n"/>
      <c r="BM69" s="57" t="n"/>
      <c r="BN69" s="58">
        <f>BD69</f>
        <v/>
      </c>
      <c r="BO69" s="59" t="n"/>
      <c r="BP69" s="57" t="n"/>
      <c r="BQ69" s="57" t="n"/>
      <c r="BR69" s="57" t="n"/>
      <c r="BS69" s="57" t="n"/>
      <c r="BT69" s="60">
        <f>SUM(BP69:BS69)</f>
        <v/>
      </c>
      <c r="BU69" s="61" t="n"/>
      <c r="BV69" s="57" t="n"/>
      <c r="BW69" s="58">
        <f>BM69</f>
        <v/>
      </c>
      <c r="BX69" s="59" t="n"/>
      <c r="BY69" s="57" t="n"/>
      <c r="BZ69" s="57" t="n"/>
      <c r="CA69" s="57" t="n"/>
      <c r="CB69" s="57" t="n"/>
      <c r="CC69" s="60">
        <f>SUM(BY69:CB69)</f>
        <v/>
      </c>
      <c r="CD69" s="61" t="n"/>
      <c r="CE69" s="57" t="n"/>
      <c r="CF69" s="58">
        <f>BV69</f>
        <v/>
      </c>
      <c r="CG69" s="59" t="n"/>
      <c r="CH69" s="57" t="n"/>
      <c r="CI69" s="57" t="n"/>
      <c r="CJ69" s="57" t="n"/>
      <c r="CK69" s="57" t="n"/>
      <c r="CL69" s="60">
        <f>SUM(CH69:CK69)</f>
        <v/>
      </c>
      <c r="CM69" s="61" t="n"/>
      <c r="CN69" s="57" t="n"/>
      <c r="CO69" s="58">
        <f>CE69</f>
        <v/>
      </c>
      <c r="CP69" s="59" t="n"/>
      <c r="CQ69" s="57" t="n"/>
      <c r="CR69" s="57" t="n"/>
      <c r="CS69" s="57" t="n"/>
      <c r="CT69" s="57" t="n"/>
      <c r="CU69" s="60">
        <f>SUM(CQ69:CT69)</f>
        <v/>
      </c>
      <c r="CV69" s="61" t="n"/>
      <c r="CW69" s="57" t="n"/>
      <c r="CX69" s="58">
        <f>CN69</f>
        <v/>
      </c>
      <c r="CY69" s="59" t="n"/>
      <c r="CZ69" s="57" t="n"/>
      <c r="DA69" s="57" t="n"/>
      <c r="DB69" s="57" t="n"/>
      <c r="DC69" s="57" t="n"/>
      <c r="DD69" s="60">
        <f>SUM(CZ69:DC69)</f>
        <v/>
      </c>
      <c r="DE69" s="61" t="n"/>
      <c r="DF69" s="57" t="n"/>
      <c r="DG69" s="58">
        <f>CW69</f>
        <v/>
      </c>
      <c r="DH69" s="59" t="n"/>
      <c r="DI69" s="57" t="n"/>
      <c r="DJ69" s="57" t="n"/>
      <c r="DK69" s="57" t="n"/>
      <c r="DL69" s="57" t="n"/>
      <c r="DM69" s="60">
        <f>SUM(DI69:DL69)</f>
        <v/>
      </c>
      <c r="DN69" s="61" t="n"/>
      <c r="DO69" s="57" t="n"/>
      <c r="DP69" s="58">
        <f>DF69</f>
        <v/>
      </c>
      <c r="DQ69" s="59" t="n"/>
      <c r="DR69" s="57" t="n"/>
      <c r="DS69" s="57" t="n"/>
      <c r="DT69" s="57" t="n"/>
      <c r="DU69" s="57" t="n"/>
      <c r="DV69" s="60">
        <f>SUM(DR69:DU69)</f>
        <v/>
      </c>
      <c r="DW69" s="61" t="n"/>
      <c r="DX69" s="57" t="n"/>
      <c r="DY69" s="58">
        <f>DO69</f>
        <v/>
      </c>
      <c r="DZ69" s="59" t="n"/>
      <c r="EA69" s="57" t="n"/>
      <c r="EB69" s="57" t="n"/>
      <c r="EC69" s="57" t="n"/>
      <c r="ED69" s="57" t="n"/>
      <c r="EE69" s="60">
        <f>SUM(EA69:ED69)</f>
        <v/>
      </c>
      <c r="EF69" s="61" t="n"/>
      <c r="EG69" s="57" t="n"/>
      <c r="EH69" s="58">
        <f>DX69</f>
        <v/>
      </c>
      <c r="EI69" s="59" t="n"/>
      <c r="EJ69" s="57" t="n"/>
      <c r="EK69" s="57" t="n"/>
      <c r="EL69" s="57" t="n"/>
      <c r="EM69" s="57" t="n"/>
      <c r="EN69" s="60">
        <f>SUM(EJ69:EM69)</f>
        <v/>
      </c>
      <c r="EO69" s="61" t="n"/>
      <c r="EP69" s="57" t="n"/>
      <c r="EQ69" s="58">
        <f>EG69</f>
        <v/>
      </c>
      <c r="ER69" s="59" t="n"/>
      <c r="ES69" s="57" t="n"/>
      <c r="ET69" s="57" t="n"/>
      <c r="EU69" s="57" t="n"/>
      <c r="EV69" s="57" t="n"/>
      <c r="EW69" s="60">
        <f>SUM(ES69:EV69)</f>
        <v/>
      </c>
      <c r="EX69" s="61" t="n"/>
      <c r="EY69" s="57" t="n"/>
      <c r="EZ69" s="58">
        <f>EP69</f>
        <v/>
      </c>
      <c r="FA69" s="59" t="n"/>
      <c r="FB69" s="57" t="n"/>
      <c r="FC69" s="57" t="n"/>
      <c r="FD69" s="57" t="n"/>
      <c r="FE69" s="57" t="n"/>
      <c r="FF69" s="60">
        <f>SUM(FB69:FE69)</f>
        <v/>
      </c>
      <c r="FG69" s="61" t="n"/>
      <c r="FH69" s="57" t="n"/>
      <c r="FI69" s="58">
        <f>EY69</f>
        <v/>
      </c>
      <c r="FJ69" s="59" t="n"/>
      <c r="FK69" s="57" t="n"/>
      <c r="FL69" s="57" t="n"/>
      <c r="FM69" s="57" t="n"/>
      <c r="FN69" s="57" t="n"/>
      <c r="FO69" s="60">
        <f>SUM(FK69:FN69)</f>
        <v/>
      </c>
      <c r="FP69" s="61" t="n"/>
      <c r="FQ69" s="57" t="n"/>
      <c r="FR69" s="58">
        <f>FH69</f>
        <v/>
      </c>
      <c r="FS69" s="59" t="n"/>
      <c r="FT69" s="57" t="n"/>
      <c r="FU69" s="57" t="n"/>
      <c r="FV69" s="57" t="n"/>
      <c r="FW69" s="57" t="n"/>
      <c r="FX69" s="60">
        <f>SUM(FT69:FW69)</f>
        <v/>
      </c>
      <c r="FY69" s="61" t="n"/>
      <c r="FZ69" s="57" t="n"/>
      <c r="GA69" s="58">
        <f>FQ69</f>
        <v/>
      </c>
      <c r="GB69" s="59" t="n"/>
      <c r="GC69" s="57" t="n"/>
      <c r="GD69" s="57" t="n"/>
      <c r="GE69" s="57" t="n"/>
      <c r="GF69" s="57" t="n"/>
      <c r="GG69" s="60">
        <f>SUM(GC69:GF69)</f>
        <v/>
      </c>
      <c r="GH69" s="61" t="n"/>
      <c r="GI69" s="57" t="n"/>
      <c r="GJ69" s="58">
        <f>FZ69</f>
        <v/>
      </c>
      <c r="GK69" s="59" t="n"/>
      <c r="GL69" s="57" t="n"/>
      <c r="GM69" s="57" t="n"/>
      <c r="GN69" s="57" t="n"/>
      <c r="GO69" s="57" t="n"/>
      <c r="GP69" s="60">
        <f>SUM(GL69:GO69)</f>
        <v/>
      </c>
      <c r="GQ69" s="61" t="n"/>
      <c r="GR69" s="57" t="n"/>
      <c r="GS69" s="58">
        <f>GI69</f>
        <v/>
      </c>
      <c r="GT69" s="59" t="n"/>
      <c r="GU69" s="57" t="n"/>
      <c r="GV69" s="57" t="n"/>
      <c r="GW69" s="57" t="n"/>
      <c r="GX69" s="57" t="n"/>
      <c r="GY69" s="60">
        <f>SUM(GU69:GX69)</f>
        <v/>
      </c>
      <c r="GZ69" s="61" t="n"/>
      <c r="HA69" s="57" t="n"/>
      <c r="HB69" s="58">
        <f>GR69</f>
        <v/>
      </c>
      <c r="HC69" s="59" t="n"/>
      <c r="HD69" s="57" t="n"/>
      <c r="HE69" s="57" t="n"/>
      <c r="HF69" s="57" t="n"/>
      <c r="HG69" s="57" t="n"/>
      <c r="HH69" s="60">
        <f>SUM(HD69:HG69)</f>
        <v/>
      </c>
      <c r="HI69" s="61" t="n"/>
      <c r="HJ69" s="57" t="n"/>
      <c r="HK69" s="58">
        <f>HA69</f>
        <v/>
      </c>
      <c r="HL69" s="59" t="n"/>
      <c r="HM69" s="57" t="n"/>
      <c r="HN69" s="57" t="n"/>
      <c r="HO69" s="57" t="n"/>
      <c r="HP69" s="57" t="n"/>
      <c r="HQ69" s="60">
        <f>SUM(HM69:HP69)</f>
        <v/>
      </c>
      <c r="HR69" s="61" t="n"/>
      <c r="HS69" s="57" t="n"/>
      <c r="HT69" s="58">
        <f>HJ69</f>
        <v/>
      </c>
      <c r="HU69" s="59" t="n"/>
      <c r="HV69" s="57" t="n"/>
      <c r="HW69" s="57" t="n"/>
      <c r="HX69" s="57" t="n"/>
      <c r="HY69" s="57" t="n"/>
      <c r="HZ69" s="60">
        <f>SUM(HV69:HY69)</f>
        <v/>
      </c>
      <c r="IA69" s="61" t="n"/>
      <c r="IB69" s="57" t="n"/>
      <c r="IC69" s="58">
        <f>HS69</f>
        <v/>
      </c>
      <c r="ID69" s="59" t="n"/>
      <c r="IE69" s="57" t="n"/>
      <c r="IF69" s="57" t="n"/>
      <c r="IG69" s="57" t="n"/>
      <c r="IH69" s="57" t="n"/>
      <c r="II69" s="60">
        <f>SUM(IE69:IH69)</f>
        <v/>
      </c>
      <c r="IJ69" s="61" t="n"/>
      <c r="IK69" s="57" t="n"/>
      <c r="IL69" s="58">
        <f>IB69</f>
        <v/>
      </c>
      <c r="IM69" s="59" t="n"/>
      <c r="IN69" s="57" t="n"/>
      <c r="IO69" s="57" t="n"/>
      <c r="IP69" s="57" t="n"/>
      <c r="IQ69" s="57" t="n"/>
      <c r="IR69" s="60">
        <f>SUM(IN69:IQ69)</f>
        <v/>
      </c>
      <c r="IS69" s="61" t="n"/>
      <c r="IT69" s="57" t="n"/>
      <c r="IU69" s="58">
        <f>IK69</f>
        <v/>
      </c>
      <c r="IV69" s="59" t="n"/>
      <c r="IW69" s="57" t="n"/>
      <c r="IX69" s="57" t="n"/>
      <c r="IY69" s="57" t="n"/>
      <c r="IZ69" s="57" t="n"/>
      <c r="JA69" s="60">
        <f>SUM(IW69:IZ69)</f>
        <v/>
      </c>
      <c r="JB69" s="61" t="n"/>
      <c r="JC69" s="57" t="n"/>
      <c r="JD69" s="58">
        <f>IT69</f>
        <v/>
      </c>
      <c r="JE69" s="59" t="n"/>
      <c r="JF69" s="57" t="n"/>
      <c r="JG69" s="57" t="n"/>
      <c r="JH69" s="57" t="n"/>
      <c r="JI69" s="57" t="n"/>
      <c r="JJ69" s="60">
        <f>SUM(JF69:JI69)</f>
        <v/>
      </c>
      <c r="JK69" s="61" t="n"/>
      <c r="JL69" s="57" t="n"/>
      <c r="JM69" s="58">
        <f>JC69</f>
        <v/>
      </c>
      <c r="JN69" s="59" t="n"/>
      <c r="JO69" s="57" t="n"/>
      <c r="JP69" s="57" t="n"/>
      <c r="JQ69" s="57" t="n"/>
      <c r="JR69" s="57" t="n"/>
      <c r="JS69" s="60">
        <f>SUM(JO69:JR69)</f>
        <v/>
      </c>
      <c r="JT69" s="61" t="n"/>
      <c r="JU69" s="62">
        <f>I69+R69+AA69+AJ69+AS69+BB69+BK69+BT69+CC69+CL69+CU69+DD69+DM69+DV69+EE69+EN69+EW69+FF69+FO69+FX69+GG69+GP69+GY69+HH69+HQ69+HZ69+II69+IR69+JA69+JJ69+JS69</f>
        <v/>
      </c>
      <c r="JV69" s="63">
        <f>D69+M69+V69+AE69+AN69+AW69+BF69+BO69+BX69+CG69+CP69+CY69+DH69+DQ69+DZ69+EI69+ER69+FA69+FJ69+FS69+GB69+GK69+GT69+HC69+HL69+HU69+ID69+IM69+IV69+JE69+JN69</f>
        <v/>
      </c>
      <c r="JW69" s="62">
        <f>CHOOSE($Z$3,B69, K69, T69, AC69, AL69, AU69, BD69, BM69, BV69, CE69, CN69, CW69, DF69, DO69, DX69, EG69, EP69, EY69, FH69, FQ69, FZ69, GI69, GR69, HA69, HJ69, HS69, IB69, IK69, IT69, JC69, JL69)</f>
        <v/>
      </c>
      <c r="JX69" s="62">
        <f>IFERROR(JU69/$Z$3,0)</f>
        <v/>
      </c>
      <c r="JY69" s="62">
        <f>Configurações!$C$9</f>
        <v/>
      </c>
      <c r="JZ69" s="64">
        <f>IF(JY69=0,"— Sem meta",IF(JU69&gt;=JY69,"✓ Atingida","Em andamento"))</f>
        <v/>
      </c>
      <c r="KA69" s="65">
        <f>JU69+(11*0.0000001)</f>
        <v/>
      </c>
    </row>
    <row r="70" ht="20" customHeight="1">
      <c r="A70" s="56">
        <f>IF(Configurações!$B$10="","Assessor 4",Configurações!$B$10)</f>
        <v/>
      </c>
      <c r="B70" s="57" t="n"/>
      <c r="C70" s="66">
        <f>'Março'!$JW70</f>
        <v/>
      </c>
      <c r="D70" s="59" t="n"/>
      <c r="E70" s="57" t="n"/>
      <c r="F70" s="57" t="n"/>
      <c r="G70" s="57" t="n"/>
      <c r="H70" s="57" t="n"/>
      <c r="I70" s="67">
        <f>SUM(E70:H70)</f>
        <v/>
      </c>
      <c r="J70" s="61" t="n"/>
      <c r="K70" s="57" t="n"/>
      <c r="L70" s="66">
        <f>B70</f>
        <v/>
      </c>
      <c r="M70" s="59" t="n"/>
      <c r="N70" s="57" t="n"/>
      <c r="O70" s="57" t="n"/>
      <c r="P70" s="57" t="n"/>
      <c r="Q70" s="57" t="n"/>
      <c r="R70" s="67">
        <f>SUM(N70:Q70)</f>
        <v/>
      </c>
      <c r="S70" s="61" t="n"/>
      <c r="T70" s="57" t="n"/>
      <c r="U70" s="66">
        <f>K70</f>
        <v/>
      </c>
      <c r="V70" s="59" t="n"/>
      <c r="W70" s="57" t="n"/>
      <c r="X70" s="57" t="n"/>
      <c r="Y70" s="57" t="n"/>
      <c r="Z70" s="57" t="n"/>
      <c r="AA70" s="67">
        <f>SUM(W70:Z70)</f>
        <v/>
      </c>
      <c r="AB70" s="61" t="n"/>
      <c r="AC70" s="57" t="n"/>
      <c r="AD70" s="66">
        <f>T70</f>
        <v/>
      </c>
      <c r="AE70" s="59" t="n"/>
      <c r="AF70" s="57" t="n"/>
      <c r="AG70" s="57" t="n"/>
      <c r="AH70" s="57" t="n"/>
      <c r="AI70" s="57" t="n"/>
      <c r="AJ70" s="67">
        <f>SUM(AF70:AI70)</f>
        <v/>
      </c>
      <c r="AK70" s="61" t="n"/>
      <c r="AL70" s="57" t="n"/>
      <c r="AM70" s="66">
        <f>AC70</f>
        <v/>
      </c>
      <c r="AN70" s="59" t="n"/>
      <c r="AO70" s="57" t="n"/>
      <c r="AP70" s="57" t="n"/>
      <c r="AQ70" s="57" t="n"/>
      <c r="AR70" s="57" t="n"/>
      <c r="AS70" s="67">
        <f>SUM(AO70:AR70)</f>
        <v/>
      </c>
      <c r="AT70" s="61" t="n"/>
      <c r="AU70" s="57" t="n"/>
      <c r="AV70" s="66">
        <f>AL70</f>
        <v/>
      </c>
      <c r="AW70" s="59" t="n"/>
      <c r="AX70" s="57" t="n"/>
      <c r="AY70" s="57" t="n"/>
      <c r="AZ70" s="57" t="n"/>
      <c r="BA70" s="57" t="n"/>
      <c r="BB70" s="67">
        <f>SUM(AX70:BA70)</f>
        <v/>
      </c>
      <c r="BC70" s="61" t="n"/>
      <c r="BD70" s="57" t="n"/>
      <c r="BE70" s="66">
        <f>AU70</f>
        <v/>
      </c>
      <c r="BF70" s="59" t="n"/>
      <c r="BG70" s="57" t="n"/>
      <c r="BH70" s="57" t="n"/>
      <c r="BI70" s="57" t="n"/>
      <c r="BJ70" s="57" t="n"/>
      <c r="BK70" s="67">
        <f>SUM(BG70:BJ70)</f>
        <v/>
      </c>
      <c r="BL70" s="61" t="n"/>
      <c r="BM70" s="57" t="n"/>
      <c r="BN70" s="66">
        <f>BD70</f>
        <v/>
      </c>
      <c r="BO70" s="59" t="n"/>
      <c r="BP70" s="57" t="n"/>
      <c r="BQ70" s="57" t="n"/>
      <c r="BR70" s="57" t="n"/>
      <c r="BS70" s="57" t="n"/>
      <c r="BT70" s="67">
        <f>SUM(BP70:BS70)</f>
        <v/>
      </c>
      <c r="BU70" s="61" t="n"/>
      <c r="BV70" s="57" t="n"/>
      <c r="BW70" s="66">
        <f>BM70</f>
        <v/>
      </c>
      <c r="BX70" s="59" t="n"/>
      <c r="BY70" s="57" t="n"/>
      <c r="BZ70" s="57" t="n"/>
      <c r="CA70" s="57" t="n"/>
      <c r="CB70" s="57" t="n"/>
      <c r="CC70" s="67">
        <f>SUM(BY70:CB70)</f>
        <v/>
      </c>
      <c r="CD70" s="61" t="n"/>
      <c r="CE70" s="57" t="n"/>
      <c r="CF70" s="66">
        <f>BV70</f>
        <v/>
      </c>
      <c r="CG70" s="59" t="n"/>
      <c r="CH70" s="57" t="n"/>
      <c r="CI70" s="57" t="n"/>
      <c r="CJ70" s="57" t="n"/>
      <c r="CK70" s="57" t="n"/>
      <c r="CL70" s="67">
        <f>SUM(CH70:CK70)</f>
        <v/>
      </c>
      <c r="CM70" s="61" t="n"/>
      <c r="CN70" s="57" t="n"/>
      <c r="CO70" s="66">
        <f>CE70</f>
        <v/>
      </c>
      <c r="CP70" s="59" t="n"/>
      <c r="CQ70" s="57" t="n"/>
      <c r="CR70" s="57" t="n"/>
      <c r="CS70" s="57" t="n"/>
      <c r="CT70" s="57" t="n"/>
      <c r="CU70" s="67">
        <f>SUM(CQ70:CT70)</f>
        <v/>
      </c>
      <c r="CV70" s="61" t="n"/>
      <c r="CW70" s="57" t="n"/>
      <c r="CX70" s="66">
        <f>CN70</f>
        <v/>
      </c>
      <c r="CY70" s="59" t="n"/>
      <c r="CZ70" s="57" t="n"/>
      <c r="DA70" s="57" t="n"/>
      <c r="DB70" s="57" t="n"/>
      <c r="DC70" s="57" t="n"/>
      <c r="DD70" s="67">
        <f>SUM(CZ70:DC70)</f>
        <v/>
      </c>
      <c r="DE70" s="61" t="n"/>
      <c r="DF70" s="57" t="n"/>
      <c r="DG70" s="66">
        <f>CW70</f>
        <v/>
      </c>
      <c r="DH70" s="59" t="n"/>
      <c r="DI70" s="57" t="n"/>
      <c r="DJ70" s="57" t="n"/>
      <c r="DK70" s="57" t="n"/>
      <c r="DL70" s="57" t="n"/>
      <c r="DM70" s="67">
        <f>SUM(DI70:DL70)</f>
        <v/>
      </c>
      <c r="DN70" s="61" t="n"/>
      <c r="DO70" s="57" t="n"/>
      <c r="DP70" s="66">
        <f>DF70</f>
        <v/>
      </c>
      <c r="DQ70" s="59" t="n"/>
      <c r="DR70" s="57" t="n"/>
      <c r="DS70" s="57" t="n"/>
      <c r="DT70" s="57" t="n"/>
      <c r="DU70" s="57" t="n"/>
      <c r="DV70" s="67">
        <f>SUM(DR70:DU70)</f>
        <v/>
      </c>
      <c r="DW70" s="61" t="n"/>
      <c r="DX70" s="57" t="n"/>
      <c r="DY70" s="66">
        <f>DO70</f>
        <v/>
      </c>
      <c r="DZ70" s="59" t="n"/>
      <c r="EA70" s="57" t="n"/>
      <c r="EB70" s="57" t="n"/>
      <c r="EC70" s="57" t="n"/>
      <c r="ED70" s="57" t="n"/>
      <c r="EE70" s="67">
        <f>SUM(EA70:ED70)</f>
        <v/>
      </c>
      <c r="EF70" s="61" t="n"/>
      <c r="EG70" s="57" t="n"/>
      <c r="EH70" s="66">
        <f>DX70</f>
        <v/>
      </c>
      <c r="EI70" s="59" t="n"/>
      <c r="EJ70" s="57" t="n"/>
      <c r="EK70" s="57" t="n"/>
      <c r="EL70" s="57" t="n"/>
      <c r="EM70" s="57" t="n"/>
      <c r="EN70" s="67">
        <f>SUM(EJ70:EM70)</f>
        <v/>
      </c>
      <c r="EO70" s="61" t="n"/>
      <c r="EP70" s="57" t="n"/>
      <c r="EQ70" s="66">
        <f>EG70</f>
        <v/>
      </c>
      <c r="ER70" s="59" t="n"/>
      <c r="ES70" s="57" t="n"/>
      <c r="ET70" s="57" t="n"/>
      <c r="EU70" s="57" t="n"/>
      <c r="EV70" s="57" t="n"/>
      <c r="EW70" s="67">
        <f>SUM(ES70:EV70)</f>
        <v/>
      </c>
      <c r="EX70" s="61" t="n"/>
      <c r="EY70" s="57" t="n"/>
      <c r="EZ70" s="66">
        <f>EP70</f>
        <v/>
      </c>
      <c r="FA70" s="59" t="n"/>
      <c r="FB70" s="57" t="n"/>
      <c r="FC70" s="57" t="n"/>
      <c r="FD70" s="57" t="n"/>
      <c r="FE70" s="57" t="n"/>
      <c r="FF70" s="67">
        <f>SUM(FB70:FE70)</f>
        <v/>
      </c>
      <c r="FG70" s="61" t="n"/>
      <c r="FH70" s="57" t="n"/>
      <c r="FI70" s="66">
        <f>EY70</f>
        <v/>
      </c>
      <c r="FJ70" s="59" t="n"/>
      <c r="FK70" s="57" t="n"/>
      <c r="FL70" s="57" t="n"/>
      <c r="FM70" s="57" t="n"/>
      <c r="FN70" s="57" t="n"/>
      <c r="FO70" s="67">
        <f>SUM(FK70:FN70)</f>
        <v/>
      </c>
      <c r="FP70" s="61" t="n"/>
      <c r="FQ70" s="57" t="n"/>
      <c r="FR70" s="66">
        <f>FH70</f>
        <v/>
      </c>
      <c r="FS70" s="59" t="n"/>
      <c r="FT70" s="57" t="n"/>
      <c r="FU70" s="57" t="n"/>
      <c r="FV70" s="57" t="n"/>
      <c r="FW70" s="57" t="n"/>
      <c r="FX70" s="67">
        <f>SUM(FT70:FW70)</f>
        <v/>
      </c>
      <c r="FY70" s="61" t="n"/>
      <c r="FZ70" s="57" t="n"/>
      <c r="GA70" s="66">
        <f>FQ70</f>
        <v/>
      </c>
      <c r="GB70" s="59" t="n"/>
      <c r="GC70" s="57" t="n"/>
      <c r="GD70" s="57" t="n"/>
      <c r="GE70" s="57" t="n"/>
      <c r="GF70" s="57" t="n"/>
      <c r="GG70" s="67">
        <f>SUM(GC70:GF70)</f>
        <v/>
      </c>
      <c r="GH70" s="61" t="n"/>
      <c r="GI70" s="57" t="n"/>
      <c r="GJ70" s="66">
        <f>FZ70</f>
        <v/>
      </c>
      <c r="GK70" s="59" t="n"/>
      <c r="GL70" s="57" t="n"/>
      <c r="GM70" s="57" t="n"/>
      <c r="GN70" s="57" t="n"/>
      <c r="GO70" s="57" t="n"/>
      <c r="GP70" s="67">
        <f>SUM(GL70:GO70)</f>
        <v/>
      </c>
      <c r="GQ70" s="61" t="n"/>
      <c r="GR70" s="57" t="n"/>
      <c r="GS70" s="66">
        <f>GI70</f>
        <v/>
      </c>
      <c r="GT70" s="59" t="n"/>
      <c r="GU70" s="57" t="n"/>
      <c r="GV70" s="57" t="n"/>
      <c r="GW70" s="57" t="n"/>
      <c r="GX70" s="57" t="n"/>
      <c r="GY70" s="67">
        <f>SUM(GU70:GX70)</f>
        <v/>
      </c>
      <c r="GZ70" s="61" t="n"/>
      <c r="HA70" s="57" t="n"/>
      <c r="HB70" s="66">
        <f>GR70</f>
        <v/>
      </c>
      <c r="HC70" s="59" t="n"/>
      <c r="HD70" s="57" t="n"/>
      <c r="HE70" s="57" t="n"/>
      <c r="HF70" s="57" t="n"/>
      <c r="HG70" s="57" t="n"/>
      <c r="HH70" s="67">
        <f>SUM(HD70:HG70)</f>
        <v/>
      </c>
      <c r="HI70" s="61" t="n"/>
      <c r="HJ70" s="57" t="n"/>
      <c r="HK70" s="66">
        <f>HA70</f>
        <v/>
      </c>
      <c r="HL70" s="59" t="n"/>
      <c r="HM70" s="57" t="n"/>
      <c r="HN70" s="57" t="n"/>
      <c r="HO70" s="57" t="n"/>
      <c r="HP70" s="57" t="n"/>
      <c r="HQ70" s="67">
        <f>SUM(HM70:HP70)</f>
        <v/>
      </c>
      <c r="HR70" s="61" t="n"/>
      <c r="HS70" s="57" t="n"/>
      <c r="HT70" s="66">
        <f>HJ70</f>
        <v/>
      </c>
      <c r="HU70" s="59" t="n"/>
      <c r="HV70" s="57" t="n"/>
      <c r="HW70" s="57" t="n"/>
      <c r="HX70" s="57" t="n"/>
      <c r="HY70" s="57" t="n"/>
      <c r="HZ70" s="67">
        <f>SUM(HV70:HY70)</f>
        <v/>
      </c>
      <c r="IA70" s="61" t="n"/>
      <c r="IB70" s="57" t="n"/>
      <c r="IC70" s="66">
        <f>HS70</f>
        <v/>
      </c>
      <c r="ID70" s="59" t="n"/>
      <c r="IE70" s="57" t="n"/>
      <c r="IF70" s="57" t="n"/>
      <c r="IG70" s="57" t="n"/>
      <c r="IH70" s="57" t="n"/>
      <c r="II70" s="67">
        <f>SUM(IE70:IH70)</f>
        <v/>
      </c>
      <c r="IJ70" s="61" t="n"/>
      <c r="IK70" s="57" t="n"/>
      <c r="IL70" s="66">
        <f>IB70</f>
        <v/>
      </c>
      <c r="IM70" s="59" t="n"/>
      <c r="IN70" s="57" t="n"/>
      <c r="IO70" s="57" t="n"/>
      <c r="IP70" s="57" t="n"/>
      <c r="IQ70" s="57" t="n"/>
      <c r="IR70" s="67">
        <f>SUM(IN70:IQ70)</f>
        <v/>
      </c>
      <c r="IS70" s="61" t="n"/>
      <c r="IT70" s="57" t="n"/>
      <c r="IU70" s="66">
        <f>IK70</f>
        <v/>
      </c>
      <c r="IV70" s="59" t="n"/>
      <c r="IW70" s="57" t="n"/>
      <c r="IX70" s="57" t="n"/>
      <c r="IY70" s="57" t="n"/>
      <c r="IZ70" s="57" t="n"/>
      <c r="JA70" s="67">
        <f>SUM(IW70:IZ70)</f>
        <v/>
      </c>
      <c r="JB70" s="61" t="n"/>
      <c r="JC70" s="57" t="n"/>
      <c r="JD70" s="66">
        <f>IT70</f>
        <v/>
      </c>
      <c r="JE70" s="59" t="n"/>
      <c r="JF70" s="57" t="n"/>
      <c r="JG70" s="57" t="n"/>
      <c r="JH70" s="57" t="n"/>
      <c r="JI70" s="57" t="n"/>
      <c r="JJ70" s="67">
        <f>SUM(JF70:JI70)</f>
        <v/>
      </c>
      <c r="JK70" s="61" t="n"/>
      <c r="JL70" s="57" t="n"/>
      <c r="JM70" s="66">
        <f>JC70</f>
        <v/>
      </c>
      <c r="JN70" s="59" t="n"/>
      <c r="JO70" s="57" t="n"/>
      <c r="JP70" s="57" t="n"/>
      <c r="JQ70" s="57" t="n"/>
      <c r="JR70" s="57" t="n"/>
      <c r="JS70" s="67">
        <f>SUM(JO70:JR70)</f>
        <v/>
      </c>
      <c r="JT70" s="61" t="n"/>
      <c r="JU70" s="62">
        <f>I70+R70+AA70+AJ70+AS70+BB70+BK70+BT70+CC70+CL70+CU70+DD70+DM70+DV70+EE70+EN70+EW70+FF70+FO70+FX70+GG70+GP70+GY70+HH70+HQ70+HZ70+II70+IR70+JA70+JJ70+JS70</f>
        <v/>
      </c>
      <c r="JV70" s="63">
        <f>D70+M70+V70+AE70+AN70+AW70+BF70+BO70+BX70+CG70+CP70+CY70+DH70+DQ70+DZ70+EI70+ER70+FA70+FJ70+FS70+GB70+GK70+GT70+HC70+HL70+HU70+ID70+IM70+IV70+JE70+JN70</f>
        <v/>
      </c>
      <c r="JW70" s="62">
        <f>CHOOSE($Z$3,B70, K70, T70, AC70, AL70, AU70, BD70, BM70, BV70, CE70, CN70, CW70, DF70, DO70, DX70, EG70, EP70, EY70, FH70, FQ70, FZ70, GI70, GR70, HA70, HJ70, HS70, IB70, IK70, IT70, JC70, JL70)</f>
        <v/>
      </c>
      <c r="JX70" s="62">
        <f>IFERROR(JU70/$Z$3,0)</f>
        <v/>
      </c>
      <c r="JY70" s="62">
        <f>Configurações!$C$10</f>
        <v/>
      </c>
      <c r="JZ70" s="64">
        <f>IF(JY70=0,"— Sem meta",IF(JU70&gt;=JY70,"✓ Atingida","Em andamento"))</f>
        <v/>
      </c>
      <c r="KA70" s="65">
        <f>JU70+(10*0.0000001)</f>
        <v/>
      </c>
    </row>
    <row r="71" ht="20" customHeight="1">
      <c r="A71" s="56">
        <f>IF(Configurações!$B$11="","Assessor 5",Configurações!$B$11)</f>
        <v/>
      </c>
      <c r="B71" s="57" t="n"/>
      <c r="C71" s="58">
        <f>'Março'!$JW71</f>
        <v/>
      </c>
      <c r="D71" s="59" t="n"/>
      <c r="E71" s="57" t="n"/>
      <c r="F71" s="57" t="n"/>
      <c r="G71" s="57" t="n"/>
      <c r="H71" s="57" t="n"/>
      <c r="I71" s="60">
        <f>SUM(E71:H71)</f>
        <v/>
      </c>
      <c r="J71" s="61" t="n"/>
      <c r="K71" s="57" t="n"/>
      <c r="L71" s="58">
        <f>B71</f>
        <v/>
      </c>
      <c r="M71" s="59" t="n"/>
      <c r="N71" s="57" t="n"/>
      <c r="O71" s="57" t="n"/>
      <c r="P71" s="57" t="n"/>
      <c r="Q71" s="57" t="n"/>
      <c r="R71" s="60">
        <f>SUM(N71:Q71)</f>
        <v/>
      </c>
      <c r="S71" s="61" t="n"/>
      <c r="T71" s="57" t="n"/>
      <c r="U71" s="58">
        <f>K71</f>
        <v/>
      </c>
      <c r="V71" s="59" t="n"/>
      <c r="W71" s="57" t="n"/>
      <c r="X71" s="57" t="n"/>
      <c r="Y71" s="57" t="n"/>
      <c r="Z71" s="57" t="n"/>
      <c r="AA71" s="60">
        <f>SUM(W71:Z71)</f>
        <v/>
      </c>
      <c r="AB71" s="61" t="n"/>
      <c r="AC71" s="57" t="n"/>
      <c r="AD71" s="58">
        <f>T71</f>
        <v/>
      </c>
      <c r="AE71" s="59" t="n"/>
      <c r="AF71" s="57" t="n"/>
      <c r="AG71" s="57" t="n"/>
      <c r="AH71" s="57" t="n"/>
      <c r="AI71" s="57" t="n"/>
      <c r="AJ71" s="60">
        <f>SUM(AF71:AI71)</f>
        <v/>
      </c>
      <c r="AK71" s="61" t="n"/>
      <c r="AL71" s="57" t="n"/>
      <c r="AM71" s="58">
        <f>AC71</f>
        <v/>
      </c>
      <c r="AN71" s="59" t="n"/>
      <c r="AO71" s="57" t="n"/>
      <c r="AP71" s="57" t="n"/>
      <c r="AQ71" s="57" t="n"/>
      <c r="AR71" s="57" t="n"/>
      <c r="AS71" s="60">
        <f>SUM(AO71:AR71)</f>
        <v/>
      </c>
      <c r="AT71" s="61" t="n"/>
      <c r="AU71" s="57" t="n"/>
      <c r="AV71" s="58">
        <f>AL71</f>
        <v/>
      </c>
      <c r="AW71" s="59" t="n"/>
      <c r="AX71" s="57" t="n"/>
      <c r="AY71" s="57" t="n"/>
      <c r="AZ71" s="57" t="n"/>
      <c r="BA71" s="57" t="n"/>
      <c r="BB71" s="60">
        <f>SUM(AX71:BA71)</f>
        <v/>
      </c>
      <c r="BC71" s="61" t="n"/>
      <c r="BD71" s="57" t="n"/>
      <c r="BE71" s="58">
        <f>AU71</f>
        <v/>
      </c>
      <c r="BF71" s="59" t="n"/>
      <c r="BG71" s="57" t="n"/>
      <c r="BH71" s="57" t="n"/>
      <c r="BI71" s="57" t="n"/>
      <c r="BJ71" s="57" t="n"/>
      <c r="BK71" s="60">
        <f>SUM(BG71:BJ71)</f>
        <v/>
      </c>
      <c r="BL71" s="61" t="n"/>
      <c r="BM71" s="57" t="n"/>
      <c r="BN71" s="58">
        <f>BD71</f>
        <v/>
      </c>
      <c r="BO71" s="59" t="n"/>
      <c r="BP71" s="57" t="n"/>
      <c r="BQ71" s="57" t="n"/>
      <c r="BR71" s="57" t="n"/>
      <c r="BS71" s="57" t="n"/>
      <c r="BT71" s="60">
        <f>SUM(BP71:BS71)</f>
        <v/>
      </c>
      <c r="BU71" s="61" t="n"/>
      <c r="BV71" s="57" t="n"/>
      <c r="BW71" s="58">
        <f>BM71</f>
        <v/>
      </c>
      <c r="BX71" s="59" t="n"/>
      <c r="BY71" s="57" t="n"/>
      <c r="BZ71" s="57" t="n"/>
      <c r="CA71" s="57" t="n"/>
      <c r="CB71" s="57" t="n"/>
      <c r="CC71" s="60">
        <f>SUM(BY71:CB71)</f>
        <v/>
      </c>
      <c r="CD71" s="61" t="n"/>
      <c r="CE71" s="57" t="n"/>
      <c r="CF71" s="58">
        <f>BV71</f>
        <v/>
      </c>
      <c r="CG71" s="59" t="n"/>
      <c r="CH71" s="57" t="n"/>
      <c r="CI71" s="57" t="n"/>
      <c r="CJ71" s="57" t="n"/>
      <c r="CK71" s="57" t="n"/>
      <c r="CL71" s="60">
        <f>SUM(CH71:CK71)</f>
        <v/>
      </c>
      <c r="CM71" s="61" t="n"/>
      <c r="CN71" s="57" t="n"/>
      <c r="CO71" s="58">
        <f>CE71</f>
        <v/>
      </c>
      <c r="CP71" s="59" t="n"/>
      <c r="CQ71" s="57" t="n"/>
      <c r="CR71" s="57" t="n"/>
      <c r="CS71" s="57" t="n"/>
      <c r="CT71" s="57" t="n"/>
      <c r="CU71" s="60">
        <f>SUM(CQ71:CT71)</f>
        <v/>
      </c>
      <c r="CV71" s="61" t="n"/>
      <c r="CW71" s="57" t="n"/>
      <c r="CX71" s="58">
        <f>CN71</f>
        <v/>
      </c>
      <c r="CY71" s="59" t="n"/>
      <c r="CZ71" s="57" t="n"/>
      <c r="DA71" s="57" t="n"/>
      <c r="DB71" s="57" t="n"/>
      <c r="DC71" s="57" t="n"/>
      <c r="DD71" s="60">
        <f>SUM(CZ71:DC71)</f>
        <v/>
      </c>
      <c r="DE71" s="61" t="n"/>
      <c r="DF71" s="57" t="n"/>
      <c r="DG71" s="58">
        <f>CW71</f>
        <v/>
      </c>
      <c r="DH71" s="59" t="n"/>
      <c r="DI71" s="57" t="n"/>
      <c r="DJ71" s="57" t="n"/>
      <c r="DK71" s="57" t="n"/>
      <c r="DL71" s="57" t="n"/>
      <c r="DM71" s="60">
        <f>SUM(DI71:DL71)</f>
        <v/>
      </c>
      <c r="DN71" s="61" t="n"/>
      <c r="DO71" s="57" t="n"/>
      <c r="DP71" s="58">
        <f>DF71</f>
        <v/>
      </c>
      <c r="DQ71" s="59" t="n"/>
      <c r="DR71" s="57" t="n"/>
      <c r="DS71" s="57" t="n"/>
      <c r="DT71" s="57" t="n"/>
      <c r="DU71" s="57" t="n"/>
      <c r="DV71" s="60">
        <f>SUM(DR71:DU71)</f>
        <v/>
      </c>
      <c r="DW71" s="61" t="n"/>
      <c r="DX71" s="57" t="n"/>
      <c r="DY71" s="58">
        <f>DO71</f>
        <v/>
      </c>
      <c r="DZ71" s="59" t="n"/>
      <c r="EA71" s="57" t="n"/>
      <c r="EB71" s="57" t="n"/>
      <c r="EC71" s="57" t="n"/>
      <c r="ED71" s="57" t="n"/>
      <c r="EE71" s="60">
        <f>SUM(EA71:ED71)</f>
        <v/>
      </c>
      <c r="EF71" s="61" t="n"/>
      <c r="EG71" s="57" t="n"/>
      <c r="EH71" s="58">
        <f>DX71</f>
        <v/>
      </c>
      <c r="EI71" s="59" t="n"/>
      <c r="EJ71" s="57" t="n"/>
      <c r="EK71" s="57" t="n"/>
      <c r="EL71" s="57" t="n"/>
      <c r="EM71" s="57" t="n"/>
      <c r="EN71" s="60">
        <f>SUM(EJ71:EM71)</f>
        <v/>
      </c>
      <c r="EO71" s="61" t="n"/>
      <c r="EP71" s="57" t="n"/>
      <c r="EQ71" s="58">
        <f>EG71</f>
        <v/>
      </c>
      <c r="ER71" s="59" t="n"/>
      <c r="ES71" s="57" t="n"/>
      <c r="ET71" s="57" t="n"/>
      <c r="EU71" s="57" t="n"/>
      <c r="EV71" s="57" t="n"/>
      <c r="EW71" s="60">
        <f>SUM(ES71:EV71)</f>
        <v/>
      </c>
      <c r="EX71" s="61" t="n"/>
      <c r="EY71" s="57" t="n"/>
      <c r="EZ71" s="58">
        <f>EP71</f>
        <v/>
      </c>
      <c r="FA71" s="59" t="n"/>
      <c r="FB71" s="57" t="n"/>
      <c r="FC71" s="57" t="n"/>
      <c r="FD71" s="57" t="n"/>
      <c r="FE71" s="57" t="n"/>
      <c r="FF71" s="60">
        <f>SUM(FB71:FE71)</f>
        <v/>
      </c>
      <c r="FG71" s="61" t="n"/>
      <c r="FH71" s="57" t="n"/>
      <c r="FI71" s="58">
        <f>EY71</f>
        <v/>
      </c>
      <c r="FJ71" s="59" t="n"/>
      <c r="FK71" s="57" t="n"/>
      <c r="FL71" s="57" t="n"/>
      <c r="FM71" s="57" t="n"/>
      <c r="FN71" s="57" t="n"/>
      <c r="FO71" s="60">
        <f>SUM(FK71:FN71)</f>
        <v/>
      </c>
      <c r="FP71" s="61" t="n"/>
      <c r="FQ71" s="57" t="n"/>
      <c r="FR71" s="58">
        <f>FH71</f>
        <v/>
      </c>
      <c r="FS71" s="59" t="n"/>
      <c r="FT71" s="57" t="n"/>
      <c r="FU71" s="57" t="n"/>
      <c r="FV71" s="57" t="n"/>
      <c r="FW71" s="57" t="n"/>
      <c r="FX71" s="60">
        <f>SUM(FT71:FW71)</f>
        <v/>
      </c>
      <c r="FY71" s="61" t="n"/>
      <c r="FZ71" s="57" t="n"/>
      <c r="GA71" s="58">
        <f>FQ71</f>
        <v/>
      </c>
      <c r="GB71" s="59" t="n"/>
      <c r="GC71" s="57" t="n"/>
      <c r="GD71" s="57" t="n"/>
      <c r="GE71" s="57" t="n"/>
      <c r="GF71" s="57" t="n"/>
      <c r="GG71" s="60">
        <f>SUM(GC71:GF71)</f>
        <v/>
      </c>
      <c r="GH71" s="61" t="n"/>
      <c r="GI71" s="57" t="n"/>
      <c r="GJ71" s="58">
        <f>FZ71</f>
        <v/>
      </c>
      <c r="GK71" s="59" t="n"/>
      <c r="GL71" s="57" t="n"/>
      <c r="GM71" s="57" t="n"/>
      <c r="GN71" s="57" t="n"/>
      <c r="GO71" s="57" t="n"/>
      <c r="GP71" s="60">
        <f>SUM(GL71:GO71)</f>
        <v/>
      </c>
      <c r="GQ71" s="61" t="n"/>
      <c r="GR71" s="57" t="n"/>
      <c r="GS71" s="58">
        <f>GI71</f>
        <v/>
      </c>
      <c r="GT71" s="59" t="n"/>
      <c r="GU71" s="57" t="n"/>
      <c r="GV71" s="57" t="n"/>
      <c r="GW71" s="57" t="n"/>
      <c r="GX71" s="57" t="n"/>
      <c r="GY71" s="60">
        <f>SUM(GU71:GX71)</f>
        <v/>
      </c>
      <c r="GZ71" s="61" t="n"/>
      <c r="HA71" s="57" t="n"/>
      <c r="HB71" s="58">
        <f>GR71</f>
        <v/>
      </c>
      <c r="HC71" s="59" t="n"/>
      <c r="HD71" s="57" t="n"/>
      <c r="HE71" s="57" t="n"/>
      <c r="HF71" s="57" t="n"/>
      <c r="HG71" s="57" t="n"/>
      <c r="HH71" s="60">
        <f>SUM(HD71:HG71)</f>
        <v/>
      </c>
      <c r="HI71" s="61" t="n"/>
      <c r="HJ71" s="57" t="n"/>
      <c r="HK71" s="58">
        <f>HA71</f>
        <v/>
      </c>
      <c r="HL71" s="59" t="n"/>
      <c r="HM71" s="57" t="n"/>
      <c r="HN71" s="57" t="n"/>
      <c r="HO71" s="57" t="n"/>
      <c r="HP71" s="57" t="n"/>
      <c r="HQ71" s="60">
        <f>SUM(HM71:HP71)</f>
        <v/>
      </c>
      <c r="HR71" s="61" t="n"/>
      <c r="HS71" s="57" t="n"/>
      <c r="HT71" s="58">
        <f>HJ71</f>
        <v/>
      </c>
      <c r="HU71" s="59" t="n"/>
      <c r="HV71" s="57" t="n"/>
      <c r="HW71" s="57" t="n"/>
      <c r="HX71" s="57" t="n"/>
      <c r="HY71" s="57" t="n"/>
      <c r="HZ71" s="60">
        <f>SUM(HV71:HY71)</f>
        <v/>
      </c>
      <c r="IA71" s="61" t="n"/>
      <c r="IB71" s="57" t="n"/>
      <c r="IC71" s="58">
        <f>HS71</f>
        <v/>
      </c>
      <c r="ID71" s="59" t="n"/>
      <c r="IE71" s="57" t="n"/>
      <c r="IF71" s="57" t="n"/>
      <c r="IG71" s="57" t="n"/>
      <c r="IH71" s="57" t="n"/>
      <c r="II71" s="60">
        <f>SUM(IE71:IH71)</f>
        <v/>
      </c>
      <c r="IJ71" s="61" t="n"/>
      <c r="IK71" s="57" t="n"/>
      <c r="IL71" s="58">
        <f>IB71</f>
        <v/>
      </c>
      <c r="IM71" s="59" t="n"/>
      <c r="IN71" s="57" t="n"/>
      <c r="IO71" s="57" t="n"/>
      <c r="IP71" s="57" t="n"/>
      <c r="IQ71" s="57" t="n"/>
      <c r="IR71" s="60">
        <f>SUM(IN71:IQ71)</f>
        <v/>
      </c>
      <c r="IS71" s="61" t="n"/>
      <c r="IT71" s="57" t="n"/>
      <c r="IU71" s="58">
        <f>IK71</f>
        <v/>
      </c>
      <c r="IV71" s="59" t="n"/>
      <c r="IW71" s="57" t="n"/>
      <c r="IX71" s="57" t="n"/>
      <c r="IY71" s="57" t="n"/>
      <c r="IZ71" s="57" t="n"/>
      <c r="JA71" s="60">
        <f>SUM(IW71:IZ71)</f>
        <v/>
      </c>
      <c r="JB71" s="61" t="n"/>
      <c r="JC71" s="57" t="n"/>
      <c r="JD71" s="58">
        <f>IT71</f>
        <v/>
      </c>
      <c r="JE71" s="59" t="n"/>
      <c r="JF71" s="57" t="n"/>
      <c r="JG71" s="57" t="n"/>
      <c r="JH71" s="57" t="n"/>
      <c r="JI71" s="57" t="n"/>
      <c r="JJ71" s="60">
        <f>SUM(JF71:JI71)</f>
        <v/>
      </c>
      <c r="JK71" s="61" t="n"/>
      <c r="JL71" s="57" t="n"/>
      <c r="JM71" s="58">
        <f>JC71</f>
        <v/>
      </c>
      <c r="JN71" s="59" t="n"/>
      <c r="JO71" s="57" t="n"/>
      <c r="JP71" s="57" t="n"/>
      <c r="JQ71" s="57" t="n"/>
      <c r="JR71" s="57" t="n"/>
      <c r="JS71" s="60">
        <f>SUM(JO71:JR71)</f>
        <v/>
      </c>
      <c r="JT71" s="61" t="n"/>
      <c r="JU71" s="62">
        <f>I71+R71+AA71+AJ71+AS71+BB71+BK71+BT71+CC71+CL71+CU71+DD71+DM71+DV71+EE71+EN71+EW71+FF71+FO71+FX71+GG71+GP71+GY71+HH71+HQ71+HZ71+II71+IR71+JA71+JJ71+JS71</f>
        <v/>
      </c>
      <c r="JV71" s="63">
        <f>D71+M71+V71+AE71+AN71+AW71+BF71+BO71+BX71+CG71+CP71+CY71+DH71+DQ71+DZ71+EI71+ER71+FA71+FJ71+FS71+GB71+GK71+GT71+HC71+HL71+HU71+ID71+IM71+IV71+JE71+JN71</f>
        <v/>
      </c>
      <c r="JW71" s="62">
        <f>CHOOSE($Z$3,B71, K71, T71, AC71, AL71, AU71, BD71, BM71, BV71, CE71, CN71, CW71, DF71, DO71, DX71, EG71, EP71, EY71, FH71, FQ71, FZ71, GI71, GR71, HA71, HJ71, HS71, IB71, IK71, IT71, JC71, JL71)</f>
        <v/>
      </c>
      <c r="JX71" s="62">
        <f>IFERROR(JU71/$Z$3,0)</f>
        <v/>
      </c>
      <c r="JY71" s="62">
        <f>Configurações!$C$11</f>
        <v/>
      </c>
      <c r="JZ71" s="64">
        <f>IF(JY71=0,"— Sem meta",IF(JU71&gt;=JY71,"✓ Atingida","Em andamento"))</f>
        <v/>
      </c>
      <c r="KA71" s="65">
        <f>JU71+(9*0.0000001)</f>
        <v/>
      </c>
    </row>
    <row r="72" ht="20" customHeight="1">
      <c r="A72" s="56">
        <f>IF(Configurações!$B$12="","Assessor 6",Configurações!$B$12)</f>
        <v/>
      </c>
      <c r="B72" s="57" t="n"/>
      <c r="C72" s="66">
        <f>'Março'!$JW72</f>
        <v/>
      </c>
      <c r="D72" s="59" t="n"/>
      <c r="E72" s="57" t="n"/>
      <c r="F72" s="57" t="n"/>
      <c r="G72" s="57" t="n"/>
      <c r="H72" s="57" t="n"/>
      <c r="I72" s="67">
        <f>SUM(E72:H72)</f>
        <v/>
      </c>
      <c r="J72" s="61" t="n"/>
      <c r="K72" s="57" t="n"/>
      <c r="L72" s="66">
        <f>B72</f>
        <v/>
      </c>
      <c r="M72" s="59" t="n"/>
      <c r="N72" s="57" t="n"/>
      <c r="O72" s="57" t="n"/>
      <c r="P72" s="57" t="n"/>
      <c r="Q72" s="57" t="n"/>
      <c r="R72" s="67">
        <f>SUM(N72:Q72)</f>
        <v/>
      </c>
      <c r="S72" s="61" t="n"/>
      <c r="T72" s="57" t="n"/>
      <c r="U72" s="66">
        <f>K72</f>
        <v/>
      </c>
      <c r="V72" s="59" t="n"/>
      <c r="W72" s="57" t="n"/>
      <c r="X72" s="57" t="n"/>
      <c r="Y72" s="57" t="n"/>
      <c r="Z72" s="57" t="n"/>
      <c r="AA72" s="67">
        <f>SUM(W72:Z72)</f>
        <v/>
      </c>
      <c r="AB72" s="61" t="n"/>
      <c r="AC72" s="57" t="n"/>
      <c r="AD72" s="66">
        <f>T72</f>
        <v/>
      </c>
      <c r="AE72" s="59" t="n"/>
      <c r="AF72" s="57" t="n"/>
      <c r="AG72" s="57" t="n"/>
      <c r="AH72" s="57" t="n"/>
      <c r="AI72" s="57" t="n"/>
      <c r="AJ72" s="67">
        <f>SUM(AF72:AI72)</f>
        <v/>
      </c>
      <c r="AK72" s="61" t="n"/>
      <c r="AL72" s="57" t="n"/>
      <c r="AM72" s="66">
        <f>AC72</f>
        <v/>
      </c>
      <c r="AN72" s="59" t="n"/>
      <c r="AO72" s="57" t="n"/>
      <c r="AP72" s="57" t="n"/>
      <c r="AQ72" s="57" t="n"/>
      <c r="AR72" s="57" t="n"/>
      <c r="AS72" s="67">
        <f>SUM(AO72:AR72)</f>
        <v/>
      </c>
      <c r="AT72" s="61" t="n"/>
      <c r="AU72" s="57" t="n"/>
      <c r="AV72" s="66">
        <f>AL72</f>
        <v/>
      </c>
      <c r="AW72" s="59" t="n"/>
      <c r="AX72" s="57" t="n"/>
      <c r="AY72" s="57" t="n"/>
      <c r="AZ72" s="57" t="n"/>
      <c r="BA72" s="57" t="n"/>
      <c r="BB72" s="67">
        <f>SUM(AX72:BA72)</f>
        <v/>
      </c>
      <c r="BC72" s="61" t="n"/>
      <c r="BD72" s="57" t="n"/>
      <c r="BE72" s="66">
        <f>AU72</f>
        <v/>
      </c>
      <c r="BF72" s="59" t="n"/>
      <c r="BG72" s="57" t="n"/>
      <c r="BH72" s="57" t="n"/>
      <c r="BI72" s="57" t="n"/>
      <c r="BJ72" s="57" t="n"/>
      <c r="BK72" s="67">
        <f>SUM(BG72:BJ72)</f>
        <v/>
      </c>
      <c r="BL72" s="61" t="n"/>
      <c r="BM72" s="57" t="n"/>
      <c r="BN72" s="66">
        <f>BD72</f>
        <v/>
      </c>
      <c r="BO72" s="59" t="n"/>
      <c r="BP72" s="57" t="n"/>
      <c r="BQ72" s="57" t="n"/>
      <c r="BR72" s="57" t="n"/>
      <c r="BS72" s="57" t="n"/>
      <c r="BT72" s="67">
        <f>SUM(BP72:BS72)</f>
        <v/>
      </c>
      <c r="BU72" s="61" t="n"/>
      <c r="BV72" s="57" t="n"/>
      <c r="BW72" s="66">
        <f>BM72</f>
        <v/>
      </c>
      <c r="BX72" s="59" t="n"/>
      <c r="BY72" s="57" t="n"/>
      <c r="BZ72" s="57" t="n"/>
      <c r="CA72" s="57" t="n"/>
      <c r="CB72" s="57" t="n"/>
      <c r="CC72" s="67">
        <f>SUM(BY72:CB72)</f>
        <v/>
      </c>
      <c r="CD72" s="61" t="n"/>
      <c r="CE72" s="57" t="n"/>
      <c r="CF72" s="66">
        <f>BV72</f>
        <v/>
      </c>
      <c r="CG72" s="59" t="n"/>
      <c r="CH72" s="57" t="n"/>
      <c r="CI72" s="57" t="n"/>
      <c r="CJ72" s="57" t="n"/>
      <c r="CK72" s="57" t="n"/>
      <c r="CL72" s="67">
        <f>SUM(CH72:CK72)</f>
        <v/>
      </c>
      <c r="CM72" s="61" t="n"/>
      <c r="CN72" s="57" t="n"/>
      <c r="CO72" s="66">
        <f>CE72</f>
        <v/>
      </c>
      <c r="CP72" s="59" t="n"/>
      <c r="CQ72" s="57" t="n"/>
      <c r="CR72" s="57" t="n"/>
      <c r="CS72" s="57" t="n"/>
      <c r="CT72" s="57" t="n"/>
      <c r="CU72" s="67">
        <f>SUM(CQ72:CT72)</f>
        <v/>
      </c>
      <c r="CV72" s="61" t="n"/>
      <c r="CW72" s="57" t="n"/>
      <c r="CX72" s="66">
        <f>CN72</f>
        <v/>
      </c>
      <c r="CY72" s="59" t="n"/>
      <c r="CZ72" s="57" t="n"/>
      <c r="DA72" s="57" t="n"/>
      <c r="DB72" s="57" t="n"/>
      <c r="DC72" s="57" t="n"/>
      <c r="DD72" s="67">
        <f>SUM(CZ72:DC72)</f>
        <v/>
      </c>
      <c r="DE72" s="61" t="n"/>
      <c r="DF72" s="57" t="n"/>
      <c r="DG72" s="66">
        <f>CW72</f>
        <v/>
      </c>
      <c r="DH72" s="59" t="n"/>
      <c r="DI72" s="57" t="n"/>
      <c r="DJ72" s="57" t="n"/>
      <c r="DK72" s="57" t="n"/>
      <c r="DL72" s="57" t="n"/>
      <c r="DM72" s="67">
        <f>SUM(DI72:DL72)</f>
        <v/>
      </c>
      <c r="DN72" s="61" t="n"/>
      <c r="DO72" s="57" t="n"/>
      <c r="DP72" s="66">
        <f>DF72</f>
        <v/>
      </c>
      <c r="DQ72" s="59" t="n"/>
      <c r="DR72" s="57" t="n"/>
      <c r="DS72" s="57" t="n"/>
      <c r="DT72" s="57" t="n"/>
      <c r="DU72" s="57" t="n"/>
      <c r="DV72" s="67">
        <f>SUM(DR72:DU72)</f>
        <v/>
      </c>
      <c r="DW72" s="61" t="n"/>
      <c r="DX72" s="57" t="n"/>
      <c r="DY72" s="66">
        <f>DO72</f>
        <v/>
      </c>
      <c r="DZ72" s="59" t="n"/>
      <c r="EA72" s="57" t="n"/>
      <c r="EB72" s="57" t="n"/>
      <c r="EC72" s="57" t="n"/>
      <c r="ED72" s="57" t="n"/>
      <c r="EE72" s="67">
        <f>SUM(EA72:ED72)</f>
        <v/>
      </c>
      <c r="EF72" s="61" t="n"/>
      <c r="EG72" s="57" t="n"/>
      <c r="EH72" s="66">
        <f>DX72</f>
        <v/>
      </c>
      <c r="EI72" s="59" t="n"/>
      <c r="EJ72" s="57" t="n"/>
      <c r="EK72" s="57" t="n"/>
      <c r="EL72" s="57" t="n"/>
      <c r="EM72" s="57" t="n"/>
      <c r="EN72" s="67">
        <f>SUM(EJ72:EM72)</f>
        <v/>
      </c>
      <c r="EO72" s="61" t="n"/>
      <c r="EP72" s="57" t="n"/>
      <c r="EQ72" s="66">
        <f>EG72</f>
        <v/>
      </c>
      <c r="ER72" s="59" t="n"/>
      <c r="ES72" s="57" t="n"/>
      <c r="ET72" s="57" t="n"/>
      <c r="EU72" s="57" t="n"/>
      <c r="EV72" s="57" t="n"/>
      <c r="EW72" s="67">
        <f>SUM(ES72:EV72)</f>
        <v/>
      </c>
      <c r="EX72" s="61" t="n"/>
      <c r="EY72" s="57" t="n"/>
      <c r="EZ72" s="66">
        <f>EP72</f>
        <v/>
      </c>
      <c r="FA72" s="59" t="n"/>
      <c r="FB72" s="57" t="n"/>
      <c r="FC72" s="57" t="n"/>
      <c r="FD72" s="57" t="n"/>
      <c r="FE72" s="57" t="n"/>
      <c r="FF72" s="67">
        <f>SUM(FB72:FE72)</f>
        <v/>
      </c>
      <c r="FG72" s="61" t="n"/>
      <c r="FH72" s="57" t="n"/>
      <c r="FI72" s="66">
        <f>EY72</f>
        <v/>
      </c>
      <c r="FJ72" s="59" t="n"/>
      <c r="FK72" s="57" t="n"/>
      <c r="FL72" s="57" t="n"/>
      <c r="FM72" s="57" t="n"/>
      <c r="FN72" s="57" t="n"/>
      <c r="FO72" s="67">
        <f>SUM(FK72:FN72)</f>
        <v/>
      </c>
      <c r="FP72" s="61" t="n"/>
      <c r="FQ72" s="57" t="n"/>
      <c r="FR72" s="66">
        <f>FH72</f>
        <v/>
      </c>
      <c r="FS72" s="59" t="n"/>
      <c r="FT72" s="57" t="n"/>
      <c r="FU72" s="57" t="n"/>
      <c r="FV72" s="57" t="n"/>
      <c r="FW72" s="57" t="n"/>
      <c r="FX72" s="67">
        <f>SUM(FT72:FW72)</f>
        <v/>
      </c>
      <c r="FY72" s="61" t="n"/>
      <c r="FZ72" s="57" t="n"/>
      <c r="GA72" s="66">
        <f>FQ72</f>
        <v/>
      </c>
      <c r="GB72" s="59" t="n"/>
      <c r="GC72" s="57" t="n"/>
      <c r="GD72" s="57" t="n"/>
      <c r="GE72" s="57" t="n"/>
      <c r="GF72" s="57" t="n"/>
      <c r="GG72" s="67">
        <f>SUM(GC72:GF72)</f>
        <v/>
      </c>
      <c r="GH72" s="61" t="n"/>
      <c r="GI72" s="57" t="n"/>
      <c r="GJ72" s="66">
        <f>FZ72</f>
        <v/>
      </c>
      <c r="GK72" s="59" t="n"/>
      <c r="GL72" s="57" t="n"/>
      <c r="GM72" s="57" t="n"/>
      <c r="GN72" s="57" t="n"/>
      <c r="GO72" s="57" t="n"/>
      <c r="GP72" s="67">
        <f>SUM(GL72:GO72)</f>
        <v/>
      </c>
      <c r="GQ72" s="61" t="n"/>
      <c r="GR72" s="57" t="n"/>
      <c r="GS72" s="66">
        <f>GI72</f>
        <v/>
      </c>
      <c r="GT72" s="59" t="n"/>
      <c r="GU72" s="57" t="n"/>
      <c r="GV72" s="57" t="n"/>
      <c r="GW72" s="57" t="n"/>
      <c r="GX72" s="57" t="n"/>
      <c r="GY72" s="67">
        <f>SUM(GU72:GX72)</f>
        <v/>
      </c>
      <c r="GZ72" s="61" t="n"/>
      <c r="HA72" s="57" t="n"/>
      <c r="HB72" s="66">
        <f>GR72</f>
        <v/>
      </c>
      <c r="HC72" s="59" t="n"/>
      <c r="HD72" s="57" t="n"/>
      <c r="HE72" s="57" t="n"/>
      <c r="HF72" s="57" t="n"/>
      <c r="HG72" s="57" t="n"/>
      <c r="HH72" s="67">
        <f>SUM(HD72:HG72)</f>
        <v/>
      </c>
      <c r="HI72" s="61" t="n"/>
      <c r="HJ72" s="57" t="n"/>
      <c r="HK72" s="66">
        <f>HA72</f>
        <v/>
      </c>
      <c r="HL72" s="59" t="n"/>
      <c r="HM72" s="57" t="n"/>
      <c r="HN72" s="57" t="n"/>
      <c r="HO72" s="57" t="n"/>
      <c r="HP72" s="57" t="n"/>
      <c r="HQ72" s="67">
        <f>SUM(HM72:HP72)</f>
        <v/>
      </c>
      <c r="HR72" s="61" t="n"/>
      <c r="HS72" s="57" t="n"/>
      <c r="HT72" s="66">
        <f>HJ72</f>
        <v/>
      </c>
      <c r="HU72" s="59" t="n"/>
      <c r="HV72" s="57" t="n"/>
      <c r="HW72" s="57" t="n"/>
      <c r="HX72" s="57" t="n"/>
      <c r="HY72" s="57" t="n"/>
      <c r="HZ72" s="67">
        <f>SUM(HV72:HY72)</f>
        <v/>
      </c>
      <c r="IA72" s="61" t="n"/>
      <c r="IB72" s="57" t="n"/>
      <c r="IC72" s="66">
        <f>HS72</f>
        <v/>
      </c>
      <c r="ID72" s="59" t="n"/>
      <c r="IE72" s="57" t="n"/>
      <c r="IF72" s="57" t="n"/>
      <c r="IG72" s="57" t="n"/>
      <c r="IH72" s="57" t="n"/>
      <c r="II72" s="67">
        <f>SUM(IE72:IH72)</f>
        <v/>
      </c>
      <c r="IJ72" s="61" t="n"/>
      <c r="IK72" s="57" t="n"/>
      <c r="IL72" s="66">
        <f>IB72</f>
        <v/>
      </c>
      <c r="IM72" s="59" t="n"/>
      <c r="IN72" s="57" t="n"/>
      <c r="IO72" s="57" t="n"/>
      <c r="IP72" s="57" t="n"/>
      <c r="IQ72" s="57" t="n"/>
      <c r="IR72" s="67">
        <f>SUM(IN72:IQ72)</f>
        <v/>
      </c>
      <c r="IS72" s="61" t="n"/>
      <c r="IT72" s="57" t="n"/>
      <c r="IU72" s="66">
        <f>IK72</f>
        <v/>
      </c>
      <c r="IV72" s="59" t="n"/>
      <c r="IW72" s="57" t="n"/>
      <c r="IX72" s="57" t="n"/>
      <c r="IY72" s="57" t="n"/>
      <c r="IZ72" s="57" t="n"/>
      <c r="JA72" s="67">
        <f>SUM(IW72:IZ72)</f>
        <v/>
      </c>
      <c r="JB72" s="61" t="n"/>
      <c r="JC72" s="57" t="n"/>
      <c r="JD72" s="66">
        <f>IT72</f>
        <v/>
      </c>
      <c r="JE72" s="59" t="n"/>
      <c r="JF72" s="57" t="n"/>
      <c r="JG72" s="57" t="n"/>
      <c r="JH72" s="57" t="n"/>
      <c r="JI72" s="57" t="n"/>
      <c r="JJ72" s="67">
        <f>SUM(JF72:JI72)</f>
        <v/>
      </c>
      <c r="JK72" s="61" t="n"/>
      <c r="JL72" s="57" t="n"/>
      <c r="JM72" s="66">
        <f>JC72</f>
        <v/>
      </c>
      <c r="JN72" s="59" t="n"/>
      <c r="JO72" s="57" t="n"/>
      <c r="JP72" s="57" t="n"/>
      <c r="JQ72" s="57" t="n"/>
      <c r="JR72" s="57" t="n"/>
      <c r="JS72" s="67">
        <f>SUM(JO72:JR72)</f>
        <v/>
      </c>
      <c r="JT72" s="61" t="n"/>
      <c r="JU72" s="62">
        <f>I72+R72+AA72+AJ72+AS72+BB72+BK72+BT72+CC72+CL72+CU72+DD72+DM72+DV72+EE72+EN72+EW72+FF72+FO72+FX72+GG72+GP72+GY72+HH72+HQ72+HZ72+II72+IR72+JA72+JJ72+JS72</f>
        <v/>
      </c>
      <c r="JV72" s="63">
        <f>D72+M72+V72+AE72+AN72+AW72+BF72+BO72+BX72+CG72+CP72+CY72+DH72+DQ72+DZ72+EI72+ER72+FA72+FJ72+FS72+GB72+GK72+GT72+HC72+HL72+HU72+ID72+IM72+IV72+JE72+JN72</f>
        <v/>
      </c>
      <c r="JW72" s="62">
        <f>CHOOSE($Z$3,B72, K72, T72, AC72, AL72, AU72, BD72, BM72, BV72, CE72, CN72, CW72, DF72, DO72, DX72, EG72, EP72, EY72, FH72, FQ72, FZ72, GI72, GR72, HA72, HJ72, HS72, IB72, IK72, IT72, JC72, JL72)</f>
        <v/>
      </c>
      <c r="JX72" s="62">
        <f>IFERROR(JU72/$Z$3,0)</f>
        <v/>
      </c>
      <c r="JY72" s="62">
        <f>Configurações!$C$12</f>
        <v/>
      </c>
      <c r="JZ72" s="64">
        <f>IF(JY72=0,"— Sem meta",IF(JU72&gt;=JY72,"✓ Atingida","Em andamento"))</f>
        <v/>
      </c>
      <c r="KA72" s="65">
        <f>JU72+(8*0.0000001)</f>
        <v/>
      </c>
    </row>
    <row r="73" ht="20" customHeight="1">
      <c r="A73" s="56">
        <f>IF(Configurações!$B$13="","Assessor 7",Configurações!$B$13)</f>
        <v/>
      </c>
      <c r="B73" s="57" t="n"/>
      <c r="C73" s="58">
        <f>'Março'!$JW73</f>
        <v/>
      </c>
      <c r="D73" s="59" t="n"/>
      <c r="E73" s="57" t="n"/>
      <c r="F73" s="57" t="n"/>
      <c r="G73" s="57" t="n"/>
      <c r="H73" s="57" t="n"/>
      <c r="I73" s="60">
        <f>SUM(E73:H73)</f>
        <v/>
      </c>
      <c r="J73" s="61" t="n"/>
      <c r="K73" s="57" t="n"/>
      <c r="L73" s="58">
        <f>B73</f>
        <v/>
      </c>
      <c r="M73" s="59" t="n"/>
      <c r="N73" s="57" t="n"/>
      <c r="O73" s="57" t="n"/>
      <c r="P73" s="57" t="n"/>
      <c r="Q73" s="57" t="n"/>
      <c r="R73" s="60">
        <f>SUM(N73:Q73)</f>
        <v/>
      </c>
      <c r="S73" s="61" t="n"/>
      <c r="T73" s="57" t="n"/>
      <c r="U73" s="58">
        <f>K73</f>
        <v/>
      </c>
      <c r="V73" s="59" t="n"/>
      <c r="W73" s="57" t="n"/>
      <c r="X73" s="57" t="n"/>
      <c r="Y73" s="57" t="n"/>
      <c r="Z73" s="57" t="n"/>
      <c r="AA73" s="60">
        <f>SUM(W73:Z73)</f>
        <v/>
      </c>
      <c r="AB73" s="61" t="n"/>
      <c r="AC73" s="57" t="n"/>
      <c r="AD73" s="58">
        <f>T73</f>
        <v/>
      </c>
      <c r="AE73" s="59" t="n"/>
      <c r="AF73" s="57" t="n"/>
      <c r="AG73" s="57" t="n"/>
      <c r="AH73" s="57" t="n"/>
      <c r="AI73" s="57" t="n"/>
      <c r="AJ73" s="60">
        <f>SUM(AF73:AI73)</f>
        <v/>
      </c>
      <c r="AK73" s="61" t="n"/>
      <c r="AL73" s="57" t="n"/>
      <c r="AM73" s="58">
        <f>AC73</f>
        <v/>
      </c>
      <c r="AN73" s="59" t="n"/>
      <c r="AO73" s="57" t="n"/>
      <c r="AP73" s="57" t="n"/>
      <c r="AQ73" s="57" t="n"/>
      <c r="AR73" s="57" t="n"/>
      <c r="AS73" s="60">
        <f>SUM(AO73:AR73)</f>
        <v/>
      </c>
      <c r="AT73" s="61" t="n"/>
      <c r="AU73" s="57" t="n"/>
      <c r="AV73" s="58">
        <f>AL73</f>
        <v/>
      </c>
      <c r="AW73" s="59" t="n"/>
      <c r="AX73" s="57" t="n"/>
      <c r="AY73" s="57" t="n"/>
      <c r="AZ73" s="57" t="n"/>
      <c r="BA73" s="57" t="n"/>
      <c r="BB73" s="60">
        <f>SUM(AX73:BA73)</f>
        <v/>
      </c>
      <c r="BC73" s="61" t="n"/>
      <c r="BD73" s="57" t="n"/>
      <c r="BE73" s="58">
        <f>AU73</f>
        <v/>
      </c>
      <c r="BF73" s="59" t="n"/>
      <c r="BG73" s="57" t="n"/>
      <c r="BH73" s="57" t="n"/>
      <c r="BI73" s="57" t="n"/>
      <c r="BJ73" s="57" t="n"/>
      <c r="BK73" s="60">
        <f>SUM(BG73:BJ73)</f>
        <v/>
      </c>
      <c r="BL73" s="61" t="n"/>
      <c r="BM73" s="57" t="n"/>
      <c r="BN73" s="58">
        <f>BD73</f>
        <v/>
      </c>
      <c r="BO73" s="59" t="n"/>
      <c r="BP73" s="57" t="n"/>
      <c r="BQ73" s="57" t="n"/>
      <c r="BR73" s="57" t="n"/>
      <c r="BS73" s="57" t="n"/>
      <c r="BT73" s="60">
        <f>SUM(BP73:BS73)</f>
        <v/>
      </c>
      <c r="BU73" s="61" t="n"/>
      <c r="BV73" s="57" t="n"/>
      <c r="BW73" s="58">
        <f>BM73</f>
        <v/>
      </c>
      <c r="BX73" s="59" t="n"/>
      <c r="BY73" s="57" t="n"/>
      <c r="BZ73" s="57" t="n"/>
      <c r="CA73" s="57" t="n"/>
      <c r="CB73" s="57" t="n"/>
      <c r="CC73" s="60">
        <f>SUM(BY73:CB73)</f>
        <v/>
      </c>
      <c r="CD73" s="61" t="n"/>
      <c r="CE73" s="57" t="n"/>
      <c r="CF73" s="58">
        <f>BV73</f>
        <v/>
      </c>
      <c r="CG73" s="59" t="n"/>
      <c r="CH73" s="57" t="n"/>
      <c r="CI73" s="57" t="n"/>
      <c r="CJ73" s="57" t="n"/>
      <c r="CK73" s="57" t="n"/>
      <c r="CL73" s="60">
        <f>SUM(CH73:CK73)</f>
        <v/>
      </c>
      <c r="CM73" s="61" t="n"/>
      <c r="CN73" s="57" t="n"/>
      <c r="CO73" s="58">
        <f>CE73</f>
        <v/>
      </c>
      <c r="CP73" s="59" t="n"/>
      <c r="CQ73" s="57" t="n"/>
      <c r="CR73" s="57" t="n"/>
      <c r="CS73" s="57" t="n"/>
      <c r="CT73" s="57" t="n"/>
      <c r="CU73" s="60">
        <f>SUM(CQ73:CT73)</f>
        <v/>
      </c>
      <c r="CV73" s="61" t="n"/>
      <c r="CW73" s="57" t="n"/>
      <c r="CX73" s="58">
        <f>CN73</f>
        <v/>
      </c>
      <c r="CY73" s="59" t="n"/>
      <c r="CZ73" s="57" t="n"/>
      <c r="DA73" s="57" t="n"/>
      <c r="DB73" s="57" t="n"/>
      <c r="DC73" s="57" t="n"/>
      <c r="DD73" s="60">
        <f>SUM(CZ73:DC73)</f>
        <v/>
      </c>
      <c r="DE73" s="61" t="n"/>
      <c r="DF73" s="57" t="n"/>
      <c r="DG73" s="58">
        <f>CW73</f>
        <v/>
      </c>
      <c r="DH73" s="59" t="n"/>
      <c r="DI73" s="57" t="n"/>
      <c r="DJ73" s="57" t="n"/>
      <c r="DK73" s="57" t="n"/>
      <c r="DL73" s="57" t="n"/>
      <c r="DM73" s="60">
        <f>SUM(DI73:DL73)</f>
        <v/>
      </c>
      <c r="DN73" s="61" t="n"/>
      <c r="DO73" s="57" t="n"/>
      <c r="DP73" s="58">
        <f>DF73</f>
        <v/>
      </c>
      <c r="DQ73" s="59" t="n"/>
      <c r="DR73" s="57" t="n"/>
      <c r="DS73" s="57" t="n"/>
      <c r="DT73" s="57" t="n"/>
      <c r="DU73" s="57" t="n"/>
      <c r="DV73" s="60">
        <f>SUM(DR73:DU73)</f>
        <v/>
      </c>
      <c r="DW73" s="61" t="n"/>
      <c r="DX73" s="57" t="n"/>
      <c r="DY73" s="58">
        <f>DO73</f>
        <v/>
      </c>
      <c r="DZ73" s="59" t="n"/>
      <c r="EA73" s="57" t="n"/>
      <c r="EB73" s="57" t="n"/>
      <c r="EC73" s="57" t="n"/>
      <c r="ED73" s="57" t="n"/>
      <c r="EE73" s="60">
        <f>SUM(EA73:ED73)</f>
        <v/>
      </c>
      <c r="EF73" s="61" t="n"/>
      <c r="EG73" s="57" t="n"/>
      <c r="EH73" s="58">
        <f>DX73</f>
        <v/>
      </c>
      <c r="EI73" s="59" t="n"/>
      <c r="EJ73" s="57" t="n"/>
      <c r="EK73" s="57" t="n"/>
      <c r="EL73" s="57" t="n"/>
      <c r="EM73" s="57" t="n"/>
      <c r="EN73" s="60">
        <f>SUM(EJ73:EM73)</f>
        <v/>
      </c>
      <c r="EO73" s="61" t="n"/>
      <c r="EP73" s="57" t="n"/>
      <c r="EQ73" s="58">
        <f>EG73</f>
        <v/>
      </c>
      <c r="ER73" s="59" t="n"/>
      <c r="ES73" s="57" t="n"/>
      <c r="ET73" s="57" t="n"/>
      <c r="EU73" s="57" t="n"/>
      <c r="EV73" s="57" t="n"/>
      <c r="EW73" s="60">
        <f>SUM(ES73:EV73)</f>
        <v/>
      </c>
      <c r="EX73" s="61" t="n"/>
      <c r="EY73" s="57" t="n"/>
      <c r="EZ73" s="58">
        <f>EP73</f>
        <v/>
      </c>
      <c r="FA73" s="59" t="n"/>
      <c r="FB73" s="57" t="n"/>
      <c r="FC73" s="57" t="n"/>
      <c r="FD73" s="57" t="n"/>
      <c r="FE73" s="57" t="n"/>
      <c r="FF73" s="60">
        <f>SUM(FB73:FE73)</f>
        <v/>
      </c>
      <c r="FG73" s="61" t="n"/>
      <c r="FH73" s="57" t="n"/>
      <c r="FI73" s="58">
        <f>EY73</f>
        <v/>
      </c>
      <c r="FJ73" s="59" t="n"/>
      <c r="FK73" s="57" t="n"/>
      <c r="FL73" s="57" t="n"/>
      <c r="FM73" s="57" t="n"/>
      <c r="FN73" s="57" t="n"/>
      <c r="FO73" s="60">
        <f>SUM(FK73:FN73)</f>
        <v/>
      </c>
      <c r="FP73" s="61" t="n"/>
      <c r="FQ73" s="57" t="n"/>
      <c r="FR73" s="58">
        <f>FH73</f>
        <v/>
      </c>
      <c r="FS73" s="59" t="n"/>
      <c r="FT73" s="57" t="n"/>
      <c r="FU73" s="57" t="n"/>
      <c r="FV73" s="57" t="n"/>
      <c r="FW73" s="57" t="n"/>
      <c r="FX73" s="60">
        <f>SUM(FT73:FW73)</f>
        <v/>
      </c>
      <c r="FY73" s="61" t="n"/>
      <c r="FZ73" s="57" t="n"/>
      <c r="GA73" s="58">
        <f>FQ73</f>
        <v/>
      </c>
      <c r="GB73" s="59" t="n"/>
      <c r="GC73" s="57" t="n"/>
      <c r="GD73" s="57" t="n"/>
      <c r="GE73" s="57" t="n"/>
      <c r="GF73" s="57" t="n"/>
      <c r="GG73" s="60">
        <f>SUM(GC73:GF73)</f>
        <v/>
      </c>
      <c r="GH73" s="61" t="n"/>
      <c r="GI73" s="57" t="n"/>
      <c r="GJ73" s="58">
        <f>FZ73</f>
        <v/>
      </c>
      <c r="GK73" s="59" t="n"/>
      <c r="GL73" s="57" t="n"/>
      <c r="GM73" s="57" t="n"/>
      <c r="GN73" s="57" t="n"/>
      <c r="GO73" s="57" t="n"/>
      <c r="GP73" s="60">
        <f>SUM(GL73:GO73)</f>
        <v/>
      </c>
      <c r="GQ73" s="61" t="n"/>
      <c r="GR73" s="57" t="n"/>
      <c r="GS73" s="58">
        <f>GI73</f>
        <v/>
      </c>
      <c r="GT73" s="59" t="n"/>
      <c r="GU73" s="57" t="n"/>
      <c r="GV73" s="57" t="n"/>
      <c r="GW73" s="57" t="n"/>
      <c r="GX73" s="57" t="n"/>
      <c r="GY73" s="60">
        <f>SUM(GU73:GX73)</f>
        <v/>
      </c>
      <c r="GZ73" s="61" t="n"/>
      <c r="HA73" s="57" t="n"/>
      <c r="HB73" s="58">
        <f>GR73</f>
        <v/>
      </c>
      <c r="HC73" s="59" t="n"/>
      <c r="HD73" s="57" t="n"/>
      <c r="HE73" s="57" t="n"/>
      <c r="HF73" s="57" t="n"/>
      <c r="HG73" s="57" t="n"/>
      <c r="HH73" s="60">
        <f>SUM(HD73:HG73)</f>
        <v/>
      </c>
      <c r="HI73" s="61" t="n"/>
      <c r="HJ73" s="57" t="n"/>
      <c r="HK73" s="58">
        <f>HA73</f>
        <v/>
      </c>
      <c r="HL73" s="59" t="n"/>
      <c r="HM73" s="57" t="n"/>
      <c r="HN73" s="57" t="n"/>
      <c r="HO73" s="57" t="n"/>
      <c r="HP73" s="57" t="n"/>
      <c r="HQ73" s="60">
        <f>SUM(HM73:HP73)</f>
        <v/>
      </c>
      <c r="HR73" s="61" t="n"/>
      <c r="HS73" s="57" t="n"/>
      <c r="HT73" s="58">
        <f>HJ73</f>
        <v/>
      </c>
      <c r="HU73" s="59" t="n"/>
      <c r="HV73" s="57" t="n"/>
      <c r="HW73" s="57" t="n"/>
      <c r="HX73" s="57" t="n"/>
      <c r="HY73" s="57" t="n"/>
      <c r="HZ73" s="60">
        <f>SUM(HV73:HY73)</f>
        <v/>
      </c>
      <c r="IA73" s="61" t="n"/>
      <c r="IB73" s="57" t="n"/>
      <c r="IC73" s="58">
        <f>HS73</f>
        <v/>
      </c>
      <c r="ID73" s="59" t="n"/>
      <c r="IE73" s="57" t="n"/>
      <c r="IF73" s="57" t="n"/>
      <c r="IG73" s="57" t="n"/>
      <c r="IH73" s="57" t="n"/>
      <c r="II73" s="60">
        <f>SUM(IE73:IH73)</f>
        <v/>
      </c>
      <c r="IJ73" s="61" t="n"/>
      <c r="IK73" s="57" t="n"/>
      <c r="IL73" s="58">
        <f>IB73</f>
        <v/>
      </c>
      <c r="IM73" s="59" t="n"/>
      <c r="IN73" s="57" t="n"/>
      <c r="IO73" s="57" t="n"/>
      <c r="IP73" s="57" t="n"/>
      <c r="IQ73" s="57" t="n"/>
      <c r="IR73" s="60">
        <f>SUM(IN73:IQ73)</f>
        <v/>
      </c>
      <c r="IS73" s="61" t="n"/>
      <c r="IT73" s="57" t="n"/>
      <c r="IU73" s="58">
        <f>IK73</f>
        <v/>
      </c>
      <c r="IV73" s="59" t="n"/>
      <c r="IW73" s="57" t="n"/>
      <c r="IX73" s="57" t="n"/>
      <c r="IY73" s="57" t="n"/>
      <c r="IZ73" s="57" t="n"/>
      <c r="JA73" s="60">
        <f>SUM(IW73:IZ73)</f>
        <v/>
      </c>
      <c r="JB73" s="61" t="n"/>
      <c r="JC73" s="57" t="n"/>
      <c r="JD73" s="58">
        <f>IT73</f>
        <v/>
      </c>
      <c r="JE73" s="59" t="n"/>
      <c r="JF73" s="57" t="n"/>
      <c r="JG73" s="57" t="n"/>
      <c r="JH73" s="57" t="n"/>
      <c r="JI73" s="57" t="n"/>
      <c r="JJ73" s="60">
        <f>SUM(JF73:JI73)</f>
        <v/>
      </c>
      <c r="JK73" s="61" t="n"/>
      <c r="JL73" s="57" t="n"/>
      <c r="JM73" s="58">
        <f>JC73</f>
        <v/>
      </c>
      <c r="JN73" s="59" t="n"/>
      <c r="JO73" s="57" t="n"/>
      <c r="JP73" s="57" t="n"/>
      <c r="JQ73" s="57" t="n"/>
      <c r="JR73" s="57" t="n"/>
      <c r="JS73" s="60">
        <f>SUM(JO73:JR73)</f>
        <v/>
      </c>
      <c r="JT73" s="61" t="n"/>
      <c r="JU73" s="62">
        <f>I73+R73+AA73+AJ73+AS73+BB73+BK73+BT73+CC73+CL73+CU73+DD73+DM73+DV73+EE73+EN73+EW73+FF73+FO73+FX73+GG73+GP73+GY73+HH73+HQ73+HZ73+II73+IR73+JA73+JJ73+JS73</f>
        <v/>
      </c>
      <c r="JV73" s="63">
        <f>D73+M73+V73+AE73+AN73+AW73+BF73+BO73+BX73+CG73+CP73+CY73+DH73+DQ73+DZ73+EI73+ER73+FA73+FJ73+FS73+GB73+GK73+GT73+HC73+HL73+HU73+ID73+IM73+IV73+JE73+JN73</f>
        <v/>
      </c>
      <c r="JW73" s="62">
        <f>CHOOSE($Z$3,B73, K73, T73, AC73, AL73, AU73, BD73, BM73, BV73, CE73, CN73, CW73, DF73, DO73, DX73, EG73, EP73, EY73, FH73, FQ73, FZ73, GI73, GR73, HA73, HJ73, HS73, IB73, IK73, IT73, JC73, JL73)</f>
        <v/>
      </c>
      <c r="JX73" s="62">
        <f>IFERROR(JU73/$Z$3,0)</f>
        <v/>
      </c>
      <c r="JY73" s="62">
        <f>Configurações!$C$13</f>
        <v/>
      </c>
      <c r="JZ73" s="64">
        <f>IF(JY73=0,"— Sem meta",IF(JU73&gt;=JY73,"✓ Atingida","Em andamento"))</f>
        <v/>
      </c>
      <c r="KA73" s="65">
        <f>JU73+(7*0.0000001)</f>
        <v/>
      </c>
    </row>
    <row r="74" ht="20" customHeight="1">
      <c r="A74" s="56">
        <f>IF(Configurações!$B$14="","Assessor 8",Configurações!$B$14)</f>
        <v/>
      </c>
      <c r="B74" s="57" t="n"/>
      <c r="C74" s="66">
        <f>'Março'!$JW74</f>
        <v/>
      </c>
      <c r="D74" s="59" t="n"/>
      <c r="E74" s="57" t="n"/>
      <c r="F74" s="57" t="n"/>
      <c r="G74" s="57" t="n"/>
      <c r="H74" s="57" t="n"/>
      <c r="I74" s="67">
        <f>SUM(E74:H74)</f>
        <v/>
      </c>
      <c r="J74" s="61" t="n"/>
      <c r="K74" s="57" t="n"/>
      <c r="L74" s="66">
        <f>B74</f>
        <v/>
      </c>
      <c r="M74" s="59" t="n"/>
      <c r="N74" s="57" t="n"/>
      <c r="O74" s="57" t="n"/>
      <c r="P74" s="57" t="n"/>
      <c r="Q74" s="57" t="n"/>
      <c r="R74" s="67">
        <f>SUM(N74:Q74)</f>
        <v/>
      </c>
      <c r="S74" s="61" t="n"/>
      <c r="T74" s="57" t="n"/>
      <c r="U74" s="66">
        <f>K74</f>
        <v/>
      </c>
      <c r="V74" s="59" t="n"/>
      <c r="W74" s="57" t="n"/>
      <c r="X74" s="57" t="n"/>
      <c r="Y74" s="57" t="n"/>
      <c r="Z74" s="57" t="n"/>
      <c r="AA74" s="67">
        <f>SUM(W74:Z74)</f>
        <v/>
      </c>
      <c r="AB74" s="61" t="n"/>
      <c r="AC74" s="57" t="n"/>
      <c r="AD74" s="66">
        <f>T74</f>
        <v/>
      </c>
      <c r="AE74" s="59" t="n"/>
      <c r="AF74" s="57" t="n"/>
      <c r="AG74" s="57" t="n"/>
      <c r="AH74" s="57" t="n"/>
      <c r="AI74" s="57" t="n"/>
      <c r="AJ74" s="67">
        <f>SUM(AF74:AI74)</f>
        <v/>
      </c>
      <c r="AK74" s="61" t="n"/>
      <c r="AL74" s="57" t="n"/>
      <c r="AM74" s="66">
        <f>AC74</f>
        <v/>
      </c>
      <c r="AN74" s="59" t="n"/>
      <c r="AO74" s="57" t="n"/>
      <c r="AP74" s="57" t="n"/>
      <c r="AQ74" s="57" t="n"/>
      <c r="AR74" s="57" t="n"/>
      <c r="AS74" s="67">
        <f>SUM(AO74:AR74)</f>
        <v/>
      </c>
      <c r="AT74" s="61" t="n"/>
      <c r="AU74" s="57" t="n"/>
      <c r="AV74" s="66">
        <f>AL74</f>
        <v/>
      </c>
      <c r="AW74" s="59" t="n"/>
      <c r="AX74" s="57" t="n"/>
      <c r="AY74" s="57" t="n"/>
      <c r="AZ74" s="57" t="n"/>
      <c r="BA74" s="57" t="n"/>
      <c r="BB74" s="67">
        <f>SUM(AX74:BA74)</f>
        <v/>
      </c>
      <c r="BC74" s="61" t="n"/>
      <c r="BD74" s="57" t="n"/>
      <c r="BE74" s="66">
        <f>AU74</f>
        <v/>
      </c>
      <c r="BF74" s="59" t="n"/>
      <c r="BG74" s="57" t="n"/>
      <c r="BH74" s="57" t="n"/>
      <c r="BI74" s="57" t="n"/>
      <c r="BJ74" s="57" t="n"/>
      <c r="BK74" s="67">
        <f>SUM(BG74:BJ74)</f>
        <v/>
      </c>
      <c r="BL74" s="61" t="n"/>
      <c r="BM74" s="57" t="n"/>
      <c r="BN74" s="66">
        <f>BD74</f>
        <v/>
      </c>
      <c r="BO74" s="59" t="n"/>
      <c r="BP74" s="57" t="n"/>
      <c r="BQ74" s="57" t="n"/>
      <c r="BR74" s="57" t="n"/>
      <c r="BS74" s="57" t="n"/>
      <c r="BT74" s="67">
        <f>SUM(BP74:BS74)</f>
        <v/>
      </c>
      <c r="BU74" s="61" t="n"/>
      <c r="BV74" s="57" t="n"/>
      <c r="BW74" s="66">
        <f>BM74</f>
        <v/>
      </c>
      <c r="BX74" s="59" t="n"/>
      <c r="BY74" s="57" t="n"/>
      <c r="BZ74" s="57" t="n"/>
      <c r="CA74" s="57" t="n"/>
      <c r="CB74" s="57" t="n"/>
      <c r="CC74" s="67">
        <f>SUM(BY74:CB74)</f>
        <v/>
      </c>
      <c r="CD74" s="61" t="n"/>
      <c r="CE74" s="57" t="n"/>
      <c r="CF74" s="66">
        <f>BV74</f>
        <v/>
      </c>
      <c r="CG74" s="59" t="n"/>
      <c r="CH74" s="57" t="n"/>
      <c r="CI74" s="57" t="n"/>
      <c r="CJ74" s="57" t="n"/>
      <c r="CK74" s="57" t="n"/>
      <c r="CL74" s="67">
        <f>SUM(CH74:CK74)</f>
        <v/>
      </c>
      <c r="CM74" s="61" t="n"/>
      <c r="CN74" s="57" t="n"/>
      <c r="CO74" s="66">
        <f>CE74</f>
        <v/>
      </c>
      <c r="CP74" s="59" t="n"/>
      <c r="CQ74" s="57" t="n"/>
      <c r="CR74" s="57" t="n"/>
      <c r="CS74" s="57" t="n"/>
      <c r="CT74" s="57" t="n"/>
      <c r="CU74" s="67">
        <f>SUM(CQ74:CT74)</f>
        <v/>
      </c>
      <c r="CV74" s="61" t="n"/>
      <c r="CW74" s="57" t="n"/>
      <c r="CX74" s="66">
        <f>CN74</f>
        <v/>
      </c>
      <c r="CY74" s="59" t="n"/>
      <c r="CZ74" s="57" t="n"/>
      <c r="DA74" s="57" t="n"/>
      <c r="DB74" s="57" t="n"/>
      <c r="DC74" s="57" t="n"/>
      <c r="DD74" s="67">
        <f>SUM(CZ74:DC74)</f>
        <v/>
      </c>
      <c r="DE74" s="61" t="n"/>
      <c r="DF74" s="57" t="n"/>
      <c r="DG74" s="66">
        <f>CW74</f>
        <v/>
      </c>
      <c r="DH74" s="59" t="n"/>
      <c r="DI74" s="57" t="n"/>
      <c r="DJ74" s="57" t="n"/>
      <c r="DK74" s="57" t="n"/>
      <c r="DL74" s="57" t="n"/>
      <c r="DM74" s="67">
        <f>SUM(DI74:DL74)</f>
        <v/>
      </c>
      <c r="DN74" s="61" t="n"/>
      <c r="DO74" s="57" t="n"/>
      <c r="DP74" s="66">
        <f>DF74</f>
        <v/>
      </c>
      <c r="DQ74" s="59" t="n"/>
      <c r="DR74" s="57" t="n"/>
      <c r="DS74" s="57" t="n"/>
      <c r="DT74" s="57" t="n"/>
      <c r="DU74" s="57" t="n"/>
      <c r="DV74" s="67">
        <f>SUM(DR74:DU74)</f>
        <v/>
      </c>
      <c r="DW74" s="61" t="n"/>
      <c r="DX74" s="57" t="n"/>
      <c r="DY74" s="66">
        <f>DO74</f>
        <v/>
      </c>
      <c r="DZ74" s="59" t="n"/>
      <c r="EA74" s="57" t="n"/>
      <c r="EB74" s="57" t="n"/>
      <c r="EC74" s="57" t="n"/>
      <c r="ED74" s="57" t="n"/>
      <c r="EE74" s="67">
        <f>SUM(EA74:ED74)</f>
        <v/>
      </c>
      <c r="EF74" s="61" t="n"/>
      <c r="EG74" s="57" t="n"/>
      <c r="EH74" s="66">
        <f>DX74</f>
        <v/>
      </c>
      <c r="EI74" s="59" t="n"/>
      <c r="EJ74" s="57" t="n"/>
      <c r="EK74" s="57" t="n"/>
      <c r="EL74" s="57" t="n"/>
      <c r="EM74" s="57" t="n"/>
      <c r="EN74" s="67">
        <f>SUM(EJ74:EM74)</f>
        <v/>
      </c>
      <c r="EO74" s="61" t="n"/>
      <c r="EP74" s="57" t="n"/>
      <c r="EQ74" s="66">
        <f>EG74</f>
        <v/>
      </c>
      <c r="ER74" s="59" t="n"/>
      <c r="ES74" s="57" t="n"/>
      <c r="ET74" s="57" t="n"/>
      <c r="EU74" s="57" t="n"/>
      <c r="EV74" s="57" t="n"/>
      <c r="EW74" s="67">
        <f>SUM(ES74:EV74)</f>
        <v/>
      </c>
      <c r="EX74" s="61" t="n"/>
      <c r="EY74" s="57" t="n"/>
      <c r="EZ74" s="66">
        <f>EP74</f>
        <v/>
      </c>
      <c r="FA74" s="59" t="n"/>
      <c r="FB74" s="57" t="n"/>
      <c r="FC74" s="57" t="n"/>
      <c r="FD74" s="57" t="n"/>
      <c r="FE74" s="57" t="n"/>
      <c r="FF74" s="67">
        <f>SUM(FB74:FE74)</f>
        <v/>
      </c>
      <c r="FG74" s="61" t="n"/>
      <c r="FH74" s="57" t="n"/>
      <c r="FI74" s="66">
        <f>EY74</f>
        <v/>
      </c>
      <c r="FJ74" s="59" t="n"/>
      <c r="FK74" s="57" t="n"/>
      <c r="FL74" s="57" t="n"/>
      <c r="FM74" s="57" t="n"/>
      <c r="FN74" s="57" t="n"/>
      <c r="FO74" s="67">
        <f>SUM(FK74:FN74)</f>
        <v/>
      </c>
      <c r="FP74" s="61" t="n"/>
      <c r="FQ74" s="57" t="n"/>
      <c r="FR74" s="66">
        <f>FH74</f>
        <v/>
      </c>
      <c r="FS74" s="59" t="n"/>
      <c r="FT74" s="57" t="n"/>
      <c r="FU74" s="57" t="n"/>
      <c r="FV74" s="57" t="n"/>
      <c r="FW74" s="57" t="n"/>
      <c r="FX74" s="67">
        <f>SUM(FT74:FW74)</f>
        <v/>
      </c>
      <c r="FY74" s="61" t="n"/>
      <c r="FZ74" s="57" t="n"/>
      <c r="GA74" s="66">
        <f>FQ74</f>
        <v/>
      </c>
      <c r="GB74" s="59" t="n"/>
      <c r="GC74" s="57" t="n"/>
      <c r="GD74" s="57" t="n"/>
      <c r="GE74" s="57" t="n"/>
      <c r="GF74" s="57" t="n"/>
      <c r="GG74" s="67">
        <f>SUM(GC74:GF74)</f>
        <v/>
      </c>
      <c r="GH74" s="61" t="n"/>
      <c r="GI74" s="57" t="n"/>
      <c r="GJ74" s="66">
        <f>FZ74</f>
        <v/>
      </c>
      <c r="GK74" s="59" t="n"/>
      <c r="GL74" s="57" t="n"/>
      <c r="GM74" s="57" t="n"/>
      <c r="GN74" s="57" t="n"/>
      <c r="GO74" s="57" t="n"/>
      <c r="GP74" s="67">
        <f>SUM(GL74:GO74)</f>
        <v/>
      </c>
      <c r="GQ74" s="61" t="n"/>
      <c r="GR74" s="57" t="n"/>
      <c r="GS74" s="66">
        <f>GI74</f>
        <v/>
      </c>
      <c r="GT74" s="59" t="n"/>
      <c r="GU74" s="57" t="n"/>
      <c r="GV74" s="57" t="n"/>
      <c r="GW74" s="57" t="n"/>
      <c r="GX74" s="57" t="n"/>
      <c r="GY74" s="67">
        <f>SUM(GU74:GX74)</f>
        <v/>
      </c>
      <c r="GZ74" s="61" t="n"/>
      <c r="HA74" s="57" t="n"/>
      <c r="HB74" s="66">
        <f>GR74</f>
        <v/>
      </c>
      <c r="HC74" s="59" t="n"/>
      <c r="HD74" s="57" t="n"/>
      <c r="HE74" s="57" t="n"/>
      <c r="HF74" s="57" t="n"/>
      <c r="HG74" s="57" t="n"/>
      <c r="HH74" s="67">
        <f>SUM(HD74:HG74)</f>
        <v/>
      </c>
      <c r="HI74" s="61" t="n"/>
      <c r="HJ74" s="57" t="n"/>
      <c r="HK74" s="66">
        <f>HA74</f>
        <v/>
      </c>
      <c r="HL74" s="59" t="n"/>
      <c r="HM74" s="57" t="n"/>
      <c r="HN74" s="57" t="n"/>
      <c r="HO74" s="57" t="n"/>
      <c r="HP74" s="57" t="n"/>
      <c r="HQ74" s="67">
        <f>SUM(HM74:HP74)</f>
        <v/>
      </c>
      <c r="HR74" s="61" t="n"/>
      <c r="HS74" s="57" t="n"/>
      <c r="HT74" s="66">
        <f>HJ74</f>
        <v/>
      </c>
      <c r="HU74" s="59" t="n"/>
      <c r="HV74" s="57" t="n"/>
      <c r="HW74" s="57" t="n"/>
      <c r="HX74" s="57" t="n"/>
      <c r="HY74" s="57" t="n"/>
      <c r="HZ74" s="67">
        <f>SUM(HV74:HY74)</f>
        <v/>
      </c>
      <c r="IA74" s="61" t="n"/>
      <c r="IB74" s="57" t="n"/>
      <c r="IC74" s="66">
        <f>HS74</f>
        <v/>
      </c>
      <c r="ID74" s="59" t="n"/>
      <c r="IE74" s="57" t="n"/>
      <c r="IF74" s="57" t="n"/>
      <c r="IG74" s="57" t="n"/>
      <c r="IH74" s="57" t="n"/>
      <c r="II74" s="67">
        <f>SUM(IE74:IH74)</f>
        <v/>
      </c>
      <c r="IJ74" s="61" t="n"/>
      <c r="IK74" s="57" t="n"/>
      <c r="IL74" s="66">
        <f>IB74</f>
        <v/>
      </c>
      <c r="IM74" s="59" t="n"/>
      <c r="IN74" s="57" t="n"/>
      <c r="IO74" s="57" t="n"/>
      <c r="IP74" s="57" t="n"/>
      <c r="IQ74" s="57" t="n"/>
      <c r="IR74" s="67">
        <f>SUM(IN74:IQ74)</f>
        <v/>
      </c>
      <c r="IS74" s="61" t="n"/>
      <c r="IT74" s="57" t="n"/>
      <c r="IU74" s="66">
        <f>IK74</f>
        <v/>
      </c>
      <c r="IV74" s="59" t="n"/>
      <c r="IW74" s="57" t="n"/>
      <c r="IX74" s="57" t="n"/>
      <c r="IY74" s="57" t="n"/>
      <c r="IZ74" s="57" t="n"/>
      <c r="JA74" s="67">
        <f>SUM(IW74:IZ74)</f>
        <v/>
      </c>
      <c r="JB74" s="61" t="n"/>
      <c r="JC74" s="57" t="n"/>
      <c r="JD74" s="66">
        <f>IT74</f>
        <v/>
      </c>
      <c r="JE74" s="59" t="n"/>
      <c r="JF74" s="57" t="n"/>
      <c r="JG74" s="57" t="n"/>
      <c r="JH74" s="57" t="n"/>
      <c r="JI74" s="57" t="n"/>
      <c r="JJ74" s="67">
        <f>SUM(JF74:JI74)</f>
        <v/>
      </c>
      <c r="JK74" s="61" t="n"/>
      <c r="JL74" s="57" t="n"/>
      <c r="JM74" s="66">
        <f>JC74</f>
        <v/>
      </c>
      <c r="JN74" s="59" t="n"/>
      <c r="JO74" s="57" t="n"/>
      <c r="JP74" s="57" t="n"/>
      <c r="JQ74" s="57" t="n"/>
      <c r="JR74" s="57" t="n"/>
      <c r="JS74" s="67">
        <f>SUM(JO74:JR74)</f>
        <v/>
      </c>
      <c r="JT74" s="61" t="n"/>
      <c r="JU74" s="62">
        <f>I74+R74+AA74+AJ74+AS74+BB74+BK74+BT74+CC74+CL74+CU74+DD74+DM74+DV74+EE74+EN74+EW74+FF74+FO74+FX74+GG74+GP74+GY74+HH74+HQ74+HZ74+II74+IR74+JA74+JJ74+JS74</f>
        <v/>
      </c>
      <c r="JV74" s="63">
        <f>D74+M74+V74+AE74+AN74+AW74+BF74+BO74+BX74+CG74+CP74+CY74+DH74+DQ74+DZ74+EI74+ER74+FA74+FJ74+FS74+GB74+GK74+GT74+HC74+HL74+HU74+ID74+IM74+IV74+JE74+JN74</f>
        <v/>
      </c>
      <c r="JW74" s="62">
        <f>CHOOSE($Z$3,B74, K74, T74, AC74, AL74, AU74, BD74, BM74, BV74, CE74, CN74, CW74, DF74, DO74, DX74, EG74, EP74, EY74, FH74, FQ74, FZ74, GI74, GR74, HA74, HJ74, HS74, IB74, IK74, IT74, JC74, JL74)</f>
        <v/>
      </c>
      <c r="JX74" s="62">
        <f>IFERROR(JU74/$Z$3,0)</f>
        <v/>
      </c>
      <c r="JY74" s="62">
        <f>Configurações!$C$14</f>
        <v/>
      </c>
      <c r="JZ74" s="64">
        <f>IF(JY74=0,"— Sem meta",IF(JU74&gt;=JY74,"✓ Atingida","Em andamento"))</f>
        <v/>
      </c>
      <c r="KA74" s="65">
        <f>JU74+(6*0.0000001)</f>
        <v/>
      </c>
    </row>
    <row r="75" ht="20" customHeight="1">
      <c r="A75" s="56">
        <f>IF(Configurações!$B$15="","Assessor 9",Configurações!$B$15)</f>
        <v/>
      </c>
      <c r="B75" s="57" t="n"/>
      <c r="C75" s="58">
        <f>'Março'!$JW75</f>
        <v/>
      </c>
      <c r="D75" s="59" t="n"/>
      <c r="E75" s="57" t="n"/>
      <c r="F75" s="57" t="n"/>
      <c r="G75" s="57" t="n"/>
      <c r="H75" s="57" t="n"/>
      <c r="I75" s="60">
        <f>SUM(E75:H75)</f>
        <v/>
      </c>
      <c r="J75" s="61" t="n"/>
      <c r="K75" s="57" t="n"/>
      <c r="L75" s="58">
        <f>B75</f>
        <v/>
      </c>
      <c r="M75" s="59" t="n"/>
      <c r="N75" s="57" t="n"/>
      <c r="O75" s="57" t="n"/>
      <c r="P75" s="57" t="n"/>
      <c r="Q75" s="57" t="n"/>
      <c r="R75" s="60">
        <f>SUM(N75:Q75)</f>
        <v/>
      </c>
      <c r="S75" s="61" t="n"/>
      <c r="T75" s="57" t="n"/>
      <c r="U75" s="58">
        <f>K75</f>
        <v/>
      </c>
      <c r="V75" s="59" t="n"/>
      <c r="W75" s="57" t="n"/>
      <c r="X75" s="57" t="n"/>
      <c r="Y75" s="57" t="n"/>
      <c r="Z75" s="57" t="n"/>
      <c r="AA75" s="60">
        <f>SUM(W75:Z75)</f>
        <v/>
      </c>
      <c r="AB75" s="61" t="n"/>
      <c r="AC75" s="57" t="n"/>
      <c r="AD75" s="58">
        <f>T75</f>
        <v/>
      </c>
      <c r="AE75" s="59" t="n"/>
      <c r="AF75" s="57" t="n"/>
      <c r="AG75" s="57" t="n"/>
      <c r="AH75" s="57" t="n"/>
      <c r="AI75" s="57" t="n"/>
      <c r="AJ75" s="60">
        <f>SUM(AF75:AI75)</f>
        <v/>
      </c>
      <c r="AK75" s="61" t="n"/>
      <c r="AL75" s="57" t="n"/>
      <c r="AM75" s="58">
        <f>AC75</f>
        <v/>
      </c>
      <c r="AN75" s="59" t="n"/>
      <c r="AO75" s="57" t="n"/>
      <c r="AP75" s="57" t="n"/>
      <c r="AQ75" s="57" t="n"/>
      <c r="AR75" s="57" t="n"/>
      <c r="AS75" s="60">
        <f>SUM(AO75:AR75)</f>
        <v/>
      </c>
      <c r="AT75" s="61" t="n"/>
      <c r="AU75" s="57" t="n"/>
      <c r="AV75" s="58">
        <f>AL75</f>
        <v/>
      </c>
      <c r="AW75" s="59" t="n"/>
      <c r="AX75" s="57" t="n"/>
      <c r="AY75" s="57" t="n"/>
      <c r="AZ75" s="57" t="n"/>
      <c r="BA75" s="57" t="n"/>
      <c r="BB75" s="60">
        <f>SUM(AX75:BA75)</f>
        <v/>
      </c>
      <c r="BC75" s="61" t="n"/>
      <c r="BD75" s="57" t="n"/>
      <c r="BE75" s="58">
        <f>AU75</f>
        <v/>
      </c>
      <c r="BF75" s="59" t="n"/>
      <c r="BG75" s="57" t="n"/>
      <c r="BH75" s="57" t="n"/>
      <c r="BI75" s="57" t="n"/>
      <c r="BJ75" s="57" t="n"/>
      <c r="BK75" s="60">
        <f>SUM(BG75:BJ75)</f>
        <v/>
      </c>
      <c r="BL75" s="61" t="n"/>
      <c r="BM75" s="57" t="n"/>
      <c r="BN75" s="58">
        <f>BD75</f>
        <v/>
      </c>
      <c r="BO75" s="59" t="n"/>
      <c r="BP75" s="57" t="n"/>
      <c r="BQ75" s="57" t="n"/>
      <c r="BR75" s="57" t="n"/>
      <c r="BS75" s="57" t="n"/>
      <c r="BT75" s="60">
        <f>SUM(BP75:BS75)</f>
        <v/>
      </c>
      <c r="BU75" s="61" t="n"/>
      <c r="BV75" s="57" t="n"/>
      <c r="BW75" s="58">
        <f>BM75</f>
        <v/>
      </c>
      <c r="BX75" s="59" t="n"/>
      <c r="BY75" s="57" t="n"/>
      <c r="BZ75" s="57" t="n"/>
      <c r="CA75" s="57" t="n"/>
      <c r="CB75" s="57" t="n"/>
      <c r="CC75" s="60">
        <f>SUM(BY75:CB75)</f>
        <v/>
      </c>
      <c r="CD75" s="61" t="n"/>
      <c r="CE75" s="57" t="n"/>
      <c r="CF75" s="58">
        <f>BV75</f>
        <v/>
      </c>
      <c r="CG75" s="59" t="n"/>
      <c r="CH75" s="57" t="n"/>
      <c r="CI75" s="57" t="n"/>
      <c r="CJ75" s="57" t="n"/>
      <c r="CK75" s="57" t="n"/>
      <c r="CL75" s="60">
        <f>SUM(CH75:CK75)</f>
        <v/>
      </c>
      <c r="CM75" s="61" t="n"/>
      <c r="CN75" s="57" t="n"/>
      <c r="CO75" s="58">
        <f>CE75</f>
        <v/>
      </c>
      <c r="CP75" s="59" t="n"/>
      <c r="CQ75" s="57" t="n"/>
      <c r="CR75" s="57" t="n"/>
      <c r="CS75" s="57" t="n"/>
      <c r="CT75" s="57" t="n"/>
      <c r="CU75" s="60">
        <f>SUM(CQ75:CT75)</f>
        <v/>
      </c>
      <c r="CV75" s="61" t="n"/>
      <c r="CW75" s="57" t="n"/>
      <c r="CX75" s="58">
        <f>CN75</f>
        <v/>
      </c>
      <c r="CY75" s="59" t="n"/>
      <c r="CZ75" s="57" t="n"/>
      <c r="DA75" s="57" t="n"/>
      <c r="DB75" s="57" t="n"/>
      <c r="DC75" s="57" t="n"/>
      <c r="DD75" s="60">
        <f>SUM(CZ75:DC75)</f>
        <v/>
      </c>
      <c r="DE75" s="61" t="n"/>
      <c r="DF75" s="57" t="n"/>
      <c r="DG75" s="58">
        <f>CW75</f>
        <v/>
      </c>
      <c r="DH75" s="59" t="n"/>
      <c r="DI75" s="57" t="n"/>
      <c r="DJ75" s="57" t="n"/>
      <c r="DK75" s="57" t="n"/>
      <c r="DL75" s="57" t="n"/>
      <c r="DM75" s="60">
        <f>SUM(DI75:DL75)</f>
        <v/>
      </c>
      <c r="DN75" s="61" t="n"/>
      <c r="DO75" s="57" t="n"/>
      <c r="DP75" s="58">
        <f>DF75</f>
        <v/>
      </c>
      <c r="DQ75" s="59" t="n"/>
      <c r="DR75" s="57" t="n"/>
      <c r="DS75" s="57" t="n"/>
      <c r="DT75" s="57" t="n"/>
      <c r="DU75" s="57" t="n"/>
      <c r="DV75" s="60">
        <f>SUM(DR75:DU75)</f>
        <v/>
      </c>
      <c r="DW75" s="61" t="n"/>
      <c r="DX75" s="57" t="n"/>
      <c r="DY75" s="58">
        <f>DO75</f>
        <v/>
      </c>
      <c r="DZ75" s="59" t="n"/>
      <c r="EA75" s="57" t="n"/>
      <c r="EB75" s="57" t="n"/>
      <c r="EC75" s="57" t="n"/>
      <c r="ED75" s="57" t="n"/>
      <c r="EE75" s="60">
        <f>SUM(EA75:ED75)</f>
        <v/>
      </c>
      <c r="EF75" s="61" t="n"/>
      <c r="EG75" s="57" t="n"/>
      <c r="EH75" s="58">
        <f>DX75</f>
        <v/>
      </c>
      <c r="EI75" s="59" t="n"/>
      <c r="EJ75" s="57" t="n"/>
      <c r="EK75" s="57" t="n"/>
      <c r="EL75" s="57" t="n"/>
      <c r="EM75" s="57" t="n"/>
      <c r="EN75" s="60">
        <f>SUM(EJ75:EM75)</f>
        <v/>
      </c>
      <c r="EO75" s="61" t="n"/>
      <c r="EP75" s="57" t="n"/>
      <c r="EQ75" s="58">
        <f>EG75</f>
        <v/>
      </c>
      <c r="ER75" s="59" t="n"/>
      <c r="ES75" s="57" t="n"/>
      <c r="ET75" s="57" t="n"/>
      <c r="EU75" s="57" t="n"/>
      <c r="EV75" s="57" t="n"/>
      <c r="EW75" s="60">
        <f>SUM(ES75:EV75)</f>
        <v/>
      </c>
      <c r="EX75" s="61" t="n"/>
      <c r="EY75" s="57" t="n"/>
      <c r="EZ75" s="58">
        <f>EP75</f>
        <v/>
      </c>
      <c r="FA75" s="59" t="n"/>
      <c r="FB75" s="57" t="n"/>
      <c r="FC75" s="57" t="n"/>
      <c r="FD75" s="57" t="n"/>
      <c r="FE75" s="57" t="n"/>
      <c r="FF75" s="60">
        <f>SUM(FB75:FE75)</f>
        <v/>
      </c>
      <c r="FG75" s="61" t="n"/>
      <c r="FH75" s="57" t="n"/>
      <c r="FI75" s="58">
        <f>EY75</f>
        <v/>
      </c>
      <c r="FJ75" s="59" t="n"/>
      <c r="FK75" s="57" t="n"/>
      <c r="FL75" s="57" t="n"/>
      <c r="FM75" s="57" t="n"/>
      <c r="FN75" s="57" t="n"/>
      <c r="FO75" s="60">
        <f>SUM(FK75:FN75)</f>
        <v/>
      </c>
      <c r="FP75" s="61" t="n"/>
      <c r="FQ75" s="57" t="n"/>
      <c r="FR75" s="58">
        <f>FH75</f>
        <v/>
      </c>
      <c r="FS75" s="59" t="n"/>
      <c r="FT75" s="57" t="n"/>
      <c r="FU75" s="57" t="n"/>
      <c r="FV75" s="57" t="n"/>
      <c r="FW75" s="57" t="n"/>
      <c r="FX75" s="60">
        <f>SUM(FT75:FW75)</f>
        <v/>
      </c>
      <c r="FY75" s="61" t="n"/>
      <c r="FZ75" s="57" t="n"/>
      <c r="GA75" s="58">
        <f>FQ75</f>
        <v/>
      </c>
      <c r="GB75" s="59" t="n"/>
      <c r="GC75" s="57" t="n"/>
      <c r="GD75" s="57" t="n"/>
      <c r="GE75" s="57" t="n"/>
      <c r="GF75" s="57" t="n"/>
      <c r="GG75" s="60">
        <f>SUM(GC75:GF75)</f>
        <v/>
      </c>
      <c r="GH75" s="61" t="n"/>
      <c r="GI75" s="57" t="n"/>
      <c r="GJ75" s="58">
        <f>FZ75</f>
        <v/>
      </c>
      <c r="GK75" s="59" t="n"/>
      <c r="GL75" s="57" t="n"/>
      <c r="GM75" s="57" t="n"/>
      <c r="GN75" s="57" t="n"/>
      <c r="GO75" s="57" t="n"/>
      <c r="GP75" s="60">
        <f>SUM(GL75:GO75)</f>
        <v/>
      </c>
      <c r="GQ75" s="61" t="n"/>
      <c r="GR75" s="57" t="n"/>
      <c r="GS75" s="58">
        <f>GI75</f>
        <v/>
      </c>
      <c r="GT75" s="59" t="n"/>
      <c r="GU75" s="57" t="n"/>
      <c r="GV75" s="57" t="n"/>
      <c r="GW75" s="57" t="n"/>
      <c r="GX75" s="57" t="n"/>
      <c r="GY75" s="60">
        <f>SUM(GU75:GX75)</f>
        <v/>
      </c>
      <c r="GZ75" s="61" t="n"/>
      <c r="HA75" s="57" t="n"/>
      <c r="HB75" s="58">
        <f>GR75</f>
        <v/>
      </c>
      <c r="HC75" s="59" t="n"/>
      <c r="HD75" s="57" t="n"/>
      <c r="HE75" s="57" t="n"/>
      <c r="HF75" s="57" t="n"/>
      <c r="HG75" s="57" t="n"/>
      <c r="HH75" s="60">
        <f>SUM(HD75:HG75)</f>
        <v/>
      </c>
      <c r="HI75" s="61" t="n"/>
      <c r="HJ75" s="57" t="n"/>
      <c r="HK75" s="58">
        <f>HA75</f>
        <v/>
      </c>
      <c r="HL75" s="59" t="n"/>
      <c r="HM75" s="57" t="n"/>
      <c r="HN75" s="57" t="n"/>
      <c r="HO75" s="57" t="n"/>
      <c r="HP75" s="57" t="n"/>
      <c r="HQ75" s="60">
        <f>SUM(HM75:HP75)</f>
        <v/>
      </c>
      <c r="HR75" s="61" t="n"/>
      <c r="HS75" s="57" t="n"/>
      <c r="HT75" s="58">
        <f>HJ75</f>
        <v/>
      </c>
      <c r="HU75" s="59" t="n"/>
      <c r="HV75" s="57" t="n"/>
      <c r="HW75" s="57" t="n"/>
      <c r="HX75" s="57" t="n"/>
      <c r="HY75" s="57" t="n"/>
      <c r="HZ75" s="60">
        <f>SUM(HV75:HY75)</f>
        <v/>
      </c>
      <c r="IA75" s="61" t="n"/>
      <c r="IB75" s="57" t="n"/>
      <c r="IC75" s="58">
        <f>HS75</f>
        <v/>
      </c>
      <c r="ID75" s="59" t="n"/>
      <c r="IE75" s="57" t="n"/>
      <c r="IF75" s="57" t="n"/>
      <c r="IG75" s="57" t="n"/>
      <c r="IH75" s="57" t="n"/>
      <c r="II75" s="60">
        <f>SUM(IE75:IH75)</f>
        <v/>
      </c>
      <c r="IJ75" s="61" t="n"/>
      <c r="IK75" s="57" t="n"/>
      <c r="IL75" s="58">
        <f>IB75</f>
        <v/>
      </c>
      <c r="IM75" s="59" t="n"/>
      <c r="IN75" s="57" t="n"/>
      <c r="IO75" s="57" t="n"/>
      <c r="IP75" s="57" t="n"/>
      <c r="IQ75" s="57" t="n"/>
      <c r="IR75" s="60">
        <f>SUM(IN75:IQ75)</f>
        <v/>
      </c>
      <c r="IS75" s="61" t="n"/>
      <c r="IT75" s="57" t="n"/>
      <c r="IU75" s="58">
        <f>IK75</f>
        <v/>
      </c>
      <c r="IV75" s="59" t="n"/>
      <c r="IW75" s="57" t="n"/>
      <c r="IX75" s="57" t="n"/>
      <c r="IY75" s="57" t="n"/>
      <c r="IZ75" s="57" t="n"/>
      <c r="JA75" s="60">
        <f>SUM(IW75:IZ75)</f>
        <v/>
      </c>
      <c r="JB75" s="61" t="n"/>
      <c r="JC75" s="57" t="n"/>
      <c r="JD75" s="58">
        <f>IT75</f>
        <v/>
      </c>
      <c r="JE75" s="59" t="n"/>
      <c r="JF75" s="57" t="n"/>
      <c r="JG75" s="57" t="n"/>
      <c r="JH75" s="57" t="n"/>
      <c r="JI75" s="57" t="n"/>
      <c r="JJ75" s="60">
        <f>SUM(JF75:JI75)</f>
        <v/>
      </c>
      <c r="JK75" s="61" t="n"/>
      <c r="JL75" s="57" t="n"/>
      <c r="JM75" s="58">
        <f>JC75</f>
        <v/>
      </c>
      <c r="JN75" s="59" t="n"/>
      <c r="JO75" s="57" t="n"/>
      <c r="JP75" s="57" t="n"/>
      <c r="JQ75" s="57" t="n"/>
      <c r="JR75" s="57" t="n"/>
      <c r="JS75" s="60">
        <f>SUM(JO75:JR75)</f>
        <v/>
      </c>
      <c r="JT75" s="61" t="n"/>
      <c r="JU75" s="62">
        <f>I75+R75+AA75+AJ75+AS75+BB75+BK75+BT75+CC75+CL75+CU75+DD75+DM75+DV75+EE75+EN75+EW75+FF75+FO75+FX75+GG75+GP75+GY75+HH75+HQ75+HZ75+II75+IR75+JA75+JJ75+JS75</f>
        <v/>
      </c>
      <c r="JV75" s="63">
        <f>D75+M75+V75+AE75+AN75+AW75+BF75+BO75+BX75+CG75+CP75+CY75+DH75+DQ75+DZ75+EI75+ER75+FA75+FJ75+FS75+GB75+GK75+GT75+HC75+HL75+HU75+ID75+IM75+IV75+JE75+JN75</f>
        <v/>
      </c>
      <c r="JW75" s="62">
        <f>CHOOSE($Z$3,B75, K75, T75, AC75, AL75, AU75, BD75, BM75, BV75, CE75, CN75, CW75, DF75, DO75, DX75, EG75, EP75, EY75, FH75, FQ75, FZ75, GI75, GR75, HA75, HJ75, HS75, IB75, IK75, IT75, JC75, JL75)</f>
        <v/>
      </c>
      <c r="JX75" s="62">
        <f>IFERROR(JU75/$Z$3,0)</f>
        <v/>
      </c>
      <c r="JY75" s="62">
        <f>Configurações!$C$15</f>
        <v/>
      </c>
      <c r="JZ75" s="64">
        <f>IF(JY75=0,"— Sem meta",IF(JU75&gt;=JY75,"✓ Atingida","Em andamento"))</f>
        <v/>
      </c>
      <c r="KA75" s="65">
        <f>JU75+(5*0.0000001)</f>
        <v/>
      </c>
    </row>
    <row r="76" ht="20" customHeight="1">
      <c r="A76" s="56">
        <f>IF(Configurações!$B$16="","Assessor 10",Configurações!$B$16)</f>
        <v/>
      </c>
      <c r="B76" s="57" t="n"/>
      <c r="C76" s="66">
        <f>'Março'!$JW76</f>
        <v/>
      </c>
      <c r="D76" s="59" t="n"/>
      <c r="E76" s="57" t="n"/>
      <c r="F76" s="57" t="n"/>
      <c r="G76" s="57" t="n"/>
      <c r="H76" s="57" t="n"/>
      <c r="I76" s="67">
        <f>SUM(E76:H76)</f>
        <v/>
      </c>
      <c r="J76" s="61" t="n"/>
      <c r="K76" s="57" t="n"/>
      <c r="L76" s="66">
        <f>B76</f>
        <v/>
      </c>
      <c r="M76" s="59" t="n"/>
      <c r="N76" s="57" t="n"/>
      <c r="O76" s="57" t="n"/>
      <c r="P76" s="57" t="n"/>
      <c r="Q76" s="57" t="n"/>
      <c r="R76" s="67">
        <f>SUM(N76:Q76)</f>
        <v/>
      </c>
      <c r="S76" s="61" t="n"/>
      <c r="T76" s="57" t="n"/>
      <c r="U76" s="66">
        <f>K76</f>
        <v/>
      </c>
      <c r="V76" s="59" t="n"/>
      <c r="W76" s="57" t="n"/>
      <c r="X76" s="57" t="n"/>
      <c r="Y76" s="57" t="n"/>
      <c r="Z76" s="57" t="n"/>
      <c r="AA76" s="67">
        <f>SUM(W76:Z76)</f>
        <v/>
      </c>
      <c r="AB76" s="61" t="n"/>
      <c r="AC76" s="57" t="n"/>
      <c r="AD76" s="66">
        <f>T76</f>
        <v/>
      </c>
      <c r="AE76" s="59" t="n"/>
      <c r="AF76" s="57" t="n"/>
      <c r="AG76" s="57" t="n"/>
      <c r="AH76" s="57" t="n"/>
      <c r="AI76" s="57" t="n"/>
      <c r="AJ76" s="67">
        <f>SUM(AF76:AI76)</f>
        <v/>
      </c>
      <c r="AK76" s="61" t="n"/>
      <c r="AL76" s="57" t="n"/>
      <c r="AM76" s="66">
        <f>AC76</f>
        <v/>
      </c>
      <c r="AN76" s="59" t="n"/>
      <c r="AO76" s="57" t="n"/>
      <c r="AP76" s="57" t="n"/>
      <c r="AQ76" s="57" t="n"/>
      <c r="AR76" s="57" t="n"/>
      <c r="AS76" s="67">
        <f>SUM(AO76:AR76)</f>
        <v/>
      </c>
      <c r="AT76" s="61" t="n"/>
      <c r="AU76" s="57" t="n"/>
      <c r="AV76" s="66">
        <f>AL76</f>
        <v/>
      </c>
      <c r="AW76" s="59" t="n"/>
      <c r="AX76" s="57" t="n"/>
      <c r="AY76" s="57" t="n"/>
      <c r="AZ76" s="57" t="n"/>
      <c r="BA76" s="57" t="n"/>
      <c r="BB76" s="67">
        <f>SUM(AX76:BA76)</f>
        <v/>
      </c>
      <c r="BC76" s="61" t="n"/>
      <c r="BD76" s="57" t="n"/>
      <c r="BE76" s="66">
        <f>AU76</f>
        <v/>
      </c>
      <c r="BF76" s="59" t="n"/>
      <c r="BG76" s="57" t="n"/>
      <c r="BH76" s="57" t="n"/>
      <c r="BI76" s="57" t="n"/>
      <c r="BJ76" s="57" t="n"/>
      <c r="BK76" s="67">
        <f>SUM(BG76:BJ76)</f>
        <v/>
      </c>
      <c r="BL76" s="61" t="n"/>
      <c r="BM76" s="57" t="n"/>
      <c r="BN76" s="66">
        <f>BD76</f>
        <v/>
      </c>
      <c r="BO76" s="59" t="n"/>
      <c r="BP76" s="57" t="n"/>
      <c r="BQ76" s="57" t="n"/>
      <c r="BR76" s="57" t="n"/>
      <c r="BS76" s="57" t="n"/>
      <c r="BT76" s="67">
        <f>SUM(BP76:BS76)</f>
        <v/>
      </c>
      <c r="BU76" s="61" t="n"/>
      <c r="BV76" s="57" t="n"/>
      <c r="BW76" s="66">
        <f>BM76</f>
        <v/>
      </c>
      <c r="BX76" s="59" t="n"/>
      <c r="BY76" s="57" t="n"/>
      <c r="BZ76" s="57" t="n"/>
      <c r="CA76" s="57" t="n"/>
      <c r="CB76" s="57" t="n"/>
      <c r="CC76" s="67">
        <f>SUM(BY76:CB76)</f>
        <v/>
      </c>
      <c r="CD76" s="61" t="n"/>
      <c r="CE76" s="57" t="n"/>
      <c r="CF76" s="66">
        <f>BV76</f>
        <v/>
      </c>
      <c r="CG76" s="59" t="n"/>
      <c r="CH76" s="57" t="n"/>
      <c r="CI76" s="57" t="n"/>
      <c r="CJ76" s="57" t="n"/>
      <c r="CK76" s="57" t="n"/>
      <c r="CL76" s="67">
        <f>SUM(CH76:CK76)</f>
        <v/>
      </c>
      <c r="CM76" s="61" t="n"/>
      <c r="CN76" s="57" t="n"/>
      <c r="CO76" s="66">
        <f>CE76</f>
        <v/>
      </c>
      <c r="CP76" s="59" t="n"/>
      <c r="CQ76" s="57" t="n"/>
      <c r="CR76" s="57" t="n"/>
      <c r="CS76" s="57" t="n"/>
      <c r="CT76" s="57" t="n"/>
      <c r="CU76" s="67">
        <f>SUM(CQ76:CT76)</f>
        <v/>
      </c>
      <c r="CV76" s="61" t="n"/>
      <c r="CW76" s="57" t="n"/>
      <c r="CX76" s="66">
        <f>CN76</f>
        <v/>
      </c>
      <c r="CY76" s="59" t="n"/>
      <c r="CZ76" s="57" t="n"/>
      <c r="DA76" s="57" t="n"/>
      <c r="DB76" s="57" t="n"/>
      <c r="DC76" s="57" t="n"/>
      <c r="DD76" s="67">
        <f>SUM(CZ76:DC76)</f>
        <v/>
      </c>
      <c r="DE76" s="61" t="n"/>
      <c r="DF76" s="57" t="n"/>
      <c r="DG76" s="66">
        <f>CW76</f>
        <v/>
      </c>
      <c r="DH76" s="59" t="n"/>
      <c r="DI76" s="57" t="n"/>
      <c r="DJ76" s="57" t="n"/>
      <c r="DK76" s="57" t="n"/>
      <c r="DL76" s="57" t="n"/>
      <c r="DM76" s="67">
        <f>SUM(DI76:DL76)</f>
        <v/>
      </c>
      <c r="DN76" s="61" t="n"/>
      <c r="DO76" s="57" t="n"/>
      <c r="DP76" s="66">
        <f>DF76</f>
        <v/>
      </c>
      <c r="DQ76" s="59" t="n"/>
      <c r="DR76" s="57" t="n"/>
      <c r="DS76" s="57" t="n"/>
      <c r="DT76" s="57" t="n"/>
      <c r="DU76" s="57" t="n"/>
      <c r="DV76" s="67">
        <f>SUM(DR76:DU76)</f>
        <v/>
      </c>
      <c r="DW76" s="61" t="n"/>
      <c r="DX76" s="57" t="n"/>
      <c r="DY76" s="66">
        <f>DO76</f>
        <v/>
      </c>
      <c r="DZ76" s="59" t="n"/>
      <c r="EA76" s="57" t="n"/>
      <c r="EB76" s="57" t="n"/>
      <c r="EC76" s="57" t="n"/>
      <c r="ED76" s="57" t="n"/>
      <c r="EE76" s="67">
        <f>SUM(EA76:ED76)</f>
        <v/>
      </c>
      <c r="EF76" s="61" t="n"/>
      <c r="EG76" s="57" t="n"/>
      <c r="EH76" s="66">
        <f>DX76</f>
        <v/>
      </c>
      <c r="EI76" s="59" t="n"/>
      <c r="EJ76" s="57" t="n"/>
      <c r="EK76" s="57" t="n"/>
      <c r="EL76" s="57" t="n"/>
      <c r="EM76" s="57" t="n"/>
      <c r="EN76" s="67">
        <f>SUM(EJ76:EM76)</f>
        <v/>
      </c>
      <c r="EO76" s="61" t="n"/>
      <c r="EP76" s="57" t="n"/>
      <c r="EQ76" s="66">
        <f>EG76</f>
        <v/>
      </c>
      <c r="ER76" s="59" t="n"/>
      <c r="ES76" s="57" t="n"/>
      <c r="ET76" s="57" t="n"/>
      <c r="EU76" s="57" t="n"/>
      <c r="EV76" s="57" t="n"/>
      <c r="EW76" s="67">
        <f>SUM(ES76:EV76)</f>
        <v/>
      </c>
      <c r="EX76" s="61" t="n"/>
      <c r="EY76" s="57" t="n"/>
      <c r="EZ76" s="66">
        <f>EP76</f>
        <v/>
      </c>
      <c r="FA76" s="59" t="n"/>
      <c r="FB76" s="57" t="n"/>
      <c r="FC76" s="57" t="n"/>
      <c r="FD76" s="57" t="n"/>
      <c r="FE76" s="57" t="n"/>
      <c r="FF76" s="67">
        <f>SUM(FB76:FE76)</f>
        <v/>
      </c>
      <c r="FG76" s="61" t="n"/>
      <c r="FH76" s="57" t="n"/>
      <c r="FI76" s="66">
        <f>EY76</f>
        <v/>
      </c>
      <c r="FJ76" s="59" t="n"/>
      <c r="FK76" s="57" t="n"/>
      <c r="FL76" s="57" t="n"/>
      <c r="FM76" s="57" t="n"/>
      <c r="FN76" s="57" t="n"/>
      <c r="FO76" s="67">
        <f>SUM(FK76:FN76)</f>
        <v/>
      </c>
      <c r="FP76" s="61" t="n"/>
      <c r="FQ76" s="57" t="n"/>
      <c r="FR76" s="66">
        <f>FH76</f>
        <v/>
      </c>
      <c r="FS76" s="59" t="n"/>
      <c r="FT76" s="57" t="n"/>
      <c r="FU76" s="57" t="n"/>
      <c r="FV76" s="57" t="n"/>
      <c r="FW76" s="57" t="n"/>
      <c r="FX76" s="67">
        <f>SUM(FT76:FW76)</f>
        <v/>
      </c>
      <c r="FY76" s="61" t="n"/>
      <c r="FZ76" s="57" t="n"/>
      <c r="GA76" s="66">
        <f>FQ76</f>
        <v/>
      </c>
      <c r="GB76" s="59" t="n"/>
      <c r="GC76" s="57" t="n"/>
      <c r="GD76" s="57" t="n"/>
      <c r="GE76" s="57" t="n"/>
      <c r="GF76" s="57" t="n"/>
      <c r="GG76" s="67">
        <f>SUM(GC76:GF76)</f>
        <v/>
      </c>
      <c r="GH76" s="61" t="n"/>
      <c r="GI76" s="57" t="n"/>
      <c r="GJ76" s="66">
        <f>FZ76</f>
        <v/>
      </c>
      <c r="GK76" s="59" t="n"/>
      <c r="GL76" s="57" t="n"/>
      <c r="GM76" s="57" t="n"/>
      <c r="GN76" s="57" t="n"/>
      <c r="GO76" s="57" t="n"/>
      <c r="GP76" s="67">
        <f>SUM(GL76:GO76)</f>
        <v/>
      </c>
      <c r="GQ76" s="61" t="n"/>
      <c r="GR76" s="57" t="n"/>
      <c r="GS76" s="66">
        <f>GI76</f>
        <v/>
      </c>
      <c r="GT76" s="59" t="n"/>
      <c r="GU76" s="57" t="n"/>
      <c r="GV76" s="57" t="n"/>
      <c r="GW76" s="57" t="n"/>
      <c r="GX76" s="57" t="n"/>
      <c r="GY76" s="67">
        <f>SUM(GU76:GX76)</f>
        <v/>
      </c>
      <c r="GZ76" s="61" t="n"/>
      <c r="HA76" s="57" t="n"/>
      <c r="HB76" s="66">
        <f>GR76</f>
        <v/>
      </c>
      <c r="HC76" s="59" t="n"/>
      <c r="HD76" s="57" t="n"/>
      <c r="HE76" s="57" t="n"/>
      <c r="HF76" s="57" t="n"/>
      <c r="HG76" s="57" t="n"/>
      <c r="HH76" s="67">
        <f>SUM(HD76:HG76)</f>
        <v/>
      </c>
      <c r="HI76" s="61" t="n"/>
      <c r="HJ76" s="57" t="n"/>
      <c r="HK76" s="66">
        <f>HA76</f>
        <v/>
      </c>
      <c r="HL76" s="59" t="n"/>
      <c r="HM76" s="57" t="n"/>
      <c r="HN76" s="57" t="n"/>
      <c r="HO76" s="57" t="n"/>
      <c r="HP76" s="57" t="n"/>
      <c r="HQ76" s="67">
        <f>SUM(HM76:HP76)</f>
        <v/>
      </c>
      <c r="HR76" s="61" t="n"/>
      <c r="HS76" s="57" t="n"/>
      <c r="HT76" s="66">
        <f>HJ76</f>
        <v/>
      </c>
      <c r="HU76" s="59" t="n"/>
      <c r="HV76" s="57" t="n"/>
      <c r="HW76" s="57" t="n"/>
      <c r="HX76" s="57" t="n"/>
      <c r="HY76" s="57" t="n"/>
      <c r="HZ76" s="67">
        <f>SUM(HV76:HY76)</f>
        <v/>
      </c>
      <c r="IA76" s="61" t="n"/>
      <c r="IB76" s="57" t="n"/>
      <c r="IC76" s="66">
        <f>HS76</f>
        <v/>
      </c>
      <c r="ID76" s="59" t="n"/>
      <c r="IE76" s="57" t="n"/>
      <c r="IF76" s="57" t="n"/>
      <c r="IG76" s="57" t="n"/>
      <c r="IH76" s="57" t="n"/>
      <c r="II76" s="67">
        <f>SUM(IE76:IH76)</f>
        <v/>
      </c>
      <c r="IJ76" s="61" t="n"/>
      <c r="IK76" s="57" t="n"/>
      <c r="IL76" s="66">
        <f>IB76</f>
        <v/>
      </c>
      <c r="IM76" s="59" t="n"/>
      <c r="IN76" s="57" t="n"/>
      <c r="IO76" s="57" t="n"/>
      <c r="IP76" s="57" t="n"/>
      <c r="IQ76" s="57" t="n"/>
      <c r="IR76" s="67">
        <f>SUM(IN76:IQ76)</f>
        <v/>
      </c>
      <c r="IS76" s="61" t="n"/>
      <c r="IT76" s="57" t="n"/>
      <c r="IU76" s="66">
        <f>IK76</f>
        <v/>
      </c>
      <c r="IV76" s="59" t="n"/>
      <c r="IW76" s="57" t="n"/>
      <c r="IX76" s="57" t="n"/>
      <c r="IY76" s="57" t="n"/>
      <c r="IZ76" s="57" t="n"/>
      <c r="JA76" s="67">
        <f>SUM(IW76:IZ76)</f>
        <v/>
      </c>
      <c r="JB76" s="61" t="n"/>
      <c r="JC76" s="57" t="n"/>
      <c r="JD76" s="66">
        <f>IT76</f>
        <v/>
      </c>
      <c r="JE76" s="59" t="n"/>
      <c r="JF76" s="57" t="n"/>
      <c r="JG76" s="57" t="n"/>
      <c r="JH76" s="57" t="n"/>
      <c r="JI76" s="57" t="n"/>
      <c r="JJ76" s="67">
        <f>SUM(JF76:JI76)</f>
        <v/>
      </c>
      <c r="JK76" s="61" t="n"/>
      <c r="JL76" s="57" t="n"/>
      <c r="JM76" s="66">
        <f>JC76</f>
        <v/>
      </c>
      <c r="JN76" s="59" t="n"/>
      <c r="JO76" s="57" t="n"/>
      <c r="JP76" s="57" t="n"/>
      <c r="JQ76" s="57" t="n"/>
      <c r="JR76" s="57" t="n"/>
      <c r="JS76" s="67">
        <f>SUM(JO76:JR76)</f>
        <v/>
      </c>
      <c r="JT76" s="61" t="n"/>
      <c r="JU76" s="62">
        <f>I76+R76+AA76+AJ76+AS76+BB76+BK76+BT76+CC76+CL76+CU76+DD76+DM76+DV76+EE76+EN76+EW76+FF76+FO76+FX76+GG76+GP76+GY76+HH76+HQ76+HZ76+II76+IR76+JA76+JJ76+JS76</f>
        <v/>
      </c>
      <c r="JV76" s="63">
        <f>D76+M76+V76+AE76+AN76+AW76+BF76+BO76+BX76+CG76+CP76+CY76+DH76+DQ76+DZ76+EI76+ER76+FA76+FJ76+FS76+GB76+GK76+GT76+HC76+HL76+HU76+ID76+IM76+IV76+JE76+JN76</f>
        <v/>
      </c>
      <c r="JW76" s="62">
        <f>CHOOSE($Z$3,B76, K76, T76, AC76, AL76, AU76, BD76, BM76, BV76, CE76, CN76, CW76, DF76, DO76, DX76, EG76, EP76, EY76, FH76, FQ76, FZ76, GI76, GR76, HA76, HJ76, HS76, IB76, IK76, IT76, JC76, JL76)</f>
        <v/>
      </c>
      <c r="JX76" s="62">
        <f>IFERROR(JU76/$Z$3,0)</f>
        <v/>
      </c>
      <c r="JY76" s="62">
        <f>Configurações!$C$16</f>
        <v/>
      </c>
      <c r="JZ76" s="64">
        <f>IF(JY76=0,"— Sem meta",IF(JU76&gt;=JY76,"✓ Atingida","Em andamento"))</f>
        <v/>
      </c>
      <c r="KA76" s="65">
        <f>JU76+(4*0.0000001)</f>
        <v/>
      </c>
    </row>
    <row r="77" ht="20" customHeight="1">
      <c r="A77" s="56">
        <f>IF(Configurações!$B$17="","Assessor 11",Configurações!$B$17)</f>
        <v/>
      </c>
      <c r="B77" s="57" t="n"/>
      <c r="C77" s="58">
        <f>'Março'!$JW77</f>
        <v/>
      </c>
      <c r="D77" s="59" t="n"/>
      <c r="E77" s="57" t="n"/>
      <c r="F77" s="57" t="n"/>
      <c r="G77" s="57" t="n"/>
      <c r="H77" s="57" t="n"/>
      <c r="I77" s="60">
        <f>SUM(E77:H77)</f>
        <v/>
      </c>
      <c r="J77" s="61" t="n"/>
      <c r="K77" s="57" t="n"/>
      <c r="L77" s="58">
        <f>B77</f>
        <v/>
      </c>
      <c r="M77" s="59" t="n"/>
      <c r="N77" s="57" t="n"/>
      <c r="O77" s="57" t="n"/>
      <c r="P77" s="57" t="n"/>
      <c r="Q77" s="57" t="n"/>
      <c r="R77" s="60">
        <f>SUM(N77:Q77)</f>
        <v/>
      </c>
      <c r="S77" s="61" t="n"/>
      <c r="T77" s="57" t="n"/>
      <c r="U77" s="58">
        <f>K77</f>
        <v/>
      </c>
      <c r="V77" s="59" t="n"/>
      <c r="W77" s="57" t="n"/>
      <c r="X77" s="57" t="n"/>
      <c r="Y77" s="57" t="n"/>
      <c r="Z77" s="57" t="n"/>
      <c r="AA77" s="60">
        <f>SUM(W77:Z77)</f>
        <v/>
      </c>
      <c r="AB77" s="61" t="n"/>
      <c r="AC77" s="57" t="n"/>
      <c r="AD77" s="58">
        <f>T77</f>
        <v/>
      </c>
      <c r="AE77" s="59" t="n"/>
      <c r="AF77" s="57" t="n"/>
      <c r="AG77" s="57" t="n"/>
      <c r="AH77" s="57" t="n"/>
      <c r="AI77" s="57" t="n"/>
      <c r="AJ77" s="60">
        <f>SUM(AF77:AI77)</f>
        <v/>
      </c>
      <c r="AK77" s="61" t="n"/>
      <c r="AL77" s="57" t="n"/>
      <c r="AM77" s="58">
        <f>AC77</f>
        <v/>
      </c>
      <c r="AN77" s="59" t="n"/>
      <c r="AO77" s="57" t="n"/>
      <c r="AP77" s="57" t="n"/>
      <c r="AQ77" s="57" t="n"/>
      <c r="AR77" s="57" t="n"/>
      <c r="AS77" s="60">
        <f>SUM(AO77:AR77)</f>
        <v/>
      </c>
      <c r="AT77" s="61" t="n"/>
      <c r="AU77" s="57" t="n"/>
      <c r="AV77" s="58">
        <f>AL77</f>
        <v/>
      </c>
      <c r="AW77" s="59" t="n"/>
      <c r="AX77" s="57" t="n"/>
      <c r="AY77" s="57" t="n"/>
      <c r="AZ77" s="57" t="n"/>
      <c r="BA77" s="57" t="n"/>
      <c r="BB77" s="60">
        <f>SUM(AX77:BA77)</f>
        <v/>
      </c>
      <c r="BC77" s="61" t="n"/>
      <c r="BD77" s="57" t="n"/>
      <c r="BE77" s="58">
        <f>AU77</f>
        <v/>
      </c>
      <c r="BF77" s="59" t="n"/>
      <c r="BG77" s="57" t="n"/>
      <c r="BH77" s="57" t="n"/>
      <c r="BI77" s="57" t="n"/>
      <c r="BJ77" s="57" t="n"/>
      <c r="BK77" s="60">
        <f>SUM(BG77:BJ77)</f>
        <v/>
      </c>
      <c r="BL77" s="61" t="n"/>
      <c r="BM77" s="57" t="n"/>
      <c r="BN77" s="58">
        <f>BD77</f>
        <v/>
      </c>
      <c r="BO77" s="59" t="n"/>
      <c r="BP77" s="57" t="n"/>
      <c r="BQ77" s="57" t="n"/>
      <c r="BR77" s="57" t="n"/>
      <c r="BS77" s="57" t="n"/>
      <c r="BT77" s="60">
        <f>SUM(BP77:BS77)</f>
        <v/>
      </c>
      <c r="BU77" s="61" t="n"/>
      <c r="BV77" s="57" t="n"/>
      <c r="BW77" s="58">
        <f>BM77</f>
        <v/>
      </c>
      <c r="BX77" s="59" t="n"/>
      <c r="BY77" s="57" t="n"/>
      <c r="BZ77" s="57" t="n"/>
      <c r="CA77" s="57" t="n"/>
      <c r="CB77" s="57" t="n"/>
      <c r="CC77" s="60">
        <f>SUM(BY77:CB77)</f>
        <v/>
      </c>
      <c r="CD77" s="61" t="n"/>
      <c r="CE77" s="57" t="n"/>
      <c r="CF77" s="58">
        <f>BV77</f>
        <v/>
      </c>
      <c r="CG77" s="59" t="n"/>
      <c r="CH77" s="57" t="n"/>
      <c r="CI77" s="57" t="n"/>
      <c r="CJ77" s="57" t="n"/>
      <c r="CK77" s="57" t="n"/>
      <c r="CL77" s="60">
        <f>SUM(CH77:CK77)</f>
        <v/>
      </c>
      <c r="CM77" s="61" t="n"/>
      <c r="CN77" s="57" t="n"/>
      <c r="CO77" s="58">
        <f>CE77</f>
        <v/>
      </c>
      <c r="CP77" s="59" t="n"/>
      <c r="CQ77" s="57" t="n"/>
      <c r="CR77" s="57" t="n"/>
      <c r="CS77" s="57" t="n"/>
      <c r="CT77" s="57" t="n"/>
      <c r="CU77" s="60">
        <f>SUM(CQ77:CT77)</f>
        <v/>
      </c>
      <c r="CV77" s="61" t="n"/>
      <c r="CW77" s="57" t="n"/>
      <c r="CX77" s="58">
        <f>CN77</f>
        <v/>
      </c>
      <c r="CY77" s="59" t="n"/>
      <c r="CZ77" s="57" t="n"/>
      <c r="DA77" s="57" t="n"/>
      <c r="DB77" s="57" t="n"/>
      <c r="DC77" s="57" t="n"/>
      <c r="DD77" s="60">
        <f>SUM(CZ77:DC77)</f>
        <v/>
      </c>
      <c r="DE77" s="61" t="n"/>
      <c r="DF77" s="57" t="n"/>
      <c r="DG77" s="58">
        <f>CW77</f>
        <v/>
      </c>
      <c r="DH77" s="59" t="n"/>
      <c r="DI77" s="57" t="n"/>
      <c r="DJ77" s="57" t="n"/>
      <c r="DK77" s="57" t="n"/>
      <c r="DL77" s="57" t="n"/>
      <c r="DM77" s="60">
        <f>SUM(DI77:DL77)</f>
        <v/>
      </c>
      <c r="DN77" s="61" t="n"/>
      <c r="DO77" s="57" t="n"/>
      <c r="DP77" s="58">
        <f>DF77</f>
        <v/>
      </c>
      <c r="DQ77" s="59" t="n"/>
      <c r="DR77" s="57" t="n"/>
      <c r="DS77" s="57" t="n"/>
      <c r="DT77" s="57" t="n"/>
      <c r="DU77" s="57" t="n"/>
      <c r="DV77" s="60">
        <f>SUM(DR77:DU77)</f>
        <v/>
      </c>
      <c r="DW77" s="61" t="n"/>
      <c r="DX77" s="57" t="n"/>
      <c r="DY77" s="58">
        <f>DO77</f>
        <v/>
      </c>
      <c r="DZ77" s="59" t="n"/>
      <c r="EA77" s="57" t="n"/>
      <c r="EB77" s="57" t="n"/>
      <c r="EC77" s="57" t="n"/>
      <c r="ED77" s="57" t="n"/>
      <c r="EE77" s="60">
        <f>SUM(EA77:ED77)</f>
        <v/>
      </c>
      <c r="EF77" s="61" t="n"/>
      <c r="EG77" s="57" t="n"/>
      <c r="EH77" s="58">
        <f>DX77</f>
        <v/>
      </c>
      <c r="EI77" s="59" t="n"/>
      <c r="EJ77" s="57" t="n"/>
      <c r="EK77" s="57" t="n"/>
      <c r="EL77" s="57" t="n"/>
      <c r="EM77" s="57" t="n"/>
      <c r="EN77" s="60">
        <f>SUM(EJ77:EM77)</f>
        <v/>
      </c>
      <c r="EO77" s="61" t="n"/>
      <c r="EP77" s="57" t="n"/>
      <c r="EQ77" s="58">
        <f>EG77</f>
        <v/>
      </c>
      <c r="ER77" s="59" t="n"/>
      <c r="ES77" s="57" t="n"/>
      <c r="ET77" s="57" t="n"/>
      <c r="EU77" s="57" t="n"/>
      <c r="EV77" s="57" t="n"/>
      <c r="EW77" s="60">
        <f>SUM(ES77:EV77)</f>
        <v/>
      </c>
      <c r="EX77" s="61" t="n"/>
      <c r="EY77" s="57" t="n"/>
      <c r="EZ77" s="58">
        <f>EP77</f>
        <v/>
      </c>
      <c r="FA77" s="59" t="n"/>
      <c r="FB77" s="57" t="n"/>
      <c r="FC77" s="57" t="n"/>
      <c r="FD77" s="57" t="n"/>
      <c r="FE77" s="57" t="n"/>
      <c r="FF77" s="60">
        <f>SUM(FB77:FE77)</f>
        <v/>
      </c>
      <c r="FG77" s="61" t="n"/>
      <c r="FH77" s="57" t="n"/>
      <c r="FI77" s="58">
        <f>EY77</f>
        <v/>
      </c>
      <c r="FJ77" s="59" t="n"/>
      <c r="FK77" s="57" t="n"/>
      <c r="FL77" s="57" t="n"/>
      <c r="FM77" s="57" t="n"/>
      <c r="FN77" s="57" t="n"/>
      <c r="FO77" s="60">
        <f>SUM(FK77:FN77)</f>
        <v/>
      </c>
      <c r="FP77" s="61" t="n"/>
      <c r="FQ77" s="57" t="n"/>
      <c r="FR77" s="58">
        <f>FH77</f>
        <v/>
      </c>
      <c r="FS77" s="59" t="n"/>
      <c r="FT77" s="57" t="n"/>
      <c r="FU77" s="57" t="n"/>
      <c r="FV77" s="57" t="n"/>
      <c r="FW77" s="57" t="n"/>
      <c r="FX77" s="60">
        <f>SUM(FT77:FW77)</f>
        <v/>
      </c>
      <c r="FY77" s="61" t="n"/>
      <c r="FZ77" s="57" t="n"/>
      <c r="GA77" s="58">
        <f>FQ77</f>
        <v/>
      </c>
      <c r="GB77" s="59" t="n"/>
      <c r="GC77" s="57" t="n"/>
      <c r="GD77" s="57" t="n"/>
      <c r="GE77" s="57" t="n"/>
      <c r="GF77" s="57" t="n"/>
      <c r="GG77" s="60">
        <f>SUM(GC77:GF77)</f>
        <v/>
      </c>
      <c r="GH77" s="61" t="n"/>
      <c r="GI77" s="57" t="n"/>
      <c r="GJ77" s="58">
        <f>FZ77</f>
        <v/>
      </c>
      <c r="GK77" s="59" t="n"/>
      <c r="GL77" s="57" t="n"/>
      <c r="GM77" s="57" t="n"/>
      <c r="GN77" s="57" t="n"/>
      <c r="GO77" s="57" t="n"/>
      <c r="GP77" s="60">
        <f>SUM(GL77:GO77)</f>
        <v/>
      </c>
      <c r="GQ77" s="61" t="n"/>
      <c r="GR77" s="57" t="n"/>
      <c r="GS77" s="58">
        <f>GI77</f>
        <v/>
      </c>
      <c r="GT77" s="59" t="n"/>
      <c r="GU77" s="57" t="n"/>
      <c r="GV77" s="57" t="n"/>
      <c r="GW77" s="57" t="n"/>
      <c r="GX77" s="57" t="n"/>
      <c r="GY77" s="60">
        <f>SUM(GU77:GX77)</f>
        <v/>
      </c>
      <c r="GZ77" s="61" t="n"/>
      <c r="HA77" s="57" t="n"/>
      <c r="HB77" s="58">
        <f>GR77</f>
        <v/>
      </c>
      <c r="HC77" s="59" t="n"/>
      <c r="HD77" s="57" t="n"/>
      <c r="HE77" s="57" t="n"/>
      <c r="HF77" s="57" t="n"/>
      <c r="HG77" s="57" t="n"/>
      <c r="HH77" s="60">
        <f>SUM(HD77:HG77)</f>
        <v/>
      </c>
      <c r="HI77" s="61" t="n"/>
      <c r="HJ77" s="57" t="n"/>
      <c r="HK77" s="58">
        <f>HA77</f>
        <v/>
      </c>
      <c r="HL77" s="59" t="n"/>
      <c r="HM77" s="57" t="n"/>
      <c r="HN77" s="57" t="n"/>
      <c r="HO77" s="57" t="n"/>
      <c r="HP77" s="57" t="n"/>
      <c r="HQ77" s="60">
        <f>SUM(HM77:HP77)</f>
        <v/>
      </c>
      <c r="HR77" s="61" t="n"/>
      <c r="HS77" s="57" t="n"/>
      <c r="HT77" s="58">
        <f>HJ77</f>
        <v/>
      </c>
      <c r="HU77" s="59" t="n"/>
      <c r="HV77" s="57" t="n"/>
      <c r="HW77" s="57" t="n"/>
      <c r="HX77" s="57" t="n"/>
      <c r="HY77" s="57" t="n"/>
      <c r="HZ77" s="60">
        <f>SUM(HV77:HY77)</f>
        <v/>
      </c>
      <c r="IA77" s="61" t="n"/>
      <c r="IB77" s="57" t="n"/>
      <c r="IC77" s="58">
        <f>HS77</f>
        <v/>
      </c>
      <c r="ID77" s="59" t="n"/>
      <c r="IE77" s="57" t="n"/>
      <c r="IF77" s="57" t="n"/>
      <c r="IG77" s="57" t="n"/>
      <c r="IH77" s="57" t="n"/>
      <c r="II77" s="60">
        <f>SUM(IE77:IH77)</f>
        <v/>
      </c>
      <c r="IJ77" s="61" t="n"/>
      <c r="IK77" s="57" t="n"/>
      <c r="IL77" s="58">
        <f>IB77</f>
        <v/>
      </c>
      <c r="IM77" s="59" t="n"/>
      <c r="IN77" s="57" t="n"/>
      <c r="IO77" s="57" t="n"/>
      <c r="IP77" s="57" t="n"/>
      <c r="IQ77" s="57" t="n"/>
      <c r="IR77" s="60">
        <f>SUM(IN77:IQ77)</f>
        <v/>
      </c>
      <c r="IS77" s="61" t="n"/>
      <c r="IT77" s="57" t="n"/>
      <c r="IU77" s="58">
        <f>IK77</f>
        <v/>
      </c>
      <c r="IV77" s="59" t="n"/>
      <c r="IW77" s="57" t="n"/>
      <c r="IX77" s="57" t="n"/>
      <c r="IY77" s="57" t="n"/>
      <c r="IZ77" s="57" t="n"/>
      <c r="JA77" s="60">
        <f>SUM(IW77:IZ77)</f>
        <v/>
      </c>
      <c r="JB77" s="61" t="n"/>
      <c r="JC77" s="57" t="n"/>
      <c r="JD77" s="58">
        <f>IT77</f>
        <v/>
      </c>
      <c r="JE77" s="59" t="n"/>
      <c r="JF77" s="57" t="n"/>
      <c r="JG77" s="57" t="n"/>
      <c r="JH77" s="57" t="n"/>
      <c r="JI77" s="57" t="n"/>
      <c r="JJ77" s="60">
        <f>SUM(JF77:JI77)</f>
        <v/>
      </c>
      <c r="JK77" s="61" t="n"/>
      <c r="JL77" s="57" t="n"/>
      <c r="JM77" s="58">
        <f>JC77</f>
        <v/>
      </c>
      <c r="JN77" s="59" t="n"/>
      <c r="JO77" s="57" t="n"/>
      <c r="JP77" s="57" t="n"/>
      <c r="JQ77" s="57" t="n"/>
      <c r="JR77" s="57" t="n"/>
      <c r="JS77" s="60">
        <f>SUM(JO77:JR77)</f>
        <v/>
      </c>
      <c r="JT77" s="61" t="n"/>
      <c r="JU77" s="62">
        <f>I77+R77+AA77+AJ77+AS77+BB77+BK77+BT77+CC77+CL77+CU77+DD77+DM77+DV77+EE77+EN77+EW77+FF77+FO77+FX77+GG77+GP77+GY77+HH77+HQ77+HZ77+II77+IR77+JA77+JJ77+JS77</f>
        <v/>
      </c>
      <c r="JV77" s="63">
        <f>D77+M77+V77+AE77+AN77+AW77+BF77+BO77+BX77+CG77+CP77+CY77+DH77+DQ77+DZ77+EI77+ER77+FA77+FJ77+FS77+GB77+GK77+GT77+HC77+HL77+HU77+ID77+IM77+IV77+JE77+JN77</f>
        <v/>
      </c>
      <c r="JW77" s="62">
        <f>CHOOSE($Z$3,B77, K77, T77, AC77, AL77, AU77, BD77, BM77, BV77, CE77, CN77, CW77, DF77, DO77, DX77, EG77, EP77, EY77, FH77, FQ77, FZ77, GI77, GR77, HA77, HJ77, HS77, IB77, IK77, IT77, JC77, JL77)</f>
        <v/>
      </c>
      <c r="JX77" s="62">
        <f>IFERROR(JU77/$Z$3,0)</f>
        <v/>
      </c>
      <c r="JY77" s="62">
        <f>Configurações!$C$17</f>
        <v/>
      </c>
      <c r="JZ77" s="64">
        <f>IF(JY77=0,"— Sem meta",IF(JU77&gt;=JY77,"✓ Atingida","Em andamento"))</f>
        <v/>
      </c>
      <c r="KA77" s="65">
        <f>JU77+(3*0.0000001)</f>
        <v/>
      </c>
    </row>
    <row r="78" ht="20" customHeight="1">
      <c r="A78" s="56">
        <f>IF(Configurações!$B$18="","Assessor 12",Configurações!$B$18)</f>
        <v/>
      </c>
      <c r="B78" s="57" t="n"/>
      <c r="C78" s="66">
        <f>'Março'!$JW78</f>
        <v/>
      </c>
      <c r="D78" s="59" t="n"/>
      <c r="E78" s="57" t="n"/>
      <c r="F78" s="57" t="n"/>
      <c r="G78" s="57" t="n"/>
      <c r="H78" s="57" t="n"/>
      <c r="I78" s="67">
        <f>SUM(E78:H78)</f>
        <v/>
      </c>
      <c r="J78" s="61" t="n"/>
      <c r="K78" s="57" t="n"/>
      <c r="L78" s="66">
        <f>B78</f>
        <v/>
      </c>
      <c r="M78" s="59" t="n"/>
      <c r="N78" s="57" t="n"/>
      <c r="O78" s="57" t="n"/>
      <c r="P78" s="57" t="n"/>
      <c r="Q78" s="57" t="n"/>
      <c r="R78" s="67">
        <f>SUM(N78:Q78)</f>
        <v/>
      </c>
      <c r="S78" s="61" t="n"/>
      <c r="T78" s="57" t="n"/>
      <c r="U78" s="66">
        <f>K78</f>
        <v/>
      </c>
      <c r="V78" s="59" t="n"/>
      <c r="W78" s="57" t="n"/>
      <c r="X78" s="57" t="n"/>
      <c r="Y78" s="57" t="n"/>
      <c r="Z78" s="57" t="n"/>
      <c r="AA78" s="67">
        <f>SUM(W78:Z78)</f>
        <v/>
      </c>
      <c r="AB78" s="61" t="n"/>
      <c r="AC78" s="57" t="n"/>
      <c r="AD78" s="66">
        <f>T78</f>
        <v/>
      </c>
      <c r="AE78" s="59" t="n"/>
      <c r="AF78" s="57" t="n"/>
      <c r="AG78" s="57" t="n"/>
      <c r="AH78" s="57" t="n"/>
      <c r="AI78" s="57" t="n"/>
      <c r="AJ78" s="67">
        <f>SUM(AF78:AI78)</f>
        <v/>
      </c>
      <c r="AK78" s="61" t="n"/>
      <c r="AL78" s="57" t="n"/>
      <c r="AM78" s="66">
        <f>AC78</f>
        <v/>
      </c>
      <c r="AN78" s="59" t="n"/>
      <c r="AO78" s="57" t="n"/>
      <c r="AP78" s="57" t="n"/>
      <c r="AQ78" s="57" t="n"/>
      <c r="AR78" s="57" t="n"/>
      <c r="AS78" s="67">
        <f>SUM(AO78:AR78)</f>
        <v/>
      </c>
      <c r="AT78" s="61" t="n"/>
      <c r="AU78" s="57" t="n"/>
      <c r="AV78" s="66">
        <f>AL78</f>
        <v/>
      </c>
      <c r="AW78" s="59" t="n"/>
      <c r="AX78" s="57" t="n"/>
      <c r="AY78" s="57" t="n"/>
      <c r="AZ78" s="57" t="n"/>
      <c r="BA78" s="57" t="n"/>
      <c r="BB78" s="67">
        <f>SUM(AX78:BA78)</f>
        <v/>
      </c>
      <c r="BC78" s="61" t="n"/>
      <c r="BD78" s="57" t="n"/>
      <c r="BE78" s="66">
        <f>AU78</f>
        <v/>
      </c>
      <c r="BF78" s="59" t="n"/>
      <c r="BG78" s="57" t="n"/>
      <c r="BH78" s="57" t="n"/>
      <c r="BI78" s="57" t="n"/>
      <c r="BJ78" s="57" t="n"/>
      <c r="BK78" s="67">
        <f>SUM(BG78:BJ78)</f>
        <v/>
      </c>
      <c r="BL78" s="61" t="n"/>
      <c r="BM78" s="57" t="n"/>
      <c r="BN78" s="66">
        <f>BD78</f>
        <v/>
      </c>
      <c r="BO78" s="59" t="n"/>
      <c r="BP78" s="57" t="n"/>
      <c r="BQ78" s="57" t="n"/>
      <c r="BR78" s="57" t="n"/>
      <c r="BS78" s="57" t="n"/>
      <c r="BT78" s="67">
        <f>SUM(BP78:BS78)</f>
        <v/>
      </c>
      <c r="BU78" s="61" t="n"/>
      <c r="BV78" s="57" t="n"/>
      <c r="BW78" s="66">
        <f>BM78</f>
        <v/>
      </c>
      <c r="BX78" s="59" t="n"/>
      <c r="BY78" s="57" t="n"/>
      <c r="BZ78" s="57" t="n"/>
      <c r="CA78" s="57" t="n"/>
      <c r="CB78" s="57" t="n"/>
      <c r="CC78" s="67">
        <f>SUM(BY78:CB78)</f>
        <v/>
      </c>
      <c r="CD78" s="61" t="n"/>
      <c r="CE78" s="57" t="n"/>
      <c r="CF78" s="66">
        <f>BV78</f>
        <v/>
      </c>
      <c r="CG78" s="59" t="n"/>
      <c r="CH78" s="57" t="n"/>
      <c r="CI78" s="57" t="n"/>
      <c r="CJ78" s="57" t="n"/>
      <c r="CK78" s="57" t="n"/>
      <c r="CL78" s="67">
        <f>SUM(CH78:CK78)</f>
        <v/>
      </c>
      <c r="CM78" s="61" t="n"/>
      <c r="CN78" s="57" t="n"/>
      <c r="CO78" s="66">
        <f>CE78</f>
        <v/>
      </c>
      <c r="CP78" s="59" t="n"/>
      <c r="CQ78" s="57" t="n"/>
      <c r="CR78" s="57" t="n"/>
      <c r="CS78" s="57" t="n"/>
      <c r="CT78" s="57" t="n"/>
      <c r="CU78" s="67">
        <f>SUM(CQ78:CT78)</f>
        <v/>
      </c>
      <c r="CV78" s="61" t="n"/>
      <c r="CW78" s="57" t="n"/>
      <c r="CX78" s="66">
        <f>CN78</f>
        <v/>
      </c>
      <c r="CY78" s="59" t="n"/>
      <c r="CZ78" s="57" t="n"/>
      <c r="DA78" s="57" t="n"/>
      <c r="DB78" s="57" t="n"/>
      <c r="DC78" s="57" t="n"/>
      <c r="DD78" s="67">
        <f>SUM(CZ78:DC78)</f>
        <v/>
      </c>
      <c r="DE78" s="61" t="n"/>
      <c r="DF78" s="57" t="n"/>
      <c r="DG78" s="66">
        <f>CW78</f>
        <v/>
      </c>
      <c r="DH78" s="59" t="n"/>
      <c r="DI78" s="57" t="n"/>
      <c r="DJ78" s="57" t="n"/>
      <c r="DK78" s="57" t="n"/>
      <c r="DL78" s="57" t="n"/>
      <c r="DM78" s="67">
        <f>SUM(DI78:DL78)</f>
        <v/>
      </c>
      <c r="DN78" s="61" t="n"/>
      <c r="DO78" s="57" t="n"/>
      <c r="DP78" s="66">
        <f>DF78</f>
        <v/>
      </c>
      <c r="DQ78" s="59" t="n"/>
      <c r="DR78" s="57" t="n"/>
      <c r="DS78" s="57" t="n"/>
      <c r="DT78" s="57" t="n"/>
      <c r="DU78" s="57" t="n"/>
      <c r="DV78" s="67">
        <f>SUM(DR78:DU78)</f>
        <v/>
      </c>
      <c r="DW78" s="61" t="n"/>
      <c r="DX78" s="57" t="n"/>
      <c r="DY78" s="66">
        <f>DO78</f>
        <v/>
      </c>
      <c r="DZ78" s="59" t="n"/>
      <c r="EA78" s="57" t="n"/>
      <c r="EB78" s="57" t="n"/>
      <c r="EC78" s="57" t="n"/>
      <c r="ED78" s="57" t="n"/>
      <c r="EE78" s="67">
        <f>SUM(EA78:ED78)</f>
        <v/>
      </c>
      <c r="EF78" s="61" t="n"/>
      <c r="EG78" s="57" t="n"/>
      <c r="EH78" s="66">
        <f>DX78</f>
        <v/>
      </c>
      <c r="EI78" s="59" t="n"/>
      <c r="EJ78" s="57" t="n"/>
      <c r="EK78" s="57" t="n"/>
      <c r="EL78" s="57" t="n"/>
      <c r="EM78" s="57" t="n"/>
      <c r="EN78" s="67">
        <f>SUM(EJ78:EM78)</f>
        <v/>
      </c>
      <c r="EO78" s="61" t="n"/>
      <c r="EP78" s="57" t="n"/>
      <c r="EQ78" s="66">
        <f>EG78</f>
        <v/>
      </c>
      <c r="ER78" s="59" t="n"/>
      <c r="ES78" s="57" t="n"/>
      <c r="ET78" s="57" t="n"/>
      <c r="EU78" s="57" t="n"/>
      <c r="EV78" s="57" t="n"/>
      <c r="EW78" s="67">
        <f>SUM(ES78:EV78)</f>
        <v/>
      </c>
      <c r="EX78" s="61" t="n"/>
      <c r="EY78" s="57" t="n"/>
      <c r="EZ78" s="66">
        <f>EP78</f>
        <v/>
      </c>
      <c r="FA78" s="59" t="n"/>
      <c r="FB78" s="57" t="n"/>
      <c r="FC78" s="57" t="n"/>
      <c r="FD78" s="57" t="n"/>
      <c r="FE78" s="57" t="n"/>
      <c r="FF78" s="67">
        <f>SUM(FB78:FE78)</f>
        <v/>
      </c>
      <c r="FG78" s="61" t="n"/>
      <c r="FH78" s="57" t="n"/>
      <c r="FI78" s="66">
        <f>EY78</f>
        <v/>
      </c>
      <c r="FJ78" s="59" t="n"/>
      <c r="FK78" s="57" t="n"/>
      <c r="FL78" s="57" t="n"/>
      <c r="FM78" s="57" t="n"/>
      <c r="FN78" s="57" t="n"/>
      <c r="FO78" s="67">
        <f>SUM(FK78:FN78)</f>
        <v/>
      </c>
      <c r="FP78" s="61" t="n"/>
      <c r="FQ78" s="57" t="n"/>
      <c r="FR78" s="66">
        <f>FH78</f>
        <v/>
      </c>
      <c r="FS78" s="59" t="n"/>
      <c r="FT78" s="57" t="n"/>
      <c r="FU78" s="57" t="n"/>
      <c r="FV78" s="57" t="n"/>
      <c r="FW78" s="57" t="n"/>
      <c r="FX78" s="67">
        <f>SUM(FT78:FW78)</f>
        <v/>
      </c>
      <c r="FY78" s="61" t="n"/>
      <c r="FZ78" s="57" t="n"/>
      <c r="GA78" s="66">
        <f>FQ78</f>
        <v/>
      </c>
      <c r="GB78" s="59" t="n"/>
      <c r="GC78" s="57" t="n"/>
      <c r="GD78" s="57" t="n"/>
      <c r="GE78" s="57" t="n"/>
      <c r="GF78" s="57" t="n"/>
      <c r="GG78" s="67">
        <f>SUM(GC78:GF78)</f>
        <v/>
      </c>
      <c r="GH78" s="61" t="n"/>
      <c r="GI78" s="57" t="n"/>
      <c r="GJ78" s="66">
        <f>FZ78</f>
        <v/>
      </c>
      <c r="GK78" s="59" t="n"/>
      <c r="GL78" s="57" t="n"/>
      <c r="GM78" s="57" t="n"/>
      <c r="GN78" s="57" t="n"/>
      <c r="GO78" s="57" t="n"/>
      <c r="GP78" s="67">
        <f>SUM(GL78:GO78)</f>
        <v/>
      </c>
      <c r="GQ78" s="61" t="n"/>
      <c r="GR78" s="57" t="n"/>
      <c r="GS78" s="66">
        <f>GI78</f>
        <v/>
      </c>
      <c r="GT78" s="59" t="n"/>
      <c r="GU78" s="57" t="n"/>
      <c r="GV78" s="57" t="n"/>
      <c r="GW78" s="57" t="n"/>
      <c r="GX78" s="57" t="n"/>
      <c r="GY78" s="67">
        <f>SUM(GU78:GX78)</f>
        <v/>
      </c>
      <c r="GZ78" s="61" t="n"/>
      <c r="HA78" s="57" t="n"/>
      <c r="HB78" s="66">
        <f>GR78</f>
        <v/>
      </c>
      <c r="HC78" s="59" t="n"/>
      <c r="HD78" s="57" t="n"/>
      <c r="HE78" s="57" t="n"/>
      <c r="HF78" s="57" t="n"/>
      <c r="HG78" s="57" t="n"/>
      <c r="HH78" s="67">
        <f>SUM(HD78:HG78)</f>
        <v/>
      </c>
      <c r="HI78" s="61" t="n"/>
      <c r="HJ78" s="57" t="n"/>
      <c r="HK78" s="66">
        <f>HA78</f>
        <v/>
      </c>
      <c r="HL78" s="59" t="n"/>
      <c r="HM78" s="57" t="n"/>
      <c r="HN78" s="57" t="n"/>
      <c r="HO78" s="57" t="n"/>
      <c r="HP78" s="57" t="n"/>
      <c r="HQ78" s="67">
        <f>SUM(HM78:HP78)</f>
        <v/>
      </c>
      <c r="HR78" s="61" t="n"/>
      <c r="HS78" s="57" t="n"/>
      <c r="HT78" s="66">
        <f>HJ78</f>
        <v/>
      </c>
      <c r="HU78" s="59" t="n"/>
      <c r="HV78" s="57" t="n"/>
      <c r="HW78" s="57" t="n"/>
      <c r="HX78" s="57" t="n"/>
      <c r="HY78" s="57" t="n"/>
      <c r="HZ78" s="67">
        <f>SUM(HV78:HY78)</f>
        <v/>
      </c>
      <c r="IA78" s="61" t="n"/>
      <c r="IB78" s="57" t="n"/>
      <c r="IC78" s="66">
        <f>HS78</f>
        <v/>
      </c>
      <c r="ID78" s="59" t="n"/>
      <c r="IE78" s="57" t="n"/>
      <c r="IF78" s="57" t="n"/>
      <c r="IG78" s="57" t="n"/>
      <c r="IH78" s="57" t="n"/>
      <c r="II78" s="67">
        <f>SUM(IE78:IH78)</f>
        <v/>
      </c>
      <c r="IJ78" s="61" t="n"/>
      <c r="IK78" s="57" t="n"/>
      <c r="IL78" s="66">
        <f>IB78</f>
        <v/>
      </c>
      <c r="IM78" s="59" t="n"/>
      <c r="IN78" s="57" t="n"/>
      <c r="IO78" s="57" t="n"/>
      <c r="IP78" s="57" t="n"/>
      <c r="IQ78" s="57" t="n"/>
      <c r="IR78" s="67">
        <f>SUM(IN78:IQ78)</f>
        <v/>
      </c>
      <c r="IS78" s="61" t="n"/>
      <c r="IT78" s="57" t="n"/>
      <c r="IU78" s="66">
        <f>IK78</f>
        <v/>
      </c>
      <c r="IV78" s="59" t="n"/>
      <c r="IW78" s="57" t="n"/>
      <c r="IX78" s="57" t="n"/>
      <c r="IY78" s="57" t="n"/>
      <c r="IZ78" s="57" t="n"/>
      <c r="JA78" s="67">
        <f>SUM(IW78:IZ78)</f>
        <v/>
      </c>
      <c r="JB78" s="61" t="n"/>
      <c r="JC78" s="57" t="n"/>
      <c r="JD78" s="66">
        <f>IT78</f>
        <v/>
      </c>
      <c r="JE78" s="59" t="n"/>
      <c r="JF78" s="57" t="n"/>
      <c r="JG78" s="57" t="n"/>
      <c r="JH78" s="57" t="n"/>
      <c r="JI78" s="57" t="n"/>
      <c r="JJ78" s="67">
        <f>SUM(JF78:JI78)</f>
        <v/>
      </c>
      <c r="JK78" s="61" t="n"/>
      <c r="JL78" s="57" t="n"/>
      <c r="JM78" s="66">
        <f>JC78</f>
        <v/>
      </c>
      <c r="JN78" s="59" t="n"/>
      <c r="JO78" s="57" t="n"/>
      <c r="JP78" s="57" t="n"/>
      <c r="JQ78" s="57" t="n"/>
      <c r="JR78" s="57" t="n"/>
      <c r="JS78" s="67">
        <f>SUM(JO78:JR78)</f>
        <v/>
      </c>
      <c r="JT78" s="61" t="n"/>
      <c r="JU78" s="62">
        <f>I78+R78+AA78+AJ78+AS78+BB78+BK78+BT78+CC78+CL78+CU78+DD78+DM78+DV78+EE78+EN78+EW78+FF78+FO78+FX78+GG78+GP78+GY78+HH78+HQ78+HZ78+II78+IR78+JA78+JJ78+JS78</f>
        <v/>
      </c>
      <c r="JV78" s="63">
        <f>D78+M78+V78+AE78+AN78+AW78+BF78+BO78+BX78+CG78+CP78+CY78+DH78+DQ78+DZ78+EI78+ER78+FA78+FJ78+FS78+GB78+GK78+GT78+HC78+HL78+HU78+ID78+IM78+IV78+JE78+JN78</f>
        <v/>
      </c>
      <c r="JW78" s="62">
        <f>CHOOSE($Z$3,B78, K78, T78, AC78, AL78, AU78, BD78, BM78, BV78, CE78, CN78, CW78, DF78, DO78, DX78, EG78, EP78, EY78, FH78, FQ78, FZ78, GI78, GR78, HA78, HJ78, HS78, IB78, IK78, IT78, JC78, JL78)</f>
        <v/>
      </c>
      <c r="JX78" s="62">
        <f>IFERROR(JU78/$Z$3,0)</f>
        <v/>
      </c>
      <c r="JY78" s="62">
        <f>Configurações!$C$18</f>
        <v/>
      </c>
      <c r="JZ78" s="64">
        <f>IF(JY78=0,"— Sem meta",IF(JU78&gt;=JY78,"✓ Atingida","Em andamento"))</f>
        <v/>
      </c>
      <c r="KA78" s="65">
        <f>JU78+(2*0.0000001)</f>
        <v/>
      </c>
    </row>
    <row r="79" ht="20" customHeight="1">
      <c r="A79" s="56">
        <f>IF(Configurações!$B$19="","Assessor 13",Configurações!$B$19)</f>
        <v/>
      </c>
      <c r="B79" s="57" t="n"/>
      <c r="C79" s="58">
        <f>'Março'!$JW79</f>
        <v/>
      </c>
      <c r="D79" s="59" t="n"/>
      <c r="E79" s="57" t="n"/>
      <c r="F79" s="57" t="n"/>
      <c r="G79" s="57" t="n"/>
      <c r="H79" s="57" t="n"/>
      <c r="I79" s="60">
        <f>SUM(E79:H79)</f>
        <v/>
      </c>
      <c r="J79" s="61" t="n"/>
      <c r="K79" s="57" t="n"/>
      <c r="L79" s="58">
        <f>B79</f>
        <v/>
      </c>
      <c r="M79" s="59" t="n"/>
      <c r="N79" s="57" t="n"/>
      <c r="O79" s="57" t="n"/>
      <c r="P79" s="57" t="n"/>
      <c r="Q79" s="57" t="n"/>
      <c r="R79" s="60">
        <f>SUM(N79:Q79)</f>
        <v/>
      </c>
      <c r="S79" s="61" t="n"/>
      <c r="T79" s="57" t="n"/>
      <c r="U79" s="58">
        <f>K79</f>
        <v/>
      </c>
      <c r="V79" s="59" t="n"/>
      <c r="W79" s="57" t="n"/>
      <c r="X79" s="57" t="n"/>
      <c r="Y79" s="57" t="n"/>
      <c r="Z79" s="57" t="n"/>
      <c r="AA79" s="60">
        <f>SUM(W79:Z79)</f>
        <v/>
      </c>
      <c r="AB79" s="61" t="n"/>
      <c r="AC79" s="57" t="n"/>
      <c r="AD79" s="58">
        <f>T79</f>
        <v/>
      </c>
      <c r="AE79" s="59" t="n"/>
      <c r="AF79" s="57" t="n"/>
      <c r="AG79" s="57" t="n"/>
      <c r="AH79" s="57" t="n"/>
      <c r="AI79" s="57" t="n"/>
      <c r="AJ79" s="60">
        <f>SUM(AF79:AI79)</f>
        <v/>
      </c>
      <c r="AK79" s="61" t="n"/>
      <c r="AL79" s="57" t="n"/>
      <c r="AM79" s="58">
        <f>AC79</f>
        <v/>
      </c>
      <c r="AN79" s="59" t="n"/>
      <c r="AO79" s="57" t="n"/>
      <c r="AP79" s="57" t="n"/>
      <c r="AQ79" s="57" t="n"/>
      <c r="AR79" s="57" t="n"/>
      <c r="AS79" s="60">
        <f>SUM(AO79:AR79)</f>
        <v/>
      </c>
      <c r="AT79" s="61" t="n"/>
      <c r="AU79" s="57" t="n"/>
      <c r="AV79" s="58">
        <f>AL79</f>
        <v/>
      </c>
      <c r="AW79" s="59" t="n"/>
      <c r="AX79" s="57" t="n"/>
      <c r="AY79" s="57" t="n"/>
      <c r="AZ79" s="57" t="n"/>
      <c r="BA79" s="57" t="n"/>
      <c r="BB79" s="60">
        <f>SUM(AX79:BA79)</f>
        <v/>
      </c>
      <c r="BC79" s="61" t="n"/>
      <c r="BD79" s="57" t="n"/>
      <c r="BE79" s="58">
        <f>AU79</f>
        <v/>
      </c>
      <c r="BF79" s="59" t="n"/>
      <c r="BG79" s="57" t="n"/>
      <c r="BH79" s="57" t="n"/>
      <c r="BI79" s="57" t="n"/>
      <c r="BJ79" s="57" t="n"/>
      <c r="BK79" s="60">
        <f>SUM(BG79:BJ79)</f>
        <v/>
      </c>
      <c r="BL79" s="61" t="n"/>
      <c r="BM79" s="57" t="n"/>
      <c r="BN79" s="58">
        <f>BD79</f>
        <v/>
      </c>
      <c r="BO79" s="59" t="n"/>
      <c r="BP79" s="57" t="n"/>
      <c r="BQ79" s="57" t="n"/>
      <c r="BR79" s="57" t="n"/>
      <c r="BS79" s="57" t="n"/>
      <c r="BT79" s="60">
        <f>SUM(BP79:BS79)</f>
        <v/>
      </c>
      <c r="BU79" s="61" t="n"/>
      <c r="BV79" s="57" t="n"/>
      <c r="BW79" s="58">
        <f>BM79</f>
        <v/>
      </c>
      <c r="BX79" s="59" t="n"/>
      <c r="BY79" s="57" t="n"/>
      <c r="BZ79" s="57" t="n"/>
      <c r="CA79" s="57" t="n"/>
      <c r="CB79" s="57" t="n"/>
      <c r="CC79" s="60">
        <f>SUM(BY79:CB79)</f>
        <v/>
      </c>
      <c r="CD79" s="61" t="n"/>
      <c r="CE79" s="57" t="n"/>
      <c r="CF79" s="58">
        <f>BV79</f>
        <v/>
      </c>
      <c r="CG79" s="59" t="n"/>
      <c r="CH79" s="57" t="n"/>
      <c r="CI79" s="57" t="n"/>
      <c r="CJ79" s="57" t="n"/>
      <c r="CK79" s="57" t="n"/>
      <c r="CL79" s="60">
        <f>SUM(CH79:CK79)</f>
        <v/>
      </c>
      <c r="CM79" s="61" t="n"/>
      <c r="CN79" s="57" t="n"/>
      <c r="CO79" s="58">
        <f>CE79</f>
        <v/>
      </c>
      <c r="CP79" s="59" t="n"/>
      <c r="CQ79" s="57" t="n"/>
      <c r="CR79" s="57" t="n"/>
      <c r="CS79" s="57" t="n"/>
      <c r="CT79" s="57" t="n"/>
      <c r="CU79" s="60">
        <f>SUM(CQ79:CT79)</f>
        <v/>
      </c>
      <c r="CV79" s="61" t="n"/>
      <c r="CW79" s="57" t="n"/>
      <c r="CX79" s="58">
        <f>CN79</f>
        <v/>
      </c>
      <c r="CY79" s="59" t="n"/>
      <c r="CZ79" s="57" t="n"/>
      <c r="DA79" s="57" t="n"/>
      <c r="DB79" s="57" t="n"/>
      <c r="DC79" s="57" t="n"/>
      <c r="DD79" s="60">
        <f>SUM(CZ79:DC79)</f>
        <v/>
      </c>
      <c r="DE79" s="61" t="n"/>
      <c r="DF79" s="57" t="n"/>
      <c r="DG79" s="58">
        <f>CW79</f>
        <v/>
      </c>
      <c r="DH79" s="59" t="n"/>
      <c r="DI79" s="57" t="n"/>
      <c r="DJ79" s="57" t="n"/>
      <c r="DK79" s="57" t="n"/>
      <c r="DL79" s="57" t="n"/>
      <c r="DM79" s="60">
        <f>SUM(DI79:DL79)</f>
        <v/>
      </c>
      <c r="DN79" s="61" t="n"/>
      <c r="DO79" s="57" t="n"/>
      <c r="DP79" s="58">
        <f>DF79</f>
        <v/>
      </c>
      <c r="DQ79" s="59" t="n"/>
      <c r="DR79" s="57" t="n"/>
      <c r="DS79" s="57" t="n"/>
      <c r="DT79" s="57" t="n"/>
      <c r="DU79" s="57" t="n"/>
      <c r="DV79" s="60">
        <f>SUM(DR79:DU79)</f>
        <v/>
      </c>
      <c r="DW79" s="61" t="n"/>
      <c r="DX79" s="57" t="n"/>
      <c r="DY79" s="58">
        <f>DO79</f>
        <v/>
      </c>
      <c r="DZ79" s="59" t="n"/>
      <c r="EA79" s="57" t="n"/>
      <c r="EB79" s="57" t="n"/>
      <c r="EC79" s="57" t="n"/>
      <c r="ED79" s="57" t="n"/>
      <c r="EE79" s="60">
        <f>SUM(EA79:ED79)</f>
        <v/>
      </c>
      <c r="EF79" s="61" t="n"/>
      <c r="EG79" s="57" t="n"/>
      <c r="EH79" s="58">
        <f>DX79</f>
        <v/>
      </c>
      <c r="EI79" s="59" t="n"/>
      <c r="EJ79" s="57" t="n"/>
      <c r="EK79" s="57" t="n"/>
      <c r="EL79" s="57" t="n"/>
      <c r="EM79" s="57" t="n"/>
      <c r="EN79" s="60">
        <f>SUM(EJ79:EM79)</f>
        <v/>
      </c>
      <c r="EO79" s="61" t="n"/>
      <c r="EP79" s="57" t="n"/>
      <c r="EQ79" s="58">
        <f>EG79</f>
        <v/>
      </c>
      <c r="ER79" s="59" t="n"/>
      <c r="ES79" s="57" t="n"/>
      <c r="ET79" s="57" t="n"/>
      <c r="EU79" s="57" t="n"/>
      <c r="EV79" s="57" t="n"/>
      <c r="EW79" s="60">
        <f>SUM(ES79:EV79)</f>
        <v/>
      </c>
      <c r="EX79" s="61" t="n"/>
      <c r="EY79" s="57" t="n"/>
      <c r="EZ79" s="58">
        <f>EP79</f>
        <v/>
      </c>
      <c r="FA79" s="59" t="n"/>
      <c r="FB79" s="57" t="n"/>
      <c r="FC79" s="57" t="n"/>
      <c r="FD79" s="57" t="n"/>
      <c r="FE79" s="57" t="n"/>
      <c r="FF79" s="60">
        <f>SUM(FB79:FE79)</f>
        <v/>
      </c>
      <c r="FG79" s="61" t="n"/>
      <c r="FH79" s="57" t="n"/>
      <c r="FI79" s="58">
        <f>EY79</f>
        <v/>
      </c>
      <c r="FJ79" s="59" t="n"/>
      <c r="FK79" s="57" t="n"/>
      <c r="FL79" s="57" t="n"/>
      <c r="FM79" s="57" t="n"/>
      <c r="FN79" s="57" t="n"/>
      <c r="FO79" s="60">
        <f>SUM(FK79:FN79)</f>
        <v/>
      </c>
      <c r="FP79" s="61" t="n"/>
      <c r="FQ79" s="57" t="n"/>
      <c r="FR79" s="58">
        <f>FH79</f>
        <v/>
      </c>
      <c r="FS79" s="59" t="n"/>
      <c r="FT79" s="57" t="n"/>
      <c r="FU79" s="57" t="n"/>
      <c r="FV79" s="57" t="n"/>
      <c r="FW79" s="57" t="n"/>
      <c r="FX79" s="60">
        <f>SUM(FT79:FW79)</f>
        <v/>
      </c>
      <c r="FY79" s="61" t="n"/>
      <c r="FZ79" s="57" t="n"/>
      <c r="GA79" s="58">
        <f>FQ79</f>
        <v/>
      </c>
      <c r="GB79" s="59" t="n"/>
      <c r="GC79" s="57" t="n"/>
      <c r="GD79" s="57" t="n"/>
      <c r="GE79" s="57" t="n"/>
      <c r="GF79" s="57" t="n"/>
      <c r="GG79" s="60">
        <f>SUM(GC79:GF79)</f>
        <v/>
      </c>
      <c r="GH79" s="61" t="n"/>
      <c r="GI79" s="57" t="n"/>
      <c r="GJ79" s="58">
        <f>FZ79</f>
        <v/>
      </c>
      <c r="GK79" s="59" t="n"/>
      <c r="GL79" s="57" t="n"/>
      <c r="GM79" s="57" t="n"/>
      <c r="GN79" s="57" t="n"/>
      <c r="GO79" s="57" t="n"/>
      <c r="GP79" s="60">
        <f>SUM(GL79:GO79)</f>
        <v/>
      </c>
      <c r="GQ79" s="61" t="n"/>
      <c r="GR79" s="57" t="n"/>
      <c r="GS79" s="58">
        <f>GI79</f>
        <v/>
      </c>
      <c r="GT79" s="59" t="n"/>
      <c r="GU79" s="57" t="n"/>
      <c r="GV79" s="57" t="n"/>
      <c r="GW79" s="57" t="n"/>
      <c r="GX79" s="57" t="n"/>
      <c r="GY79" s="60">
        <f>SUM(GU79:GX79)</f>
        <v/>
      </c>
      <c r="GZ79" s="61" t="n"/>
      <c r="HA79" s="57" t="n"/>
      <c r="HB79" s="58">
        <f>GR79</f>
        <v/>
      </c>
      <c r="HC79" s="59" t="n"/>
      <c r="HD79" s="57" t="n"/>
      <c r="HE79" s="57" t="n"/>
      <c r="HF79" s="57" t="n"/>
      <c r="HG79" s="57" t="n"/>
      <c r="HH79" s="60">
        <f>SUM(HD79:HG79)</f>
        <v/>
      </c>
      <c r="HI79" s="61" t="n"/>
      <c r="HJ79" s="57" t="n"/>
      <c r="HK79" s="58">
        <f>HA79</f>
        <v/>
      </c>
      <c r="HL79" s="59" t="n"/>
      <c r="HM79" s="57" t="n"/>
      <c r="HN79" s="57" t="n"/>
      <c r="HO79" s="57" t="n"/>
      <c r="HP79" s="57" t="n"/>
      <c r="HQ79" s="60">
        <f>SUM(HM79:HP79)</f>
        <v/>
      </c>
      <c r="HR79" s="61" t="n"/>
      <c r="HS79" s="57" t="n"/>
      <c r="HT79" s="58">
        <f>HJ79</f>
        <v/>
      </c>
      <c r="HU79" s="59" t="n"/>
      <c r="HV79" s="57" t="n"/>
      <c r="HW79" s="57" t="n"/>
      <c r="HX79" s="57" t="n"/>
      <c r="HY79" s="57" t="n"/>
      <c r="HZ79" s="60">
        <f>SUM(HV79:HY79)</f>
        <v/>
      </c>
      <c r="IA79" s="61" t="n"/>
      <c r="IB79" s="57" t="n"/>
      <c r="IC79" s="58">
        <f>HS79</f>
        <v/>
      </c>
      <c r="ID79" s="59" t="n"/>
      <c r="IE79" s="57" t="n"/>
      <c r="IF79" s="57" t="n"/>
      <c r="IG79" s="57" t="n"/>
      <c r="IH79" s="57" t="n"/>
      <c r="II79" s="60">
        <f>SUM(IE79:IH79)</f>
        <v/>
      </c>
      <c r="IJ79" s="61" t="n"/>
      <c r="IK79" s="57" t="n"/>
      <c r="IL79" s="58">
        <f>IB79</f>
        <v/>
      </c>
      <c r="IM79" s="59" t="n"/>
      <c r="IN79" s="57" t="n"/>
      <c r="IO79" s="57" t="n"/>
      <c r="IP79" s="57" t="n"/>
      <c r="IQ79" s="57" t="n"/>
      <c r="IR79" s="60">
        <f>SUM(IN79:IQ79)</f>
        <v/>
      </c>
      <c r="IS79" s="61" t="n"/>
      <c r="IT79" s="57" t="n"/>
      <c r="IU79" s="58">
        <f>IK79</f>
        <v/>
      </c>
      <c r="IV79" s="59" t="n"/>
      <c r="IW79" s="57" t="n"/>
      <c r="IX79" s="57" t="n"/>
      <c r="IY79" s="57" t="n"/>
      <c r="IZ79" s="57" t="n"/>
      <c r="JA79" s="60">
        <f>SUM(IW79:IZ79)</f>
        <v/>
      </c>
      <c r="JB79" s="61" t="n"/>
      <c r="JC79" s="57" t="n"/>
      <c r="JD79" s="58">
        <f>IT79</f>
        <v/>
      </c>
      <c r="JE79" s="59" t="n"/>
      <c r="JF79" s="57" t="n"/>
      <c r="JG79" s="57" t="n"/>
      <c r="JH79" s="57" t="n"/>
      <c r="JI79" s="57" t="n"/>
      <c r="JJ79" s="60">
        <f>SUM(JF79:JI79)</f>
        <v/>
      </c>
      <c r="JK79" s="61" t="n"/>
      <c r="JL79" s="57" t="n"/>
      <c r="JM79" s="58">
        <f>JC79</f>
        <v/>
      </c>
      <c r="JN79" s="59" t="n"/>
      <c r="JO79" s="57" t="n"/>
      <c r="JP79" s="57" t="n"/>
      <c r="JQ79" s="57" t="n"/>
      <c r="JR79" s="57" t="n"/>
      <c r="JS79" s="60">
        <f>SUM(JO79:JR79)</f>
        <v/>
      </c>
      <c r="JT79" s="61" t="n"/>
      <c r="JU79" s="62">
        <f>I79+R79+AA79+AJ79+AS79+BB79+BK79+BT79+CC79+CL79+CU79+DD79+DM79+DV79+EE79+EN79+EW79+FF79+FO79+FX79+GG79+GP79+GY79+HH79+HQ79+HZ79+II79+IR79+JA79+JJ79+JS79</f>
        <v/>
      </c>
      <c r="JV79" s="63">
        <f>D79+M79+V79+AE79+AN79+AW79+BF79+BO79+BX79+CG79+CP79+CY79+DH79+DQ79+DZ79+EI79+ER79+FA79+FJ79+FS79+GB79+GK79+GT79+HC79+HL79+HU79+ID79+IM79+IV79+JE79+JN79</f>
        <v/>
      </c>
      <c r="JW79" s="62">
        <f>CHOOSE($Z$3,B79, K79, T79, AC79, AL79, AU79, BD79, BM79, BV79, CE79, CN79, CW79, DF79, DO79, DX79, EG79, EP79, EY79, FH79, FQ79, FZ79, GI79, GR79, HA79, HJ79, HS79, IB79, IK79, IT79, JC79, JL79)</f>
        <v/>
      </c>
      <c r="JX79" s="62">
        <f>IFERROR(JU79/$Z$3,0)</f>
        <v/>
      </c>
      <c r="JY79" s="62">
        <f>Configurações!$C$19</f>
        <v/>
      </c>
      <c r="JZ79" s="64">
        <f>IF(JY79=0,"— Sem meta",IF(JU79&gt;=JY79,"✓ Atingida","Em andamento"))</f>
        <v/>
      </c>
      <c r="KA79" s="65">
        <f>JU79+(1*0.0000001)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66:JZ79"/>
  <mergeCells count="65">
    <mergeCell ref="C6:D6"/>
    <mergeCell ref="I6:J6"/>
    <mergeCell ref="G10:I10"/>
    <mergeCell ref="T65:AB65"/>
    <mergeCell ref="CW65:DE65"/>
    <mergeCell ref="IK65:IS65"/>
    <mergeCell ref="FH65:FP65"/>
    <mergeCell ref="JV65:JV66"/>
    <mergeCell ref="C5:D5"/>
    <mergeCell ref="EY65:FG65"/>
    <mergeCell ref="JY65:JY66"/>
    <mergeCell ref="A2:KA2"/>
    <mergeCell ref="E5:F5"/>
    <mergeCell ref="K5:L5"/>
    <mergeCell ref="J9:L9"/>
    <mergeCell ref="AU65:BC65"/>
    <mergeCell ref="GI65:GQ65"/>
    <mergeCell ref="HJ65:HR65"/>
    <mergeCell ref="A6:B6"/>
    <mergeCell ref="A12:L12"/>
    <mergeCell ref="A65:A66"/>
    <mergeCell ref="JL65:JT65"/>
    <mergeCell ref="A8:L8"/>
    <mergeCell ref="FQ65:FY65"/>
    <mergeCell ref="D9:F9"/>
    <mergeCell ref="G6:H6"/>
    <mergeCell ref="B65:J65"/>
    <mergeCell ref="HS65:IA65"/>
    <mergeCell ref="AC65:AK65"/>
    <mergeCell ref="BD65:BL65"/>
    <mergeCell ref="A4:L4"/>
    <mergeCell ref="DO65:DW65"/>
    <mergeCell ref="A10:C10"/>
    <mergeCell ref="CE65:CM65"/>
    <mergeCell ref="DF65:DN65"/>
    <mergeCell ref="E6:F6"/>
    <mergeCell ref="EG65:EO65"/>
    <mergeCell ref="JX65:JX66"/>
    <mergeCell ref="JZ65:JZ66"/>
    <mergeCell ref="K65:S65"/>
    <mergeCell ref="A5:B5"/>
    <mergeCell ref="G5:H5"/>
    <mergeCell ref="A9:C9"/>
    <mergeCell ref="G9:I9"/>
    <mergeCell ref="I5:J5"/>
    <mergeCell ref="A64:KA64"/>
    <mergeCell ref="IT65:JB65"/>
    <mergeCell ref="A1:KA1"/>
    <mergeCell ref="D10:F10"/>
    <mergeCell ref="BV65:CD65"/>
    <mergeCell ref="IB65:IJ65"/>
    <mergeCell ref="CN65:CV65"/>
    <mergeCell ref="BM65:BU65"/>
    <mergeCell ref="DX65:EF65"/>
    <mergeCell ref="JU65:JU66"/>
    <mergeCell ref="J10:L10"/>
    <mergeCell ref="EP65:EX65"/>
    <mergeCell ref="JW65:JW66"/>
    <mergeCell ref="FZ65:GH65"/>
    <mergeCell ref="KA65:KA66"/>
    <mergeCell ref="HA65:HI65"/>
    <mergeCell ref="AL65:AT65"/>
    <mergeCell ref="GR65:GZ65"/>
    <mergeCell ref="JC65:JK65"/>
    <mergeCell ref="K6:L6"/>
  </mergeCells>
  <conditionalFormatting sqref="H14:H26">
    <cfRule type="expression" priority="1" dxfId="0">
      <formula>ISNUMBER(SEARCH("Atingida",H14))</formula>
    </cfRule>
  </conditionalFormatting>
  <conditionalFormatting sqref="B65:JT79">
    <cfRule type="expression" priority="2" dxfId="1">
      <formula>$Z$3&lt;INT((COLUMN()-2)/9)+1</formula>
    </cfRule>
  </conditionalFormatting>
  <conditionalFormatting sqref="D67:D79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I67:I79">
    <cfRule type="colorScale" priority="5">
      <colorScale>
        <cfvo type="min"/>
        <cfvo type="max"/>
        <color rgb="00FFFFFF"/>
        <color rgb="0063BE7B"/>
      </colorScale>
    </cfRule>
  </conditionalFormatting>
  <conditionalFormatting sqref="M67:M79">
    <cfRule type="cellIs" priority="6" operator="greaterThan" dxfId="2">
      <formula>0</formula>
    </cfRule>
    <cfRule type="cellIs" priority="7" operator="lessThan" dxfId="3">
      <formula>0</formula>
    </cfRule>
  </conditionalFormatting>
  <conditionalFormatting sqref="R67:R79">
    <cfRule type="colorScale" priority="8">
      <colorScale>
        <cfvo type="min"/>
        <cfvo type="max"/>
        <color rgb="00FFFFFF"/>
        <color rgb="0063BE7B"/>
      </colorScale>
    </cfRule>
  </conditionalFormatting>
  <conditionalFormatting sqref="V67:V79">
    <cfRule type="cellIs" priority="9" operator="greaterThan" dxfId="2">
      <formula>0</formula>
    </cfRule>
    <cfRule type="cellIs" priority="10" operator="lessThan" dxfId="3">
      <formula>0</formula>
    </cfRule>
  </conditionalFormatting>
  <conditionalFormatting sqref="AA67:AA79">
    <cfRule type="colorScale" priority="11">
      <colorScale>
        <cfvo type="min"/>
        <cfvo type="max"/>
        <color rgb="00FFFFFF"/>
        <color rgb="0063BE7B"/>
      </colorScale>
    </cfRule>
  </conditionalFormatting>
  <conditionalFormatting sqref="AE67:AE79">
    <cfRule type="cellIs" priority="12" operator="greaterThan" dxfId="2">
      <formula>0</formula>
    </cfRule>
    <cfRule type="cellIs" priority="13" operator="lessThan" dxfId="3">
      <formula>0</formula>
    </cfRule>
  </conditionalFormatting>
  <conditionalFormatting sqref="AJ67:AJ79">
    <cfRule type="colorScale" priority="14">
      <colorScale>
        <cfvo type="min"/>
        <cfvo type="max"/>
        <color rgb="00FFFFFF"/>
        <color rgb="0063BE7B"/>
      </colorScale>
    </cfRule>
  </conditionalFormatting>
  <conditionalFormatting sqref="AN67:AN79">
    <cfRule type="cellIs" priority="15" operator="greaterThan" dxfId="2">
      <formula>0</formula>
    </cfRule>
    <cfRule type="cellIs" priority="16" operator="lessThan" dxfId="3">
      <formula>0</formula>
    </cfRule>
  </conditionalFormatting>
  <conditionalFormatting sqref="AS67:AS79">
    <cfRule type="colorScale" priority="17">
      <colorScale>
        <cfvo type="min"/>
        <cfvo type="max"/>
        <color rgb="00FFFFFF"/>
        <color rgb="0063BE7B"/>
      </colorScale>
    </cfRule>
  </conditionalFormatting>
  <conditionalFormatting sqref="AW67:AW79">
    <cfRule type="cellIs" priority="18" operator="greaterThan" dxfId="2">
      <formula>0</formula>
    </cfRule>
    <cfRule type="cellIs" priority="19" operator="lessThan" dxfId="3">
      <formula>0</formula>
    </cfRule>
  </conditionalFormatting>
  <conditionalFormatting sqref="BB67:BB79">
    <cfRule type="colorScale" priority="20">
      <colorScale>
        <cfvo type="min"/>
        <cfvo type="max"/>
        <color rgb="00FFFFFF"/>
        <color rgb="0063BE7B"/>
      </colorScale>
    </cfRule>
  </conditionalFormatting>
  <conditionalFormatting sqref="BF67:BF79">
    <cfRule type="cellIs" priority="21" operator="greaterThan" dxfId="2">
      <formula>0</formula>
    </cfRule>
    <cfRule type="cellIs" priority="22" operator="lessThan" dxfId="3">
      <formula>0</formula>
    </cfRule>
  </conditionalFormatting>
  <conditionalFormatting sqref="BK67:BK79">
    <cfRule type="colorScale" priority="23">
      <colorScale>
        <cfvo type="min"/>
        <cfvo type="max"/>
        <color rgb="00FFFFFF"/>
        <color rgb="0063BE7B"/>
      </colorScale>
    </cfRule>
  </conditionalFormatting>
  <conditionalFormatting sqref="BO67:BO79">
    <cfRule type="cellIs" priority="24" operator="greaterThan" dxfId="2">
      <formula>0</formula>
    </cfRule>
    <cfRule type="cellIs" priority="25" operator="lessThan" dxfId="3">
      <formula>0</formula>
    </cfRule>
  </conditionalFormatting>
  <conditionalFormatting sqref="BT67:BT79">
    <cfRule type="colorScale" priority="26">
      <colorScale>
        <cfvo type="min"/>
        <cfvo type="max"/>
        <color rgb="00FFFFFF"/>
        <color rgb="0063BE7B"/>
      </colorScale>
    </cfRule>
  </conditionalFormatting>
  <conditionalFormatting sqref="BX67:BX79">
    <cfRule type="cellIs" priority="27" operator="greaterThan" dxfId="2">
      <formula>0</formula>
    </cfRule>
    <cfRule type="cellIs" priority="28" operator="lessThan" dxfId="3">
      <formula>0</formula>
    </cfRule>
  </conditionalFormatting>
  <conditionalFormatting sqref="CC67:CC79">
    <cfRule type="colorScale" priority="29">
      <colorScale>
        <cfvo type="min"/>
        <cfvo type="max"/>
        <color rgb="00FFFFFF"/>
        <color rgb="0063BE7B"/>
      </colorScale>
    </cfRule>
  </conditionalFormatting>
  <conditionalFormatting sqref="CG67:CG79">
    <cfRule type="cellIs" priority="30" operator="greaterThan" dxfId="2">
      <formula>0</formula>
    </cfRule>
    <cfRule type="cellIs" priority="31" operator="lessThan" dxfId="3">
      <formula>0</formula>
    </cfRule>
  </conditionalFormatting>
  <conditionalFormatting sqref="CL67:CL79">
    <cfRule type="colorScale" priority="32">
      <colorScale>
        <cfvo type="min"/>
        <cfvo type="max"/>
        <color rgb="00FFFFFF"/>
        <color rgb="0063BE7B"/>
      </colorScale>
    </cfRule>
  </conditionalFormatting>
  <conditionalFormatting sqref="CP67:CP79">
    <cfRule type="cellIs" priority="33" operator="greaterThan" dxfId="2">
      <formula>0</formula>
    </cfRule>
    <cfRule type="cellIs" priority="34" operator="lessThan" dxfId="3">
      <formula>0</formula>
    </cfRule>
  </conditionalFormatting>
  <conditionalFormatting sqref="CU67:CU79">
    <cfRule type="colorScale" priority="35">
      <colorScale>
        <cfvo type="min"/>
        <cfvo type="max"/>
        <color rgb="00FFFFFF"/>
        <color rgb="0063BE7B"/>
      </colorScale>
    </cfRule>
  </conditionalFormatting>
  <conditionalFormatting sqref="CY67:CY79">
    <cfRule type="cellIs" priority="36" operator="greaterThan" dxfId="2">
      <formula>0</formula>
    </cfRule>
    <cfRule type="cellIs" priority="37" operator="lessThan" dxfId="3">
      <formula>0</formula>
    </cfRule>
  </conditionalFormatting>
  <conditionalFormatting sqref="DD67:DD79">
    <cfRule type="colorScale" priority="38">
      <colorScale>
        <cfvo type="min"/>
        <cfvo type="max"/>
        <color rgb="00FFFFFF"/>
        <color rgb="0063BE7B"/>
      </colorScale>
    </cfRule>
  </conditionalFormatting>
  <conditionalFormatting sqref="DH67:DH79">
    <cfRule type="cellIs" priority="39" operator="greaterThan" dxfId="2">
      <formula>0</formula>
    </cfRule>
    <cfRule type="cellIs" priority="40" operator="lessThan" dxfId="3">
      <formula>0</formula>
    </cfRule>
  </conditionalFormatting>
  <conditionalFormatting sqref="DM67:DM79">
    <cfRule type="colorScale" priority="41">
      <colorScale>
        <cfvo type="min"/>
        <cfvo type="max"/>
        <color rgb="00FFFFFF"/>
        <color rgb="0063BE7B"/>
      </colorScale>
    </cfRule>
  </conditionalFormatting>
  <conditionalFormatting sqref="DQ67:DQ79">
    <cfRule type="cellIs" priority="42" operator="greaterThan" dxfId="2">
      <formula>0</formula>
    </cfRule>
    <cfRule type="cellIs" priority="43" operator="lessThan" dxfId="3">
      <formula>0</formula>
    </cfRule>
  </conditionalFormatting>
  <conditionalFormatting sqref="DV67:DV79">
    <cfRule type="colorScale" priority="44">
      <colorScale>
        <cfvo type="min"/>
        <cfvo type="max"/>
        <color rgb="00FFFFFF"/>
        <color rgb="0063BE7B"/>
      </colorScale>
    </cfRule>
  </conditionalFormatting>
  <conditionalFormatting sqref="DZ67:DZ79">
    <cfRule type="cellIs" priority="45" operator="greaterThan" dxfId="2">
      <formula>0</formula>
    </cfRule>
    <cfRule type="cellIs" priority="46" operator="lessThan" dxfId="3">
      <formula>0</formula>
    </cfRule>
  </conditionalFormatting>
  <conditionalFormatting sqref="EE67:EE79">
    <cfRule type="colorScale" priority="47">
      <colorScale>
        <cfvo type="min"/>
        <cfvo type="max"/>
        <color rgb="00FFFFFF"/>
        <color rgb="0063BE7B"/>
      </colorScale>
    </cfRule>
  </conditionalFormatting>
  <conditionalFormatting sqref="EI67:EI79">
    <cfRule type="cellIs" priority="48" operator="greaterThan" dxfId="2">
      <formula>0</formula>
    </cfRule>
    <cfRule type="cellIs" priority="49" operator="lessThan" dxfId="3">
      <formula>0</formula>
    </cfRule>
  </conditionalFormatting>
  <conditionalFormatting sqref="EN67:EN79">
    <cfRule type="colorScale" priority="50">
      <colorScale>
        <cfvo type="min"/>
        <cfvo type="max"/>
        <color rgb="00FFFFFF"/>
        <color rgb="0063BE7B"/>
      </colorScale>
    </cfRule>
  </conditionalFormatting>
  <conditionalFormatting sqref="ER67:ER79">
    <cfRule type="cellIs" priority="51" operator="greaterThan" dxfId="2">
      <formula>0</formula>
    </cfRule>
    <cfRule type="cellIs" priority="52" operator="lessThan" dxfId="3">
      <formula>0</formula>
    </cfRule>
  </conditionalFormatting>
  <conditionalFormatting sqref="EW67:EW79">
    <cfRule type="colorScale" priority="53">
      <colorScale>
        <cfvo type="min"/>
        <cfvo type="max"/>
        <color rgb="00FFFFFF"/>
        <color rgb="0063BE7B"/>
      </colorScale>
    </cfRule>
  </conditionalFormatting>
  <conditionalFormatting sqref="FA67:FA79">
    <cfRule type="cellIs" priority="54" operator="greaterThan" dxfId="2">
      <formula>0</formula>
    </cfRule>
    <cfRule type="cellIs" priority="55" operator="lessThan" dxfId="3">
      <formula>0</formula>
    </cfRule>
  </conditionalFormatting>
  <conditionalFormatting sqref="FF67:FF79">
    <cfRule type="colorScale" priority="56">
      <colorScale>
        <cfvo type="min"/>
        <cfvo type="max"/>
        <color rgb="00FFFFFF"/>
        <color rgb="0063BE7B"/>
      </colorScale>
    </cfRule>
  </conditionalFormatting>
  <conditionalFormatting sqref="FJ67:FJ79">
    <cfRule type="cellIs" priority="57" operator="greaterThan" dxfId="2">
      <formula>0</formula>
    </cfRule>
    <cfRule type="cellIs" priority="58" operator="lessThan" dxfId="3">
      <formula>0</formula>
    </cfRule>
  </conditionalFormatting>
  <conditionalFormatting sqref="FO67:FO79">
    <cfRule type="colorScale" priority="59">
      <colorScale>
        <cfvo type="min"/>
        <cfvo type="max"/>
        <color rgb="00FFFFFF"/>
        <color rgb="0063BE7B"/>
      </colorScale>
    </cfRule>
  </conditionalFormatting>
  <conditionalFormatting sqref="FS67:FS79">
    <cfRule type="cellIs" priority="60" operator="greaterThan" dxfId="2">
      <formula>0</formula>
    </cfRule>
    <cfRule type="cellIs" priority="61" operator="lessThan" dxfId="3">
      <formula>0</formula>
    </cfRule>
  </conditionalFormatting>
  <conditionalFormatting sqref="FX67:FX79">
    <cfRule type="colorScale" priority="62">
      <colorScale>
        <cfvo type="min"/>
        <cfvo type="max"/>
        <color rgb="00FFFFFF"/>
        <color rgb="0063BE7B"/>
      </colorScale>
    </cfRule>
  </conditionalFormatting>
  <conditionalFormatting sqref="GB67:GB79">
    <cfRule type="cellIs" priority="63" operator="greaterThan" dxfId="2">
      <formula>0</formula>
    </cfRule>
    <cfRule type="cellIs" priority="64" operator="lessThan" dxfId="3">
      <formula>0</formula>
    </cfRule>
  </conditionalFormatting>
  <conditionalFormatting sqref="GG67:GG79">
    <cfRule type="colorScale" priority="65">
      <colorScale>
        <cfvo type="min"/>
        <cfvo type="max"/>
        <color rgb="00FFFFFF"/>
        <color rgb="0063BE7B"/>
      </colorScale>
    </cfRule>
  </conditionalFormatting>
  <conditionalFormatting sqref="GK67:GK79">
    <cfRule type="cellIs" priority="66" operator="greaterThan" dxfId="2">
      <formula>0</formula>
    </cfRule>
    <cfRule type="cellIs" priority="67" operator="lessThan" dxfId="3">
      <formula>0</formula>
    </cfRule>
  </conditionalFormatting>
  <conditionalFormatting sqref="GP67:GP79">
    <cfRule type="colorScale" priority="68">
      <colorScale>
        <cfvo type="min"/>
        <cfvo type="max"/>
        <color rgb="00FFFFFF"/>
        <color rgb="0063BE7B"/>
      </colorScale>
    </cfRule>
  </conditionalFormatting>
  <conditionalFormatting sqref="GT67:GT79">
    <cfRule type="cellIs" priority="69" operator="greaterThan" dxfId="2">
      <formula>0</formula>
    </cfRule>
    <cfRule type="cellIs" priority="70" operator="lessThan" dxfId="3">
      <formula>0</formula>
    </cfRule>
  </conditionalFormatting>
  <conditionalFormatting sqref="GY67:GY79">
    <cfRule type="colorScale" priority="71">
      <colorScale>
        <cfvo type="min"/>
        <cfvo type="max"/>
        <color rgb="00FFFFFF"/>
        <color rgb="0063BE7B"/>
      </colorScale>
    </cfRule>
  </conditionalFormatting>
  <conditionalFormatting sqref="HC67:HC79">
    <cfRule type="cellIs" priority="72" operator="greaterThan" dxfId="2">
      <formula>0</formula>
    </cfRule>
    <cfRule type="cellIs" priority="73" operator="lessThan" dxfId="3">
      <formula>0</formula>
    </cfRule>
  </conditionalFormatting>
  <conditionalFormatting sqref="HH67:HH79">
    <cfRule type="colorScale" priority="74">
      <colorScale>
        <cfvo type="min"/>
        <cfvo type="max"/>
        <color rgb="00FFFFFF"/>
        <color rgb="0063BE7B"/>
      </colorScale>
    </cfRule>
  </conditionalFormatting>
  <conditionalFormatting sqref="HL67:HL79">
    <cfRule type="cellIs" priority="75" operator="greaterThan" dxfId="2">
      <formula>0</formula>
    </cfRule>
    <cfRule type="cellIs" priority="76" operator="lessThan" dxfId="3">
      <formula>0</formula>
    </cfRule>
  </conditionalFormatting>
  <conditionalFormatting sqref="HQ67:HQ79">
    <cfRule type="colorScale" priority="77">
      <colorScale>
        <cfvo type="min"/>
        <cfvo type="max"/>
        <color rgb="00FFFFFF"/>
        <color rgb="0063BE7B"/>
      </colorScale>
    </cfRule>
  </conditionalFormatting>
  <conditionalFormatting sqref="HU67:HU79">
    <cfRule type="cellIs" priority="78" operator="greaterThan" dxfId="2">
      <formula>0</formula>
    </cfRule>
    <cfRule type="cellIs" priority="79" operator="lessThan" dxfId="3">
      <formula>0</formula>
    </cfRule>
  </conditionalFormatting>
  <conditionalFormatting sqref="HZ67:HZ79">
    <cfRule type="colorScale" priority="80">
      <colorScale>
        <cfvo type="min"/>
        <cfvo type="max"/>
        <color rgb="00FFFFFF"/>
        <color rgb="0063BE7B"/>
      </colorScale>
    </cfRule>
  </conditionalFormatting>
  <conditionalFormatting sqref="ID67:ID79">
    <cfRule type="cellIs" priority="81" operator="greaterThan" dxfId="2">
      <formula>0</formula>
    </cfRule>
    <cfRule type="cellIs" priority="82" operator="lessThan" dxfId="3">
      <formula>0</formula>
    </cfRule>
  </conditionalFormatting>
  <conditionalFormatting sqref="II67:II79">
    <cfRule type="colorScale" priority="83">
      <colorScale>
        <cfvo type="min"/>
        <cfvo type="max"/>
        <color rgb="00FFFFFF"/>
        <color rgb="0063BE7B"/>
      </colorScale>
    </cfRule>
  </conditionalFormatting>
  <conditionalFormatting sqref="IM67:IM79">
    <cfRule type="cellIs" priority="84" operator="greaterThan" dxfId="2">
      <formula>0</formula>
    </cfRule>
    <cfRule type="cellIs" priority="85" operator="lessThan" dxfId="3">
      <formula>0</formula>
    </cfRule>
  </conditionalFormatting>
  <conditionalFormatting sqref="IR67:IR79">
    <cfRule type="colorScale" priority="86">
      <colorScale>
        <cfvo type="min"/>
        <cfvo type="max"/>
        <color rgb="00FFFFFF"/>
        <color rgb="0063BE7B"/>
      </colorScale>
    </cfRule>
  </conditionalFormatting>
  <conditionalFormatting sqref="IV67:IV79">
    <cfRule type="cellIs" priority="87" operator="greaterThan" dxfId="2">
      <formula>0</formula>
    </cfRule>
    <cfRule type="cellIs" priority="88" operator="lessThan" dxfId="3">
      <formula>0</formula>
    </cfRule>
  </conditionalFormatting>
  <conditionalFormatting sqref="JA67:JA79">
    <cfRule type="colorScale" priority="89">
      <colorScale>
        <cfvo type="min"/>
        <cfvo type="max"/>
        <color rgb="00FFFFFF"/>
        <color rgb="0063BE7B"/>
      </colorScale>
    </cfRule>
  </conditionalFormatting>
  <conditionalFormatting sqref="JE67:JE79">
    <cfRule type="cellIs" priority="90" operator="greaterThan" dxfId="2">
      <formula>0</formula>
    </cfRule>
    <cfRule type="cellIs" priority="91" operator="lessThan" dxfId="3">
      <formula>0</formula>
    </cfRule>
  </conditionalFormatting>
  <conditionalFormatting sqref="JJ67:JJ79">
    <cfRule type="colorScale" priority="92">
      <colorScale>
        <cfvo type="min"/>
        <cfvo type="max"/>
        <color rgb="00FFFFFF"/>
        <color rgb="0063BE7B"/>
      </colorScale>
    </cfRule>
  </conditionalFormatting>
  <conditionalFormatting sqref="JN67:JN79">
    <cfRule type="cellIs" priority="93" operator="greaterThan" dxfId="2">
      <formula>0</formula>
    </cfRule>
    <cfRule type="cellIs" priority="94" operator="lessThan" dxfId="3">
      <formula>0</formula>
    </cfRule>
  </conditionalFormatting>
  <conditionalFormatting sqref="JS67:JS79">
    <cfRule type="colorScale" priority="95">
      <colorScale>
        <cfvo type="min"/>
        <cfvo type="max"/>
        <color rgb="00FFFFFF"/>
        <color rgb="0063BE7B"/>
      </colorScale>
    </cfRule>
  </conditionalFormatting>
  <conditionalFormatting sqref="JZ67:JZ79">
    <cfRule type="expression" priority="96" dxfId="0">
      <formula>ISNUMBER(SEARCH("Atingida",JZ67))</formula>
    </cfRule>
  </conditionalFormatting>
  <dataValidations count="4">
    <dataValidation sqref="B67:B79 K67:K79 T67:T79 AC67:AC79 AL67:AL79 AU67:AU79 BD67:BD79 BM67:BM79 BV67:BV79 CE67:CE79 CN67:CN79 CW67:CW79 DF67:DF79 DO67:DO79 DX67:DX79 EG67:EG79 EP67:EP79 EY67:EY79 FH67:FH79 FQ67:FQ79 FZ67:FZ79 GI67:GI79 GR67:GR79 HA67:HA79 HJ67:HJ79 HS67:HS79 IB67:IB79 IK67:IK79 IT67:IT79 JC67:JC79 JL67:JL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D67:D79 M67:M79 V67:V79 AE67:AE79 AN67:AN79 AW67:AW79 BF67:BF79 BO67:BO79 BX67:BX79 CG67:CG79 CP67:CP79 CY67:CY79 DH67:DH79 DQ67:DQ79 DZ67:DZ79 EI67:EI79 ER67:ER79 FA67:FA79 FJ67:FJ79 FS67:FS79 GB67:GB79 GK67:GK79 GT67:GT79 HC67:HC79 HL67:HL79 HU67:HU79 ID67:ID79 IM67:IM79 IV67:IV79 JE67:JE79 JN67:JN79" showDropDown="0" showInputMessage="0" showErrorMessage="1" allowBlank="1" errorTitle="Valor inválido" error="Informe um valor numérico (positivo ou negativo)." type="decimal" operator="between">
      <formula1>-999999999</formula1>
      <formula2>999999999</formula2>
    </dataValidation>
    <dataValidation sqref="E67:E79 F67:F79 G67:G79 H67:H79 N67:N79 O67:O79 P67:P79 Q67:Q79 W67:W79 X67:X79 Y67:Y79 Z67:Z79 AF67:AF79 AG67:AG79 AH67:AH79 AI67:AI79 AO67:AO79 AP67:AP79 AQ67:AQ79 AR67:AR79 AX67:AX79 AY67:AY79 AZ67:AZ79 BA67:BA79 BG67:BG79 BH67:BH79 BI67:BI79 BJ67:BJ79 BP67:BP79 BQ67:BQ79 BR67:BR79 BS67:BS79 BY67:BY79 BZ67:BZ79 CA67:CA79 CB67:CB79 CH67:CH79 CI67:CI79 CJ67:CJ79 CK67:CK79 CQ67:CQ79 CR67:CR79 CS67:CS79 CT67:CT79 CZ67:CZ79 DA67:DA79 DB67:DB79 DC67:DC79 DI67:DI79 DJ67:DJ79 DK67:DK79 DL67:DL79 DR67:DR79 DS67:DS79 DT67:DT79 DU67:DU79 EA67:EA79 EB67:EB79 EC67:EC79 ED67:ED79 EJ67:EJ79 EK67:EK79 EL67:EL79 EM67:EM79 ES67:ES79 ET67:ET79 EU67:EU79 EV67:EV79 FB67:FB79 FC67:FC79 FD67:FD79 FE67:FE79 FK67:FK79 FL67:FL79 FM67:FM79 FN67:FN79 FT67:FT79 FU67:FU79 FV67:FV79 FW67:FW79 GC67:GC79 GD67:GD79 GE67:GE79 GF67:GF79 GL67:GL79 GM67:GM79 GN67:GN79 GO67:GO79 GU67:GU79 GV67:GV79 GW67:GW79 GX67:GX79 HD67:HD79 HE67:HE79 HF67:HF79 HG67:HG79 HM67:HM79 HN67:HN79 HO67:HO79 HP67:HP79 HV67:HV79 HW67:HW79 HX67:HX79 HY67:HY79 IE67:IE79 IF67:IF79 IG67:IG79 IH67:IH79 IN67:IN79 IO67:IO79 IP67:IP79 IQ67:IQ79 IW67:IW79 IX67:IX79 IY67:IY79 IZ67:IZ79 JF67:JF79 JG67:JG79 JH67:JH79 JI67:JI79 JO67:JO79 JP67:JP79 JQ67:JQ79 JR67:JR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J67:J79 S67:S79 AB67:AB79 AK67:AK79 AT67:AT79 BC67:BC79 BL67:BL79 BU67:BU79 CD67:CD79 CM67:CM79 CV67:CV79 DE67:DE79 DN67:DN79 DW67:DW79 EF67:EF79 EO67:EO79 EX67:EX79 FG67:FG79 FP67:FP79 FY67:FY79 GH67:GH79 GQ67:GQ79 GZ67:GZ79 HI67:HI79 HR67:HR79 IA67:IA79 IJ67:IJ79 IS67:IS79 JB67:JB79 JK67:JK79 JT67:JT79" showDropDown="0" showInputMessage="0" showErrorMessage="1" allowBlank="1" errorTitle="Texto muito longo" error="Limite de 300 caracteres." type="textLength" operator="lessThanOrEqual">
      <formula1>300</formula1>
    </dataValidation>
  </dataValidations>
  <pageMargins left="0.75" right="0.75" top="1" bottom="1" header="0.5" footer="0.5"/>
  <pageSetup orientation="landscape" fitToHeight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I79"/>
  <sheetViews>
    <sheetView showGridLines="0" zoomScale="90" workbookViewId="0">
      <pane xSplit="1" ySplit="66" topLeftCell="B6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11" customWidth="1" min="5" max="5"/>
    <col width="12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4" customWidth="1" min="13" max="13"/>
    <col width="11" customWidth="1" min="14" max="14"/>
    <col width="12" customWidth="1" min="15" max="15"/>
    <col width="13" customWidth="1" min="16" max="16"/>
    <col width="13" customWidth="1" min="17" max="17"/>
    <col width="13" customWidth="1" min="18" max="18"/>
    <col width="20" customWidth="1" min="19" max="19"/>
    <col width="13" customWidth="1" min="20" max="20"/>
    <col width="13" customWidth="1" min="21" max="21"/>
    <col width="14" customWidth="1" min="22" max="22"/>
    <col width="11" customWidth="1" min="23" max="23"/>
    <col width="12" customWidth="1" min="24" max="24"/>
    <col width="13" customWidth="1" min="25" max="25"/>
    <col width="13" customWidth="1" min="26" max="26"/>
    <col width="13" customWidth="1" min="27" max="27"/>
    <col width="20" customWidth="1" min="28" max="28"/>
    <col width="13" customWidth="1" min="29" max="29"/>
    <col width="13" customWidth="1" min="30" max="30"/>
    <col width="14" customWidth="1" min="31" max="31"/>
    <col width="11" customWidth="1" min="32" max="32"/>
    <col width="12" customWidth="1" min="33" max="33"/>
    <col width="13" customWidth="1" min="34" max="34"/>
    <col width="13" customWidth="1" min="35" max="35"/>
    <col width="13" customWidth="1" min="36" max="36"/>
    <col width="20" customWidth="1" min="37" max="37"/>
    <col width="13" customWidth="1" min="38" max="38"/>
    <col width="13" customWidth="1" min="39" max="39"/>
    <col width="14" customWidth="1" min="40" max="40"/>
    <col width="11" customWidth="1" min="41" max="41"/>
    <col width="12" customWidth="1" min="42" max="42"/>
    <col width="13" customWidth="1" min="43" max="43"/>
    <col width="13" customWidth="1" min="44" max="44"/>
    <col width="13" customWidth="1" min="45" max="45"/>
    <col width="20" customWidth="1" min="46" max="46"/>
    <col width="13" customWidth="1" min="47" max="47"/>
    <col width="13" customWidth="1" min="48" max="48"/>
    <col width="14" customWidth="1" min="49" max="49"/>
    <col width="11" customWidth="1" min="50" max="50"/>
    <col width="12" customWidth="1" min="51" max="51"/>
    <col width="13" customWidth="1" min="52" max="52"/>
    <col width="13" customWidth="1" min="53" max="53"/>
    <col width="13" customWidth="1" min="54" max="54"/>
    <col width="20" customWidth="1" min="55" max="55"/>
    <col width="13" customWidth="1" min="56" max="56"/>
    <col width="13" customWidth="1" min="57" max="57"/>
    <col width="14" customWidth="1" min="58" max="58"/>
    <col width="11" customWidth="1" min="59" max="59"/>
    <col width="12" customWidth="1" min="60" max="60"/>
    <col width="13" customWidth="1" min="61" max="61"/>
    <col width="13" customWidth="1" min="62" max="62"/>
    <col width="13" customWidth="1" min="63" max="63"/>
    <col width="20" customWidth="1" min="64" max="64"/>
    <col width="13" customWidth="1" min="65" max="65"/>
    <col width="13" customWidth="1" min="66" max="66"/>
    <col width="14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20" customWidth="1" min="73" max="73"/>
    <col width="13" customWidth="1" min="74" max="74"/>
    <col width="13" customWidth="1" min="75" max="75"/>
    <col width="14" customWidth="1" min="76" max="76"/>
    <col width="11" customWidth="1" min="77" max="77"/>
    <col width="12" customWidth="1" min="78" max="78"/>
    <col width="13" customWidth="1" min="79" max="79"/>
    <col width="13" customWidth="1" min="80" max="80"/>
    <col width="13" customWidth="1" min="81" max="81"/>
    <col width="20" customWidth="1" min="82" max="82"/>
    <col width="13" customWidth="1" min="83" max="83"/>
    <col width="13" customWidth="1" min="84" max="84"/>
    <col width="14" customWidth="1" min="85" max="85"/>
    <col width="11" customWidth="1" min="86" max="86"/>
    <col width="12" customWidth="1" min="87" max="87"/>
    <col width="13" customWidth="1" min="88" max="88"/>
    <col width="13" customWidth="1" min="89" max="89"/>
    <col width="13" customWidth="1" min="90" max="90"/>
    <col width="20" customWidth="1" min="91" max="91"/>
    <col width="13" customWidth="1" min="92" max="92"/>
    <col width="13" customWidth="1" min="93" max="93"/>
    <col width="14" customWidth="1" min="94" max="94"/>
    <col width="11" customWidth="1" min="95" max="95"/>
    <col width="12" customWidth="1" min="96" max="96"/>
    <col width="13" customWidth="1" min="97" max="97"/>
    <col width="13" customWidth="1" min="98" max="98"/>
    <col width="13" customWidth="1" min="99" max="99"/>
    <col width="20" customWidth="1" min="100" max="100"/>
    <col width="13" customWidth="1" min="101" max="101"/>
    <col width="13" customWidth="1" min="102" max="102"/>
    <col width="14" customWidth="1" min="103" max="103"/>
    <col width="11" customWidth="1" min="104" max="104"/>
    <col width="12" customWidth="1" min="105" max="105"/>
    <col width="13" customWidth="1" min="106" max="106"/>
    <col width="13" customWidth="1" min="107" max="107"/>
    <col width="13" customWidth="1" min="108" max="108"/>
    <col width="20" customWidth="1" min="109" max="109"/>
    <col width="13" customWidth="1" min="110" max="110"/>
    <col width="13" customWidth="1" min="111" max="111"/>
    <col width="14" customWidth="1" min="112" max="112"/>
    <col width="11" customWidth="1" min="113" max="113"/>
    <col width="12" customWidth="1" min="114" max="114"/>
    <col width="13" customWidth="1" min="115" max="115"/>
    <col width="13" customWidth="1" min="116" max="116"/>
    <col width="13" customWidth="1" min="117" max="117"/>
    <col width="20" customWidth="1" min="118" max="118"/>
    <col width="13" customWidth="1" min="119" max="119"/>
    <col width="13" customWidth="1" min="120" max="120"/>
    <col width="14" customWidth="1" min="121" max="121"/>
    <col width="11" customWidth="1" min="122" max="122"/>
    <col width="12" customWidth="1" min="123" max="123"/>
    <col width="13" customWidth="1" min="124" max="124"/>
    <col width="13" customWidth="1" min="125" max="125"/>
    <col width="13" customWidth="1" min="126" max="126"/>
    <col width="20" customWidth="1" min="127" max="127"/>
    <col width="13" customWidth="1" min="128" max="128"/>
    <col width="13" customWidth="1" min="129" max="129"/>
    <col width="14" customWidth="1" min="130" max="130"/>
    <col width="11" customWidth="1" min="131" max="131"/>
    <col width="12" customWidth="1" min="132" max="132"/>
    <col width="13" customWidth="1" min="133" max="133"/>
    <col width="13" customWidth="1" min="134" max="134"/>
    <col width="13" customWidth="1" min="135" max="135"/>
    <col width="20" customWidth="1" min="136" max="136"/>
    <col width="13" customWidth="1" min="137" max="137"/>
    <col width="13" customWidth="1" min="138" max="138"/>
    <col width="14" customWidth="1" min="139" max="139"/>
    <col width="11" customWidth="1" min="140" max="140"/>
    <col width="12" customWidth="1" min="141" max="141"/>
    <col width="13" customWidth="1" min="142" max="142"/>
    <col width="13" customWidth="1" min="143" max="143"/>
    <col width="13" customWidth="1" min="144" max="144"/>
    <col width="20" customWidth="1" min="145" max="145"/>
    <col width="13" customWidth="1" min="146" max="146"/>
    <col width="13" customWidth="1" min="147" max="147"/>
    <col width="14" customWidth="1" min="148" max="148"/>
    <col width="11" customWidth="1" min="149" max="149"/>
    <col width="12" customWidth="1" min="150" max="150"/>
    <col width="13" customWidth="1" min="151" max="151"/>
    <col width="13" customWidth="1" min="152" max="152"/>
    <col width="13" customWidth="1" min="153" max="153"/>
    <col width="20" customWidth="1" min="154" max="154"/>
    <col width="13" customWidth="1" min="155" max="155"/>
    <col width="13" customWidth="1" min="156" max="156"/>
    <col width="14" customWidth="1" min="157" max="157"/>
    <col width="11" customWidth="1" min="158" max="158"/>
    <col width="12" customWidth="1" min="159" max="159"/>
    <col width="13" customWidth="1" min="160" max="160"/>
    <col width="13" customWidth="1" min="161" max="161"/>
    <col width="13" customWidth="1" min="162" max="162"/>
    <col width="20" customWidth="1" min="163" max="163"/>
    <col width="13" customWidth="1" min="164" max="164"/>
    <col width="13" customWidth="1" min="165" max="165"/>
    <col width="14" customWidth="1" min="166" max="166"/>
    <col width="11" customWidth="1" min="167" max="167"/>
    <col width="12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13" customWidth="1" min="173" max="173"/>
    <col width="13" customWidth="1" min="174" max="174"/>
    <col width="14" customWidth="1" min="175" max="175"/>
    <col width="11" customWidth="1" min="176" max="176"/>
    <col width="12" customWidth="1" min="177" max="177"/>
    <col width="13" customWidth="1" min="178" max="178"/>
    <col width="13" customWidth="1" min="179" max="179"/>
    <col width="13" customWidth="1" min="180" max="180"/>
    <col width="20" customWidth="1" min="181" max="181"/>
    <col width="13" customWidth="1" min="182" max="182"/>
    <col width="13" customWidth="1" min="183" max="183"/>
    <col width="14" customWidth="1" min="184" max="184"/>
    <col width="11" customWidth="1" min="185" max="185"/>
    <col width="12" customWidth="1" min="186" max="186"/>
    <col width="13" customWidth="1" min="187" max="187"/>
    <col width="13" customWidth="1" min="188" max="188"/>
    <col width="13" customWidth="1" min="189" max="189"/>
    <col width="20" customWidth="1" min="190" max="190"/>
    <col width="13" customWidth="1" min="191" max="191"/>
    <col width="13" customWidth="1" min="192" max="192"/>
    <col width="14" customWidth="1" min="193" max="193"/>
    <col width="11" customWidth="1" min="194" max="194"/>
    <col width="12" customWidth="1" min="195" max="195"/>
    <col width="13" customWidth="1" min="196" max="196"/>
    <col width="13" customWidth="1" min="197" max="197"/>
    <col width="13" customWidth="1" min="198" max="198"/>
    <col width="20" customWidth="1" min="199" max="199"/>
    <col width="13" customWidth="1" min="200" max="200"/>
    <col width="13" customWidth="1" min="201" max="201"/>
    <col width="14" customWidth="1" min="202" max="202"/>
    <col width="11" customWidth="1" min="203" max="203"/>
    <col width="12" customWidth="1" min="204" max="204"/>
    <col width="13" customWidth="1" min="205" max="205"/>
    <col width="13" customWidth="1" min="206" max="206"/>
    <col width="13" customWidth="1" min="207" max="207"/>
    <col width="20" customWidth="1" min="208" max="208"/>
    <col width="13" customWidth="1" min="209" max="209"/>
    <col width="13" customWidth="1" min="210" max="210"/>
    <col width="14" customWidth="1" min="211" max="211"/>
    <col width="11" customWidth="1" min="212" max="212"/>
    <col width="12" customWidth="1" min="213" max="213"/>
    <col width="13" customWidth="1" min="214" max="214"/>
    <col width="13" customWidth="1" min="215" max="215"/>
    <col width="13" customWidth="1" min="216" max="216"/>
    <col width="20" customWidth="1" min="217" max="217"/>
    <col width="13" customWidth="1" min="218" max="218"/>
    <col width="13" customWidth="1" min="219" max="219"/>
    <col width="14" customWidth="1" min="220" max="220"/>
    <col width="11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20" customWidth="1" min="226" max="226"/>
    <col width="13" customWidth="1" min="227" max="227"/>
    <col width="13" customWidth="1" min="228" max="228"/>
    <col width="14" customWidth="1" min="229" max="229"/>
    <col width="11" customWidth="1" min="230" max="230"/>
    <col width="12" customWidth="1" min="231" max="231"/>
    <col width="13" customWidth="1" min="232" max="232"/>
    <col width="13" customWidth="1" min="233" max="233"/>
    <col width="13" customWidth="1" min="234" max="234"/>
    <col width="20" customWidth="1" min="235" max="235"/>
    <col width="13" customWidth="1" min="236" max="236"/>
    <col width="13" customWidth="1" min="237" max="237"/>
    <col width="14" customWidth="1" min="238" max="238"/>
    <col width="11" customWidth="1" min="239" max="239"/>
    <col width="12" customWidth="1" min="240" max="240"/>
    <col width="13" customWidth="1" min="241" max="241"/>
    <col width="13" customWidth="1" min="242" max="242"/>
    <col width="13" customWidth="1" min="243" max="243"/>
    <col width="20" customWidth="1" min="244" max="244"/>
    <col width="13" customWidth="1" min="245" max="245"/>
    <col width="13" customWidth="1" min="246" max="246"/>
    <col width="14" customWidth="1" min="247" max="247"/>
    <col width="11" customWidth="1" min="248" max="248"/>
    <col width="12" customWidth="1" min="249" max="249"/>
    <col width="13" customWidth="1" min="250" max="250"/>
    <col width="13" customWidth="1" min="251" max="251"/>
    <col width="13" customWidth="1" min="252" max="252"/>
    <col width="20" customWidth="1" min="253" max="253"/>
    <col width="13" customWidth="1" min="254" max="254"/>
    <col width="13" customWidth="1" min="255" max="255"/>
    <col width="14" customWidth="1" min="256" max="256"/>
    <col width="11" customWidth="1" min="257" max="257"/>
    <col width="12" customWidth="1" min="258" max="258"/>
    <col width="13" customWidth="1" min="259" max="259"/>
    <col width="13" customWidth="1" min="260" max="260"/>
    <col width="13" customWidth="1" min="261" max="261"/>
    <col width="20" customWidth="1" min="262" max="262"/>
    <col width="13" customWidth="1" min="263" max="263"/>
    <col width="13" customWidth="1" min="264" max="264"/>
    <col width="14" customWidth="1" min="265" max="265"/>
    <col width="11" customWidth="1" min="266" max="266"/>
    <col width="12" customWidth="1" min="267" max="267"/>
    <col width="13" customWidth="1" min="268" max="268"/>
    <col width="13" customWidth="1" min="269" max="269"/>
    <col width="13" customWidth="1" min="270" max="270"/>
    <col width="20" customWidth="1" min="271" max="271"/>
    <col width="13" customWidth="1" min="272" max="272"/>
    <col width="13" customWidth="1" min="273" max="273"/>
    <col width="14" customWidth="1" min="274" max="274"/>
    <col width="11" customWidth="1" min="275" max="275"/>
    <col width="12" customWidth="1" min="276" max="276"/>
    <col width="13" customWidth="1" min="277" max="277"/>
    <col width="13" customWidth="1" min="278" max="278"/>
    <col width="13" customWidth="1" min="279" max="279"/>
    <col width="20" customWidth="1" min="280" max="280"/>
    <col width="16" customWidth="1" min="281" max="281"/>
    <col width="16" customWidth="1" min="282" max="282"/>
    <col width="16" customWidth="1" min="283" max="283"/>
    <col width="14" customWidth="1" min="284" max="284"/>
    <col width="14" customWidth="1" min="285" max="285"/>
    <col width="14" customWidth="1" min="286" max="286"/>
    <col hidden="1" width="10" customWidth="1" min="287" max="287"/>
    <col hidden="1" width="16" customWidth="1" min="289" max="289"/>
    <col hidden="1" width="16" customWidth="1" min="290" max="290"/>
    <col hidden="1" width="16" customWidth="1" min="291" max="291"/>
    <col hidden="1" width="16" customWidth="1" min="292" max="292"/>
    <col hidden="1" width="16" customWidth="1" min="294" max="294"/>
    <col hidden="1" width="16" customWidth="1" min="295" max="295"/>
  </cols>
  <sheetData>
    <row r="1" ht="32" customHeight="1">
      <c r="A1" s="11">
        <f>"ACOMPANHAMENTO DIÁRIO DE ASSESSORES — MAIO / "&amp;Configurações!$B$3</f>
        <v/>
      </c>
      <c r="KC1" t="inlineStr">
        <is>
          <t>Dia</t>
        </is>
      </c>
      <c r="KD1" t="inlineStr">
        <is>
          <t>Data</t>
        </is>
      </c>
      <c r="KE1" t="inlineStr">
        <is>
          <t>Produção do Dia</t>
        </is>
      </c>
      <c r="KF1" t="inlineStr">
        <is>
          <t>Captação do Dia</t>
        </is>
      </c>
    </row>
    <row r="2" ht="18" customHeight="1">
      <c r="A2" s="12">
        <f>"Dias no mês: "&amp;$Z$3&amp;"   |   Cada assessor ocupa 1 linha. Role para a direita para ver os dias. Apenas as células destacadas em amarelo são editáveis."</f>
        <v/>
      </c>
      <c r="KC2" s="13" t="n">
        <v>1</v>
      </c>
      <c r="KD2" s="14">
        <f>IF(1&lt;=$Z$3,DATE(Configurações!$B$3,5,1),"")</f>
        <v/>
      </c>
      <c r="KE2" s="13">
        <f>SUM($I$67:$I$79)</f>
        <v/>
      </c>
      <c r="KF2" s="13">
        <f>SUM($D$67:$D$79)</f>
        <v/>
      </c>
      <c r="KH2" t="inlineStr">
        <is>
          <t>COE</t>
        </is>
      </c>
      <c r="KI2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</row>
    <row r="3">
      <c r="Y3" s="15" t="inlineStr">
        <is>
          <t>Dias no mês</t>
        </is>
      </c>
      <c r="Z3" s="16">
        <f>DAY(EOMONTH(DATE(Configurações!$B$3,5,1),0))</f>
        <v/>
      </c>
      <c r="KC3" s="13" t="n">
        <v>2</v>
      </c>
      <c r="KD3" s="14">
        <f>IF(2&lt;=$Z$3,DATE(Configurações!$B$3,5,2),"")</f>
        <v/>
      </c>
      <c r="KE3" s="13">
        <f>SUM($R$67:$R$79)</f>
        <v/>
      </c>
      <c r="KF3" s="13">
        <f>SUM($M$67:$M$79)</f>
        <v/>
      </c>
      <c r="KH3" t="inlineStr">
        <is>
          <t>PREVIDÊNCIA</t>
        </is>
      </c>
      <c r="KI3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</row>
    <row r="4" ht="22" customHeight="1">
      <c r="A4" s="17" t="inlineStr">
        <is>
          <t>📊  INDICADORES DO MÊS</t>
        </is>
      </c>
      <c r="KC4" s="13" t="n">
        <v>3</v>
      </c>
      <c r="KD4" s="14">
        <f>IF(3&lt;=$Z$3,DATE(Configurações!$B$3,5,3),"")</f>
        <v/>
      </c>
      <c r="KE4" s="13">
        <f>SUM($AA$67:$AA$79)</f>
        <v/>
      </c>
      <c r="KF4" s="13">
        <f>SUM($V$67:$V$79)</f>
        <v/>
      </c>
      <c r="KH4" t="inlineStr">
        <is>
          <t>CRÉDITO PRIVADO</t>
        </is>
      </c>
      <c r="KI4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</row>
    <row r="5" ht="26" customHeight="1">
      <c r="A5" s="18" t="inlineStr">
        <is>
          <t>PRODUÇÃO TOTAL DO MÊS</t>
        </is>
      </c>
      <c r="C5" s="18" t="inlineStr">
        <is>
          <t>CAPTAÇÃO LÍQUIDA DO MÊS</t>
        </is>
      </c>
      <c r="E5" s="18" t="inlineStr">
        <is>
          <t>SALDO PULSO TOTAL (ATUAL)</t>
        </is>
      </c>
      <c r="G5" s="18" t="inlineStr">
        <is>
          <t>MÉDIA DIÁRIA DA EQUIPE</t>
        </is>
      </c>
      <c r="I5" s="18" t="inlineStr">
        <is>
          <t>MELHOR DIA DE PRODUÇÃO</t>
        </is>
      </c>
      <c r="K5" s="18" t="inlineStr">
        <is>
          <t>MELHOR ASSESSOR DO MÊS</t>
        </is>
      </c>
      <c r="KC5" s="13" t="n">
        <v>4</v>
      </c>
      <c r="KD5" s="14">
        <f>IF(4&lt;=$Z$3,DATE(Configurações!$B$3,5,4),"")</f>
        <v/>
      </c>
      <c r="KE5" s="13">
        <f>SUM($AJ$67:$AJ$79)</f>
        <v/>
      </c>
      <c r="KF5" s="13">
        <f>SUM($AE$67:$AE$79)</f>
        <v/>
      </c>
      <c r="KH5" t="inlineStr">
        <is>
          <t>TÍTULOS PÚBLICOS</t>
        </is>
      </c>
      <c r="KI5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</row>
    <row r="6" ht="30" customHeight="1">
      <c r="A6" s="19">
        <f>SUM($JU$67:$JU$79)</f>
        <v/>
      </c>
      <c r="C6" s="19">
        <f>SUM($JV$67:$JV$79)</f>
        <v/>
      </c>
      <c r="E6" s="19">
        <f>SUM($JW$67:$JW$79)</f>
        <v/>
      </c>
      <c r="G6" s="19">
        <f>IFERROR(SUM($JU$67:$JU$79)/$Z$3,0)</f>
        <v/>
      </c>
      <c r="I6" s="20">
        <f>IFERROR("Dia "&amp;TEXT(INDEX($KD$2:$KD$32,MATCH(MAX($KE$2:$KE$32),$KE$2:$KE$32,0)),"dd/mm")&amp;"  -  "&amp;TEXT(MAX($KE$2:$KE$32),"R$ #,##0"),"—")</f>
        <v/>
      </c>
      <c r="K6" s="20">
        <f>IFERROR($B$14&amp;"  -  "&amp;TEXT($C$14,"R$ #,##0"),"—")</f>
        <v/>
      </c>
      <c r="KC6" s="13" t="n">
        <v>5</v>
      </c>
      <c r="KD6" s="14">
        <f>IF(5&lt;=$Z$3,DATE(Configurações!$B$3,5,5),"")</f>
        <v/>
      </c>
      <c r="KE6" s="13">
        <f>SUM($AS$67:$AS$79)</f>
        <v/>
      </c>
      <c r="KF6" s="13">
        <f>SUM($AN$67:$AN$79)</f>
        <v/>
      </c>
    </row>
    <row r="7">
      <c r="KC7" s="13" t="n">
        <v>6</v>
      </c>
      <c r="KD7" s="14">
        <f>IF(6&lt;=$Z$3,DATE(Configurações!$B$3,5,6),"")</f>
        <v/>
      </c>
      <c r="KE7" s="13">
        <f>SUM($BB$67:$BB$79)</f>
        <v/>
      </c>
      <c r="KF7" s="13">
        <f>SUM($AW$67:$AW$79)</f>
        <v/>
      </c>
    </row>
    <row r="8" ht="22" customHeight="1">
      <c r="A8" s="17" t="inlineStr">
        <is>
          <t>💰  TOTAIS POR PRODUTO</t>
        </is>
      </c>
      <c r="KC8" s="13" t="n">
        <v>7</v>
      </c>
      <c r="KD8" s="14">
        <f>IF(7&lt;=$Z$3,DATE(Configurações!$B$3,5,7),"")</f>
        <v/>
      </c>
      <c r="KE8" s="13">
        <f>SUM($BK$67:$BK$79)</f>
        <v/>
      </c>
      <c r="KF8" s="13">
        <f>SUM($BF$67:$BF$79)</f>
        <v/>
      </c>
    </row>
    <row r="9" ht="20" customHeight="1">
      <c r="A9" s="18" t="inlineStr">
        <is>
          <t>COE</t>
        </is>
      </c>
      <c r="D9" s="18" t="inlineStr">
        <is>
          <t>PREVIDÊNCIA</t>
        </is>
      </c>
      <c r="G9" s="18" t="inlineStr">
        <is>
          <t>CRÉDITO PRIVADO</t>
        </is>
      </c>
      <c r="J9" s="18" t="inlineStr">
        <is>
          <t>TÍTULOS PÚBLICOS</t>
        </is>
      </c>
      <c r="KC9" s="13" t="n">
        <v>8</v>
      </c>
      <c r="KD9" s="14">
        <f>IF(8&lt;=$Z$3,DATE(Configurações!$B$3,5,8),"")</f>
        <v/>
      </c>
      <c r="KE9" s="13">
        <f>SUM($BT$67:$BT$79)</f>
        <v/>
      </c>
      <c r="KF9" s="13">
        <f>SUM($BO$67:$BO$79)</f>
        <v/>
      </c>
    </row>
    <row r="10" ht="26" customHeight="1">
      <c r="A10" s="19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  <c r="D10" s="19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  <c r="G10" s="19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  <c r="J10" s="19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  <c r="KC10" s="13" t="n">
        <v>9</v>
      </c>
      <c r="KD10" s="14">
        <f>IF(9&lt;=$Z$3,DATE(Configurações!$B$3,5,9),"")</f>
        <v/>
      </c>
      <c r="KE10" s="13">
        <f>SUM($CC$67:$CC$79)</f>
        <v/>
      </c>
      <c r="KF10" s="13">
        <f>SUM($BX$67:$BX$79)</f>
        <v/>
      </c>
    </row>
    <row r="11">
      <c r="KC11" s="13" t="n">
        <v>10</v>
      </c>
      <c r="KD11" s="14">
        <f>IF(10&lt;=$Z$3,DATE(Configurações!$B$3,5,10),"")</f>
        <v/>
      </c>
      <c r="KE11" s="13">
        <f>SUM($CL$67:$CL$79)</f>
        <v/>
      </c>
      <c r="KF11" s="13">
        <f>SUM($CG$67:$CG$79)</f>
        <v/>
      </c>
    </row>
    <row r="12" ht="22" customHeight="1">
      <c r="A12" s="17" t="inlineStr">
        <is>
          <t>🏆  RANKING DE ASSESSORES (TOP 5 EM DESTAQUE)</t>
        </is>
      </c>
      <c r="KC12" s="13" t="n">
        <v>11</v>
      </c>
      <c r="KD12" s="14">
        <f>IF(11&lt;=$Z$3,DATE(Configurações!$B$3,5,11),"")</f>
        <v/>
      </c>
      <c r="KE12" s="13">
        <f>SUM($CU$67:$CU$79)</f>
        <v/>
      </c>
      <c r="KF12" s="13">
        <f>SUM($CP$67:$CP$79)</f>
        <v/>
      </c>
    </row>
    <row r="13" ht="22" customHeight="1">
      <c r="A13" s="5" t="inlineStr">
        <is>
          <t>Pos.</t>
        </is>
      </c>
      <c r="B13" s="5" t="inlineStr">
        <is>
          <t>Assessor</t>
        </is>
      </c>
      <c r="C13" s="5" t="inlineStr">
        <is>
          <t>Produção Total</t>
        </is>
      </c>
      <c r="D13" s="5" t="inlineStr">
        <is>
          <t>Captação Líquida</t>
        </is>
      </c>
      <c r="E13" s="5" t="inlineStr">
        <is>
          <t>Saldo Pulso Atual</t>
        </is>
      </c>
      <c r="F13" s="5" t="inlineStr">
        <is>
          <t>Média Diária</t>
        </is>
      </c>
      <c r="G13" s="5" t="inlineStr">
        <is>
          <t>Meta Mensal</t>
        </is>
      </c>
      <c r="H13" s="5" t="inlineStr">
        <is>
          <t>Status</t>
        </is>
      </c>
      <c r="KC13" s="13" t="n">
        <v>12</v>
      </c>
      <c r="KD13" s="14">
        <f>IF(12&lt;=$Z$3,DATE(Configurações!$B$3,5,12),"")</f>
        <v/>
      </c>
      <c r="KE13" s="13">
        <f>SUM($DD$67:$DD$79)</f>
        <v/>
      </c>
      <c r="KF13" s="13">
        <f>SUM($CY$67:$CY$79)</f>
        <v/>
      </c>
    </row>
    <row r="14" ht="18" customHeight="1">
      <c r="A14" s="21" t="n">
        <v>1</v>
      </c>
      <c r="B14" s="22">
        <f>INDEX($A$67:$A$79,MATCH(LARGE($KA$67:$KA$79,1),$KA$67:$KA$79,0))</f>
        <v/>
      </c>
      <c r="C14" s="23">
        <f>INDEX($JU$67:$JU$79,MATCH(LARGE($KA$67:$KA$79,1),$KA$67:$KA$79,0))</f>
        <v/>
      </c>
      <c r="D14" s="24">
        <f>INDEX($JV$67:$JV$79,MATCH(LARGE($KA$67:$KA$79,1),$KA$67:$KA$79,0))</f>
        <v/>
      </c>
      <c r="E14" s="23">
        <f>INDEX($JW$67:$JW$79,MATCH(LARGE($KA$67:$KA$79,1),$KA$67:$KA$79,0))</f>
        <v/>
      </c>
      <c r="F14" s="23">
        <f>INDEX($JX$67:$JX$79,MATCH(LARGE($KA$67:$KA$79,1),$KA$67:$KA$79,0))</f>
        <v/>
      </c>
      <c r="G14" s="23">
        <f>INDEX($JY$67:$JY$79,MATCH(LARGE($KA$67:$KA$79,1),$KA$67:$KA$79,0))</f>
        <v/>
      </c>
      <c r="H14" s="25">
        <f>IF(G14=0,"— Sem meta",IF(C14&gt;=G14,"✓ Meta atingida","Em andamento"))</f>
        <v/>
      </c>
      <c r="KC14" s="13" t="n">
        <v>13</v>
      </c>
      <c r="KD14" s="14">
        <f>IF(13&lt;=$Z$3,DATE(Configurações!$B$3,5,13),"")</f>
        <v/>
      </c>
      <c r="KE14" s="13">
        <f>SUM($DM$67:$DM$79)</f>
        <v/>
      </c>
      <c r="KF14" s="13">
        <f>SUM($DH$67:$DH$79)</f>
        <v/>
      </c>
    </row>
    <row r="15" ht="18" customHeight="1">
      <c r="A15" s="26" t="n">
        <v>2</v>
      </c>
      <c r="B15" s="27">
        <f>INDEX($A$67:$A$79,MATCH(LARGE($KA$67:$KA$79,2),$KA$67:$KA$79,0))</f>
        <v/>
      </c>
      <c r="C15" s="28">
        <f>INDEX($JU$67:$JU$79,MATCH(LARGE($KA$67:$KA$79,2),$KA$67:$KA$79,0))</f>
        <v/>
      </c>
      <c r="D15" s="29">
        <f>INDEX($JV$67:$JV$79,MATCH(LARGE($KA$67:$KA$79,2),$KA$67:$KA$79,0))</f>
        <v/>
      </c>
      <c r="E15" s="28">
        <f>INDEX($JW$67:$JW$79,MATCH(LARGE($KA$67:$KA$79,2),$KA$67:$KA$79,0))</f>
        <v/>
      </c>
      <c r="F15" s="28">
        <f>INDEX($JX$67:$JX$79,MATCH(LARGE($KA$67:$KA$79,2),$KA$67:$KA$79,0))</f>
        <v/>
      </c>
      <c r="G15" s="28">
        <f>INDEX($JY$67:$JY$79,MATCH(LARGE($KA$67:$KA$79,2),$KA$67:$KA$79,0))</f>
        <v/>
      </c>
      <c r="H15" s="30">
        <f>IF(G15=0,"— Sem meta",IF(C15&gt;=G15,"✓ Meta atingida","Em andamento"))</f>
        <v/>
      </c>
      <c r="KC15" s="13" t="n">
        <v>14</v>
      </c>
      <c r="KD15" s="14">
        <f>IF(14&lt;=$Z$3,DATE(Configurações!$B$3,5,14),"")</f>
        <v/>
      </c>
      <c r="KE15" s="13">
        <f>SUM($DV$67:$DV$79)</f>
        <v/>
      </c>
      <c r="KF15" s="13">
        <f>SUM($DQ$67:$DQ$79)</f>
        <v/>
      </c>
    </row>
    <row r="16" ht="18" customHeight="1">
      <c r="A16" s="31" t="n">
        <v>3</v>
      </c>
      <c r="B16" s="32">
        <f>INDEX($A$67:$A$79,MATCH(LARGE($KA$67:$KA$79,3),$KA$67:$KA$79,0))</f>
        <v/>
      </c>
      <c r="C16" s="33">
        <f>INDEX($JU$67:$JU$79,MATCH(LARGE($KA$67:$KA$79,3),$KA$67:$KA$79,0))</f>
        <v/>
      </c>
      <c r="D16" s="34">
        <f>INDEX($JV$67:$JV$79,MATCH(LARGE($KA$67:$KA$79,3),$KA$67:$KA$79,0))</f>
        <v/>
      </c>
      <c r="E16" s="33">
        <f>INDEX($JW$67:$JW$79,MATCH(LARGE($KA$67:$KA$79,3),$KA$67:$KA$79,0))</f>
        <v/>
      </c>
      <c r="F16" s="33">
        <f>INDEX($JX$67:$JX$79,MATCH(LARGE($KA$67:$KA$79,3),$KA$67:$KA$79,0))</f>
        <v/>
      </c>
      <c r="G16" s="33">
        <f>INDEX($JY$67:$JY$79,MATCH(LARGE($KA$67:$KA$79,3),$KA$67:$KA$79,0))</f>
        <v/>
      </c>
      <c r="H16" s="35">
        <f>IF(G16=0,"— Sem meta",IF(C16&gt;=G16,"✓ Meta atingida","Em andamento"))</f>
        <v/>
      </c>
      <c r="KC16" s="13" t="n">
        <v>15</v>
      </c>
      <c r="KD16" s="14">
        <f>IF(15&lt;=$Z$3,DATE(Configurações!$B$3,5,15),"")</f>
        <v/>
      </c>
      <c r="KE16" s="13">
        <f>SUM($EE$67:$EE$79)</f>
        <v/>
      </c>
      <c r="KF16" s="13">
        <f>SUM($DZ$67:$DZ$79)</f>
        <v/>
      </c>
    </row>
    <row r="17" ht="18" customHeight="1">
      <c r="A17" s="36" t="n">
        <v>4</v>
      </c>
      <c r="B17" s="37">
        <f>INDEX($A$67:$A$79,MATCH(LARGE($KA$67:$KA$79,4),$KA$67:$KA$79,0))</f>
        <v/>
      </c>
      <c r="C17" s="38">
        <f>INDEX($JU$67:$JU$79,MATCH(LARGE($KA$67:$KA$79,4),$KA$67:$KA$79,0))</f>
        <v/>
      </c>
      <c r="D17" s="39">
        <f>INDEX($JV$67:$JV$79,MATCH(LARGE($KA$67:$KA$79,4),$KA$67:$KA$79,0))</f>
        <v/>
      </c>
      <c r="E17" s="38">
        <f>INDEX($JW$67:$JW$79,MATCH(LARGE($KA$67:$KA$79,4),$KA$67:$KA$79,0))</f>
        <v/>
      </c>
      <c r="F17" s="38">
        <f>INDEX($JX$67:$JX$79,MATCH(LARGE($KA$67:$KA$79,4),$KA$67:$KA$79,0))</f>
        <v/>
      </c>
      <c r="G17" s="38">
        <f>INDEX($JY$67:$JY$79,MATCH(LARGE($KA$67:$KA$79,4),$KA$67:$KA$79,0))</f>
        <v/>
      </c>
      <c r="H17" s="40">
        <f>IF(G17=0,"— Sem meta",IF(C17&gt;=G17,"✓ Meta atingida","Em andamento"))</f>
        <v/>
      </c>
      <c r="KC17" s="13" t="n">
        <v>16</v>
      </c>
      <c r="KD17" s="14">
        <f>IF(16&lt;=$Z$3,DATE(Configurações!$B$3,5,16),"")</f>
        <v/>
      </c>
      <c r="KE17" s="13">
        <f>SUM($EN$67:$EN$79)</f>
        <v/>
      </c>
      <c r="KF17" s="13">
        <f>SUM($EI$67:$EI$79)</f>
        <v/>
      </c>
    </row>
    <row r="18" ht="18" customHeight="1">
      <c r="A18" s="36" t="n">
        <v>5</v>
      </c>
      <c r="B18" s="37">
        <f>INDEX($A$67:$A$79,MATCH(LARGE($KA$67:$KA$79,5),$KA$67:$KA$79,0))</f>
        <v/>
      </c>
      <c r="C18" s="38">
        <f>INDEX($JU$67:$JU$79,MATCH(LARGE($KA$67:$KA$79,5),$KA$67:$KA$79,0))</f>
        <v/>
      </c>
      <c r="D18" s="39">
        <f>INDEX($JV$67:$JV$79,MATCH(LARGE($KA$67:$KA$79,5),$KA$67:$KA$79,0))</f>
        <v/>
      </c>
      <c r="E18" s="38">
        <f>INDEX($JW$67:$JW$79,MATCH(LARGE($KA$67:$KA$79,5),$KA$67:$KA$79,0))</f>
        <v/>
      </c>
      <c r="F18" s="38">
        <f>INDEX($JX$67:$JX$79,MATCH(LARGE($KA$67:$KA$79,5),$KA$67:$KA$79,0))</f>
        <v/>
      </c>
      <c r="G18" s="38">
        <f>INDEX($JY$67:$JY$79,MATCH(LARGE($KA$67:$KA$79,5),$KA$67:$KA$79,0))</f>
        <v/>
      </c>
      <c r="H18" s="40">
        <f>IF(G18=0,"— Sem meta",IF(C18&gt;=G18,"✓ Meta atingida","Em andamento"))</f>
        <v/>
      </c>
      <c r="KC18" s="13" t="n">
        <v>17</v>
      </c>
      <c r="KD18" s="14">
        <f>IF(17&lt;=$Z$3,DATE(Configurações!$B$3,5,17),"")</f>
        <v/>
      </c>
      <c r="KE18" s="13">
        <f>SUM($EW$67:$EW$79)</f>
        <v/>
      </c>
      <c r="KF18" s="13">
        <f>SUM($ER$67:$ER$79)</f>
        <v/>
      </c>
    </row>
    <row r="19" ht="18" customHeight="1">
      <c r="A19" s="41" t="n">
        <v>6</v>
      </c>
      <c r="B19" s="42">
        <f>INDEX($A$67:$A$79,MATCH(LARGE($KA$67:$KA$79,6),$KA$67:$KA$79,0))</f>
        <v/>
      </c>
      <c r="C19" s="43">
        <f>INDEX($JU$67:$JU$79,MATCH(LARGE($KA$67:$KA$79,6),$KA$67:$KA$79,0))</f>
        <v/>
      </c>
      <c r="D19" s="44">
        <f>INDEX($JV$67:$JV$79,MATCH(LARGE($KA$67:$KA$79,6),$KA$67:$KA$79,0))</f>
        <v/>
      </c>
      <c r="E19" s="43">
        <f>INDEX($JW$67:$JW$79,MATCH(LARGE($KA$67:$KA$79,6),$KA$67:$KA$79,0))</f>
        <v/>
      </c>
      <c r="F19" s="43">
        <f>INDEX($JX$67:$JX$79,MATCH(LARGE($KA$67:$KA$79,6),$KA$67:$KA$79,0))</f>
        <v/>
      </c>
      <c r="G19" s="43">
        <f>INDEX($JY$67:$JY$79,MATCH(LARGE($KA$67:$KA$79,6),$KA$67:$KA$79,0))</f>
        <v/>
      </c>
      <c r="H19" s="45">
        <f>IF(G19=0,"— Sem meta",IF(C19&gt;=G19,"✓ Meta atingida","Em andamento"))</f>
        <v/>
      </c>
      <c r="KC19" s="13" t="n">
        <v>18</v>
      </c>
      <c r="KD19" s="14">
        <f>IF(18&lt;=$Z$3,DATE(Configurações!$B$3,5,18),"")</f>
        <v/>
      </c>
      <c r="KE19" s="13">
        <f>SUM($FF$67:$FF$79)</f>
        <v/>
      </c>
      <c r="KF19" s="13">
        <f>SUM($FA$67:$FA$79)</f>
        <v/>
      </c>
    </row>
    <row r="20" ht="18" customHeight="1">
      <c r="A20" s="46" t="n">
        <v>7</v>
      </c>
      <c r="B20" s="47">
        <f>INDEX($A$67:$A$79,MATCH(LARGE($KA$67:$KA$79,7),$KA$67:$KA$79,0))</f>
        <v/>
      </c>
      <c r="C20" s="48">
        <f>INDEX($JU$67:$JU$79,MATCH(LARGE($KA$67:$KA$79,7),$KA$67:$KA$79,0))</f>
        <v/>
      </c>
      <c r="D20" s="49">
        <f>INDEX($JV$67:$JV$79,MATCH(LARGE($KA$67:$KA$79,7),$KA$67:$KA$79,0))</f>
        <v/>
      </c>
      <c r="E20" s="48">
        <f>INDEX($JW$67:$JW$79,MATCH(LARGE($KA$67:$KA$79,7),$KA$67:$KA$79,0))</f>
        <v/>
      </c>
      <c r="F20" s="48">
        <f>INDEX($JX$67:$JX$79,MATCH(LARGE($KA$67:$KA$79,7),$KA$67:$KA$79,0))</f>
        <v/>
      </c>
      <c r="G20" s="48">
        <f>INDEX($JY$67:$JY$79,MATCH(LARGE($KA$67:$KA$79,7),$KA$67:$KA$79,0))</f>
        <v/>
      </c>
      <c r="H20" s="50">
        <f>IF(G20=0,"— Sem meta",IF(C20&gt;=G20,"✓ Meta atingida","Em andamento"))</f>
        <v/>
      </c>
      <c r="KC20" s="13" t="n">
        <v>19</v>
      </c>
      <c r="KD20" s="14">
        <f>IF(19&lt;=$Z$3,DATE(Configurações!$B$3,5,19),"")</f>
        <v/>
      </c>
      <c r="KE20" s="13">
        <f>SUM($FO$67:$FO$79)</f>
        <v/>
      </c>
      <c r="KF20" s="13">
        <f>SUM($FJ$67:$FJ$79)</f>
        <v/>
      </c>
    </row>
    <row r="21" ht="18" customHeight="1">
      <c r="A21" s="41" t="n">
        <v>8</v>
      </c>
      <c r="B21" s="42">
        <f>INDEX($A$67:$A$79,MATCH(LARGE($KA$67:$KA$79,8),$KA$67:$KA$79,0))</f>
        <v/>
      </c>
      <c r="C21" s="43">
        <f>INDEX($JU$67:$JU$79,MATCH(LARGE($KA$67:$KA$79,8),$KA$67:$KA$79,0))</f>
        <v/>
      </c>
      <c r="D21" s="44">
        <f>INDEX($JV$67:$JV$79,MATCH(LARGE($KA$67:$KA$79,8),$KA$67:$KA$79,0))</f>
        <v/>
      </c>
      <c r="E21" s="43">
        <f>INDEX($JW$67:$JW$79,MATCH(LARGE($KA$67:$KA$79,8),$KA$67:$KA$79,0))</f>
        <v/>
      </c>
      <c r="F21" s="43">
        <f>INDEX($JX$67:$JX$79,MATCH(LARGE($KA$67:$KA$79,8),$KA$67:$KA$79,0))</f>
        <v/>
      </c>
      <c r="G21" s="43">
        <f>INDEX($JY$67:$JY$79,MATCH(LARGE($KA$67:$KA$79,8),$KA$67:$KA$79,0))</f>
        <v/>
      </c>
      <c r="H21" s="45">
        <f>IF(G21=0,"— Sem meta",IF(C21&gt;=G21,"✓ Meta atingida","Em andamento"))</f>
        <v/>
      </c>
      <c r="KC21" s="13" t="n">
        <v>20</v>
      </c>
      <c r="KD21" s="14">
        <f>IF(20&lt;=$Z$3,DATE(Configurações!$B$3,5,20),"")</f>
        <v/>
      </c>
      <c r="KE21" s="13">
        <f>SUM($FX$67:$FX$79)</f>
        <v/>
      </c>
      <c r="KF21" s="13">
        <f>SUM($FS$67:$FS$79)</f>
        <v/>
      </c>
    </row>
    <row r="22" ht="18" customHeight="1">
      <c r="A22" s="46" t="n">
        <v>9</v>
      </c>
      <c r="B22" s="47">
        <f>INDEX($A$67:$A$79,MATCH(LARGE($KA$67:$KA$79,9),$KA$67:$KA$79,0))</f>
        <v/>
      </c>
      <c r="C22" s="48">
        <f>INDEX($JU$67:$JU$79,MATCH(LARGE($KA$67:$KA$79,9),$KA$67:$KA$79,0))</f>
        <v/>
      </c>
      <c r="D22" s="49">
        <f>INDEX($JV$67:$JV$79,MATCH(LARGE($KA$67:$KA$79,9),$KA$67:$KA$79,0))</f>
        <v/>
      </c>
      <c r="E22" s="48">
        <f>INDEX($JW$67:$JW$79,MATCH(LARGE($KA$67:$KA$79,9),$KA$67:$KA$79,0))</f>
        <v/>
      </c>
      <c r="F22" s="48">
        <f>INDEX($JX$67:$JX$79,MATCH(LARGE($KA$67:$KA$79,9),$KA$67:$KA$79,0))</f>
        <v/>
      </c>
      <c r="G22" s="48">
        <f>INDEX($JY$67:$JY$79,MATCH(LARGE($KA$67:$KA$79,9),$KA$67:$KA$79,0))</f>
        <v/>
      </c>
      <c r="H22" s="50">
        <f>IF(G22=0,"— Sem meta",IF(C22&gt;=G22,"✓ Meta atingida","Em andamento"))</f>
        <v/>
      </c>
      <c r="KC22" s="13" t="n">
        <v>21</v>
      </c>
      <c r="KD22" s="14">
        <f>IF(21&lt;=$Z$3,DATE(Configurações!$B$3,5,21),"")</f>
        <v/>
      </c>
      <c r="KE22" s="13">
        <f>SUM($GG$67:$GG$79)</f>
        <v/>
      </c>
      <c r="KF22" s="13">
        <f>SUM($GB$67:$GB$79)</f>
        <v/>
      </c>
    </row>
    <row r="23" ht="18" customHeight="1">
      <c r="A23" s="41" t="n">
        <v>10</v>
      </c>
      <c r="B23" s="42">
        <f>INDEX($A$67:$A$79,MATCH(LARGE($KA$67:$KA$79,10),$KA$67:$KA$79,0))</f>
        <v/>
      </c>
      <c r="C23" s="43">
        <f>INDEX($JU$67:$JU$79,MATCH(LARGE($KA$67:$KA$79,10),$KA$67:$KA$79,0))</f>
        <v/>
      </c>
      <c r="D23" s="44">
        <f>INDEX($JV$67:$JV$79,MATCH(LARGE($KA$67:$KA$79,10),$KA$67:$KA$79,0))</f>
        <v/>
      </c>
      <c r="E23" s="43">
        <f>INDEX($JW$67:$JW$79,MATCH(LARGE($KA$67:$KA$79,10),$KA$67:$KA$79,0))</f>
        <v/>
      </c>
      <c r="F23" s="43">
        <f>INDEX($JX$67:$JX$79,MATCH(LARGE($KA$67:$KA$79,10),$KA$67:$KA$79,0))</f>
        <v/>
      </c>
      <c r="G23" s="43">
        <f>INDEX($JY$67:$JY$79,MATCH(LARGE($KA$67:$KA$79,10),$KA$67:$KA$79,0))</f>
        <v/>
      </c>
      <c r="H23" s="45">
        <f>IF(G23=0,"— Sem meta",IF(C23&gt;=G23,"✓ Meta atingida","Em andamento"))</f>
        <v/>
      </c>
      <c r="KC23" s="13" t="n">
        <v>22</v>
      </c>
      <c r="KD23" s="14">
        <f>IF(22&lt;=$Z$3,DATE(Configurações!$B$3,5,22),"")</f>
        <v/>
      </c>
      <c r="KE23" s="13">
        <f>SUM($GP$67:$GP$79)</f>
        <v/>
      </c>
      <c r="KF23" s="13">
        <f>SUM($GK$67:$GK$79)</f>
        <v/>
      </c>
    </row>
    <row r="24" ht="18" customHeight="1">
      <c r="A24" s="46" t="n">
        <v>11</v>
      </c>
      <c r="B24" s="47">
        <f>INDEX($A$67:$A$79,MATCH(LARGE($KA$67:$KA$79,11),$KA$67:$KA$79,0))</f>
        <v/>
      </c>
      <c r="C24" s="48">
        <f>INDEX($JU$67:$JU$79,MATCH(LARGE($KA$67:$KA$79,11),$KA$67:$KA$79,0))</f>
        <v/>
      </c>
      <c r="D24" s="49">
        <f>INDEX($JV$67:$JV$79,MATCH(LARGE($KA$67:$KA$79,11),$KA$67:$KA$79,0))</f>
        <v/>
      </c>
      <c r="E24" s="48">
        <f>INDEX($JW$67:$JW$79,MATCH(LARGE($KA$67:$KA$79,11),$KA$67:$KA$79,0))</f>
        <v/>
      </c>
      <c r="F24" s="48">
        <f>INDEX($JX$67:$JX$79,MATCH(LARGE($KA$67:$KA$79,11),$KA$67:$KA$79,0))</f>
        <v/>
      </c>
      <c r="G24" s="48">
        <f>INDEX($JY$67:$JY$79,MATCH(LARGE($KA$67:$KA$79,11),$KA$67:$KA$79,0))</f>
        <v/>
      </c>
      <c r="H24" s="50">
        <f>IF(G24=0,"— Sem meta",IF(C24&gt;=G24,"✓ Meta atingida","Em andamento"))</f>
        <v/>
      </c>
      <c r="KC24" s="13" t="n">
        <v>23</v>
      </c>
      <c r="KD24" s="14">
        <f>IF(23&lt;=$Z$3,DATE(Configurações!$B$3,5,23),"")</f>
        <v/>
      </c>
      <c r="KE24" s="13">
        <f>SUM($GY$67:$GY$79)</f>
        <v/>
      </c>
      <c r="KF24" s="13">
        <f>SUM($GT$67:$GT$79)</f>
        <v/>
      </c>
    </row>
    <row r="25" ht="18" customHeight="1">
      <c r="A25" s="41" t="n">
        <v>12</v>
      </c>
      <c r="B25" s="42">
        <f>INDEX($A$67:$A$79,MATCH(LARGE($KA$67:$KA$79,12),$KA$67:$KA$79,0))</f>
        <v/>
      </c>
      <c r="C25" s="43">
        <f>INDEX($JU$67:$JU$79,MATCH(LARGE($KA$67:$KA$79,12),$KA$67:$KA$79,0))</f>
        <v/>
      </c>
      <c r="D25" s="44">
        <f>INDEX($JV$67:$JV$79,MATCH(LARGE($KA$67:$KA$79,12),$KA$67:$KA$79,0))</f>
        <v/>
      </c>
      <c r="E25" s="43">
        <f>INDEX($JW$67:$JW$79,MATCH(LARGE($KA$67:$KA$79,12),$KA$67:$KA$79,0))</f>
        <v/>
      </c>
      <c r="F25" s="43">
        <f>INDEX($JX$67:$JX$79,MATCH(LARGE($KA$67:$KA$79,12),$KA$67:$KA$79,0))</f>
        <v/>
      </c>
      <c r="G25" s="43">
        <f>INDEX($JY$67:$JY$79,MATCH(LARGE($KA$67:$KA$79,12),$KA$67:$KA$79,0))</f>
        <v/>
      </c>
      <c r="H25" s="45">
        <f>IF(G25=0,"— Sem meta",IF(C25&gt;=G25,"✓ Meta atingida","Em andamento"))</f>
        <v/>
      </c>
      <c r="KC25" s="13" t="n">
        <v>24</v>
      </c>
      <c r="KD25" s="14">
        <f>IF(24&lt;=$Z$3,DATE(Configurações!$B$3,5,24),"")</f>
        <v/>
      </c>
      <c r="KE25" s="13">
        <f>SUM($HH$67:$HH$79)</f>
        <v/>
      </c>
      <c r="KF25" s="13">
        <f>SUM($HC$67:$HC$79)</f>
        <v/>
      </c>
    </row>
    <row r="26" ht="18" customHeight="1">
      <c r="A26" s="46" t="n">
        <v>13</v>
      </c>
      <c r="B26" s="47">
        <f>INDEX($A$67:$A$79,MATCH(LARGE($KA$67:$KA$79,13),$KA$67:$KA$79,0))</f>
        <v/>
      </c>
      <c r="C26" s="48">
        <f>INDEX($JU$67:$JU$79,MATCH(LARGE($KA$67:$KA$79,13),$KA$67:$KA$79,0))</f>
        <v/>
      </c>
      <c r="D26" s="49">
        <f>INDEX($JV$67:$JV$79,MATCH(LARGE($KA$67:$KA$79,13),$KA$67:$KA$79,0))</f>
        <v/>
      </c>
      <c r="E26" s="48">
        <f>INDEX($JW$67:$JW$79,MATCH(LARGE($KA$67:$KA$79,13),$KA$67:$KA$79,0))</f>
        <v/>
      </c>
      <c r="F26" s="48">
        <f>INDEX($JX$67:$JX$79,MATCH(LARGE($KA$67:$KA$79,13),$KA$67:$KA$79,0))</f>
        <v/>
      </c>
      <c r="G26" s="48">
        <f>INDEX($JY$67:$JY$79,MATCH(LARGE($KA$67:$KA$79,13),$KA$67:$KA$79,0))</f>
        <v/>
      </c>
      <c r="H26" s="50">
        <f>IF(G26=0,"— Sem meta",IF(C26&gt;=G26,"✓ Meta atingida","Em andamento"))</f>
        <v/>
      </c>
      <c r="KC26" s="13" t="n">
        <v>25</v>
      </c>
      <c r="KD26" s="14">
        <f>IF(25&lt;=$Z$3,DATE(Configurações!$B$3,5,25),"")</f>
        <v/>
      </c>
      <c r="KE26" s="13">
        <f>SUM($HQ$67:$HQ$79)</f>
        <v/>
      </c>
      <c r="KF26" s="13">
        <f>SUM($HL$67:$HL$79)</f>
        <v/>
      </c>
    </row>
    <row r="27">
      <c r="KC27" s="13" t="n">
        <v>26</v>
      </c>
      <c r="KD27" s="14">
        <f>IF(26&lt;=$Z$3,DATE(Configurações!$B$3,5,26),"")</f>
        <v/>
      </c>
      <c r="KE27" s="13">
        <f>SUM($HZ$67:$HZ$79)</f>
        <v/>
      </c>
      <c r="KF27" s="13">
        <f>SUM($HU$67:$HU$79)</f>
        <v/>
      </c>
    </row>
    <row r="28">
      <c r="KC28" s="13" t="n">
        <v>27</v>
      </c>
      <c r="KD28" s="14">
        <f>IF(27&lt;=$Z$3,DATE(Configurações!$B$3,5,27),"")</f>
        <v/>
      </c>
      <c r="KE28" s="13">
        <f>SUM($II$67:$II$79)</f>
        <v/>
      </c>
      <c r="KF28" s="13">
        <f>SUM($ID$67:$ID$79)</f>
        <v/>
      </c>
    </row>
    <row r="29">
      <c r="KC29" s="13" t="n">
        <v>28</v>
      </c>
      <c r="KD29" s="14">
        <f>IF(28&lt;=$Z$3,DATE(Configurações!$B$3,5,28),"")</f>
        <v/>
      </c>
      <c r="KE29" s="13">
        <f>SUM($IR$67:$IR$79)</f>
        <v/>
      </c>
      <c r="KF29" s="13">
        <f>SUM($IM$67:$IM$79)</f>
        <v/>
      </c>
    </row>
    <row r="30">
      <c r="KC30" s="13" t="n">
        <v>29</v>
      </c>
      <c r="KD30" s="14">
        <f>IF(29&lt;=$Z$3,DATE(Configurações!$B$3,5,29),"")</f>
        <v/>
      </c>
      <c r="KE30" s="13">
        <f>SUM($JA$67:$JA$79)</f>
        <v/>
      </c>
      <c r="KF30" s="13">
        <f>SUM($IV$67:$IV$79)</f>
        <v/>
      </c>
    </row>
    <row r="31">
      <c r="KC31" s="13" t="n">
        <v>30</v>
      </c>
      <c r="KD31" s="14">
        <f>IF(30&lt;=$Z$3,DATE(Configurações!$B$3,5,30),"")</f>
        <v/>
      </c>
      <c r="KE31" s="13">
        <f>SUM($JJ$67:$JJ$79)</f>
        <v/>
      </c>
      <c r="KF31" s="13">
        <f>SUM($JE$67:$JE$79)</f>
        <v/>
      </c>
    </row>
    <row r="32">
      <c r="KC32" s="13" t="n">
        <v>31</v>
      </c>
      <c r="KD32" s="14">
        <f>IF(31&lt;=$Z$3,DATE(Configurações!$B$3,5,31),"")</f>
        <v/>
      </c>
      <c r="KE32" s="13">
        <f>SUM($JS$67:$JS$79)</f>
        <v/>
      </c>
      <c r="KF32" s="13">
        <f>SUM($JN$67:$JN$79)</f>
        <v/>
      </c>
    </row>
    <row r="64" ht="22" customHeight="1">
      <c r="A64" s="51" t="inlineStr">
        <is>
          <t>📋  LANÇAMENTOS DIÁRIOS POR ASSESSOR (role para a direita)</t>
        </is>
      </c>
    </row>
    <row r="65" ht="20" customHeight="1">
      <c r="A65" s="52" t="inlineStr">
        <is>
          <t>Assessor</t>
        </is>
      </c>
      <c r="B65" s="18">
        <f>"Dia 1 — "&amp;IF(1&lt;=$Z$3,TEXT(DATE(Configurações!$B$3,5,1),"dd/mm")&amp;" ("&amp;CHOOSE(WEEKDAY(DATE(Configurações!$B$3,5,1)),"Dom","Seg","Ter","Qua","Qui","Sex","Sáb")&amp;")","—")</f>
        <v/>
      </c>
      <c r="K65" s="18">
        <f>"Dia 2 — "&amp;IF(2&lt;=$Z$3,TEXT(DATE(Configurações!$B$3,5,2),"dd/mm")&amp;" ("&amp;CHOOSE(WEEKDAY(DATE(Configurações!$B$3,5,2)),"Dom","Seg","Ter","Qua","Qui","Sex","Sáb")&amp;")","—")</f>
        <v/>
      </c>
      <c r="T65" s="18">
        <f>"Dia 3 — "&amp;IF(3&lt;=$Z$3,TEXT(DATE(Configurações!$B$3,5,3),"dd/mm")&amp;" ("&amp;CHOOSE(WEEKDAY(DATE(Configurações!$B$3,5,3)),"Dom","Seg","Ter","Qua","Qui","Sex","Sáb")&amp;")","—")</f>
        <v/>
      </c>
      <c r="AC65" s="18">
        <f>"Dia 4 — "&amp;IF(4&lt;=$Z$3,TEXT(DATE(Configurações!$B$3,5,4),"dd/mm")&amp;" ("&amp;CHOOSE(WEEKDAY(DATE(Configurações!$B$3,5,4)),"Dom","Seg","Ter","Qua","Qui","Sex","Sáb")&amp;")","—")</f>
        <v/>
      </c>
      <c r="AL65" s="18">
        <f>"Dia 5 — "&amp;IF(5&lt;=$Z$3,TEXT(DATE(Configurações!$B$3,5,5),"dd/mm")&amp;" ("&amp;CHOOSE(WEEKDAY(DATE(Configurações!$B$3,5,5)),"Dom","Seg","Ter","Qua","Qui","Sex","Sáb")&amp;")","—")</f>
        <v/>
      </c>
      <c r="AU65" s="18">
        <f>"Dia 6 — "&amp;IF(6&lt;=$Z$3,TEXT(DATE(Configurações!$B$3,5,6),"dd/mm")&amp;" ("&amp;CHOOSE(WEEKDAY(DATE(Configurações!$B$3,5,6)),"Dom","Seg","Ter","Qua","Qui","Sex","Sáb")&amp;")","—")</f>
        <v/>
      </c>
      <c r="BD65" s="18">
        <f>"Dia 7 — "&amp;IF(7&lt;=$Z$3,TEXT(DATE(Configurações!$B$3,5,7),"dd/mm")&amp;" ("&amp;CHOOSE(WEEKDAY(DATE(Configurações!$B$3,5,7)),"Dom","Seg","Ter","Qua","Qui","Sex","Sáb")&amp;")","—")</f>
        <v/>
      </c>
      <c r="BM65" s="18">
        <f>"Dia 8 — "&amp;IF(8&lt;=$Z$3,TEXT(DATE(Configurações!$B$3,5,8),"dd/mm")&amp;" ("&amp;CHOOSE(WEEKDAY(DATE(Configurações!$B$3,5,8)),"Dom","Seg","Ter","Qua","Qui","Sex","Sáb")&amp;")","—")</f>
        <v/>
      </c>
      <c r="BV65" s="18">
        <f>"Dia 9 — "&amp;IF(9&lt;=$Z$3,TEXT(DATE(Configurações!$B$3,5,9),"dd/mm")&amp;" ("&amp;CHOOSE(WEEKDAY(DATE(Configurações!$B$3,5,9)),"Dom","Seg","Ter","Qua","Qui","Sex","Sáb")&amp;")","—")</f>
        <v/>
      </c>
      <c r="CE65" s="18">
        <f>"Dia 10 — "&amp;IF(10&lt;=$Z$3,TEXT(DATE(Configurações!$B$3,5,10),"dd/mm")&amp;" ("&amp;CHOOSE(WEEKDAY(DATE(Configurações!$B$3,5,10)),"Dom","Seg","Ter","Qua","Qui","Sex","Sáb")&amp;")","—")</f>
        <v/>
      </c>
      <c r="CN65" s="18">
        <f>"Dia 11 — "&amp;IF(11&lt;=$Z$3,TEXT(DATE(Configurações!$B$3,5,11),"dd/mm")&amp;" ("&amp;CHOOSE(WEEKDAY(DATE(Configurações!$B$3,5,11)),"Dom","Seg","Ter","Qua","Qui","Sex","Sáb")&amp;")","—")</f>
        <v/>
      </c>
      <c r="CW65" s="18">
        <f>"Dia 12 — "&amp;IF(12&lt;=$Z$3,TEXT(DATE(Configurações!$B$3,5,12),"dd/mm")&amp;" ("&amp;CHOOSE(WEEKDAY(DATE(Configurações!$B$3,5,12)),"Dom","Seg","Ter","Qua","Qui","Sex","Sáb")&amp;")","—")</f>
        <v/>
      </c>
      <c r="DF65" s="18">
        <f>"Dia 13 — "&amp;IF(13&lt;=$Z$3,TEXT(DATE(Configurações!$B$3,5,13),"dd/mm")&amp;" ("&amp;CHOOSE(WEEKDAY(DATE(Configurações!$B$3,5,13)),"Dom","Seg","Ter","Qua","Qui","Sex","Sáb")&amp;")","—")</f>
        <v/>
      </c>
      <c r="DO65" s="18">
        <f>"Dia 14 — "&amp;IF(14&lt;=$Z$3,TEXT(DATE(Configurações!$B$3,5,14),"dd/mm")&amp;" ("&amp;CHOOSE(WEEKDAY(DATE(Configurações!$B$3,5,14)),"Dom","Seg","Ter","Qua","Qui","Sex","Sáb")&amp;")","—")</f>
        <v/>
      </c>
      <c r="DX65" s="18">
        <f>"Dia 15 — "&amp;IF(15&lt;=$Z$3,TEXT(DATE(Configurações!$B$3,5,15),"dd/mm")&amp;" ("&amp;CHOOSE(WEEKDAY(DATE(Configurações!$B$3,5,15)),"Dom","Seg","Ter","Qua","Qui","Sex","Sáb")&amp;")","—")</f>
        <v/>
      </c>
      <c r="EG65" s="18">
        <f>"Dia 16 — "&amp;IF(16&lt;=$Z$3,TEXT(DATE(Configurações!$B$3,5,16),"dd/mm")&amp;" ("&amp;CHOOSE(WEEKDAY(DATE(Configurações!$B$3,5,16)),"Dom","Seg","Ter","Qua","Qui","Sex","Sáb")&amp;")","—")</f>
        <v/>
      </c>
      <c r="EP65" s="18">
        <f>"Dia 17 — "&amp;IF(17&lt;=$Z$3,TEXT(DATE(Configurações!$B$3,5,17),"dd/mm")&amp;" ("&amp;CHOOSE(WEEKDAY(DATE(Configurações!$B$3,5,17)),"Dom","Seg","Ter","Qua","Qui","Sex","Sáb")&amp;")","—")</f>
        <v/>
      </c>
      <c r="EY65" s="18">
        <f>"Dia 18 — "&amp;IF(18&lt;=$Z$3,TEXT(DATE(Configurações!$B$3,5,18),"dd/mm")&amp;" ("&amp;CHOOSE(WEEKDAY(DATE(Configurações!$B$3,5,18)),"Dom","Seg","Ter","Qua","Qui","Sex","Sáb")&amp;")","—")</f>
        <v/>
      </c>
      <c r="FH65" s="18">
        <f>"Dia 19 — "&amp;IF(19&lt;=$Z$3,TEXT(DATE(Configurações!$B$3,5,19),"dd/mm")&amp;" ("&amp;CHOOSE(WEEKDAY(DATE(Configurações!$B$3,5,19)),"Dom","Seg","Ter","Qua","Qui","Sex","Sáb")&amp;")","—")</f>
        <v/>
      </c>
      <c r="FQ65" s="18">
        <f>"Dia 20 — "&amp;IF(20&lt;=$Z$3,TEXT(DATE(Configurações!$B$3,5,20),"dd/mm")&amp;" ("&amp;CHOOSE(WEEKDAY(DATE(Configurações!$B$3,5,20)),"Dom","Seg","Ter","Qua","Qui","Sex","Sáb")&amp;")","—")</f>
        <v/>
      </c>
      <c r="FZ65" s="18">
        <f>"Dia 21 — "&amp;IF(21&lt;=$Z$3,TEXT(DATE(Configurações!$B$3,5,21),"dd/mm")&amp;" ("&amp;CHOOSE(WEEKDAY(DATE(Configurações!$B$3,5,21)),"Dom","Seg","Ter","Qua","Qui","Sex","Sáb")&amp;")","—")</f>
        <v/>
      </c>
      <c r="GI65" s="18">
        <f>"Dia 22 — "&amp;IF(22&lt;=$Z$3,TEXT(DATE(Configurações!$B$3,5,22),"dd/mm")&amp;" ("&amp;CHOOSE(WEEKDAY(DATE(Configurações!$B$3,5,22)),"Dom","Seg","Ter","Qua","Qui","Sex","Sáb")&amp;")","—")</f>
        <v/>
      </c>
      <c r="GR65" s="18">
        <f>"Dia 23 — "&amp;IF(23&lt;=$Z$3,TEXT(DATE(Configurações!$B$3,5,23),"dd/mm")&amp;" ("&amp;CHOOSE(WEEKDAY(DATE(Configurações!$B$3,5,23)),"Dom","Seg","Ter","Qua","Qui","Sex","Sáb")&amp;")","—")</f>
        <v/>
      </c>
      <c r="HA65" s="18">
        <f>"Dia 24 — "&amp;IF(24&lt;=$Z$3,TEXT(DATE(Configurações!$B$3,5,24),"dd/mm")&amp;" ("&amp;CHOOSE(WEEKDAY(DATE(Configurações!$B$3,5,24)),"Dom","Seg","Ter","Qua","Qui","Sex","Sáb")&amp;")","—")</f>
        <v/>
      </c>
      <c r="HJ65" s="18">
        <f>"Dia 25 — "&amp;IF(25&lt;=$Z$3,TEXT(DATE(Configurações!$B$3,5,25),"dd/mm")&amp;" ("&amp;CHOOSE(WEEKDAY(DATE(Configurações!$B$3,5,25)),"Dom","Seg","Ter","Qua","Qui","Sex","Sáb")&amp;")","—")</f>
        <v/>
      </c>
      <c r="HS65" s="18">
        <f>"Dia 26 — "&amp;IF(26&lt;=$Z$3,TEXT(DATE(Configurações!$B$3,5,26),"dd/mm")&amp;" ("&amp;CHOOSE(WEEKDAY(DATE(Configurações!$B$3,5,26)),"Dom","Seg","Ter","Qua","Qui","Sex","Sáb")&amp;")","—")</f>
        <v/>
      </c>
      <c r="IB65" s="18">
        <f>"Dia 27 — "&amp;IF(27&lt;=$Z$3,TEXT(DATE(Configurações!$B$3,5,27),"dd/mm")&amp;" ("&amp;CHOOSE(WEEKDAY(DATE(Configurações!$B$3,5,27)),"Dom","Seg","Ter","Qua","Qui","Sex","Sáb")&amp;")","—")</f>
        <v/>
      </c>
      <c r="IK65" s="18">
        <f>"Dia 28 — "&amp;IF(28&lt;=$Z$3,TEXT(DATE(Configurações!$B$3,5,28),"dd/mm")&amp;" ("&amp;CHOOSE(WEEKDAY(DATE(Configurações!$B$3,5,28)),"Dom","Seg","Ter","Qua","Qui","Sex","Sáb")&amp;")","—")</f>
        <v/>
      </c>
      <c r="IT65" s="18">
        <f>"Dia 29 — "&amp;IF(29&lt;=$Z$3,TEXT(DATE(Configurações!$B$3,5,29),"dd/mm")&amp;" ("&amp;CHOOSE(WEEKDAY(DATE(Configurações!$B$3,5,29)),"Dom","Seg","Ter","Qua","Qui","Sex","Sáb")&amp;")","—")</f>
        <v/>
      </c>
      <c r="JC65" s="18">
        <f>"Dia 30 — "&amp;IF(30&lt;=$Z$3,TEXT(DATE(Configurações!$B$3,5,30),"dd/mm")&amp;" ("&amp;CHOOSE(WEEKDAY(DATE(Configurações!$B$3,5,30)),"Dom","Seg","Ter","Qua","Qui","Sex","Sáb")&amp;")","—")</f>
        <v/>
      </c>
      <c r="JL65" s="18">
        <f>"Dia 31 — "&amp;IF(31&lt;=$Z$3,TEXT(DATE(Configurações!$B$3,5,31),"dd/mm")&amp;" ("&amp;CHOOSE(WEEKDAY(DATE(Configurações!$B$3,5,31)),"Dom","Seg","Ter","Qua","Qui","Sex","Sáb")&amp;")","—")</f>
        <v/>
      </c>
      <c r="JU65" s="53" t="inlineStr">
        <is>
          <t>Produção Total (Mês)</t>
        </is>
      </c>
      <c r="JV65" s="53" t="inlineStr">
        <is>
          <t>Captação Líquida (Mês)</t>
        </is>
      </c>
      <c r="JW65" s="53" t="inlineStr">
        <is>
          <t>Saldo Pulso Atual</t>
        </is>
      </c>
      <c r="JX65" s="53" t="inlineStr">
        <is>
          <t>Média Diária</t>
        </is>
      </c>
      <c r="JY65" s="53" t="inlineStr">
        <is>
          <t>Meta Mensal</t>
        </is>
      </c>
      <c r="JZ65" s="53" t="inlineStr">
        <is>
          <t>Status Meta</t>
        </is>
      </c>
      <c r="KA65" s="53" t="inlineStr"/>
    </row>
    <row r="66" ht="26" customHeight="1">
      <c r="B66" s="54" t="inlineStr">
        <is>
          <t>Saldo Pulso</t>
        </is>
      </c>
      <c r="C66" s="54" t="inlineStr">
        <is>
          <t>Saldo Anterior</t>
        </is>
      </c>
      <c r="D66" s="54" t="inlineStr">
        <is>
          <t>Captação Líq.</t>
        </is>
      </c>
      <c r="E66" s="54" t="inlineStr">
        <is>
          <t>COE</t>
        </is>
      </c>
      <c r="F66" s="54" t="inlineStr">
        <is>
          <t>Previdência</t>
        </is>
      </c>
      <c r="G66" s="54" t="inlineStr">
        <is>
          <t>Créd. Privado</t>
        </is>
      </c>
      <c r="H66" s="54" t="inlineStr">
        <is>
          <t>Tít. Públicos</t>
        </is>
      </c>
      <c r="I66" s="54" t="inlineStr">
        <is>
          <t>Produção Tot.</t>
        </is>
      </c>
      <c r="J66" s="54" t="inlineStr">
        <is>
          <t>Obs.</t>
        </is>
      </c>
      <c r="K66" s="54" t="inlineStr">
        <is>
          <t>Saldo Pulso</t>
        </is>
      </c>
      <c r="L66" s="54" t="inlineStr">
        <is>
          <t>Saldo Anterior</t>
        </is>
      </c>
      <c r="M66" s="54" t="inlineStr">
        <is>
          <t>Captação Líq.</t>
        </is>
      </c>
      <c r="N66" s="54" t="inlineStr">
        <is>
          <t>COE</t>
        </is>
      </c>
      <c r="O66" s="54" t="inlineStr">
        <is>
          <t>Previdência</t>
        </is>
      </c>
      <c r="P66" s="54" t="inlineStr">
        <is>
          <t>Créd. Privado</t>
        </is>
      </c>
      <c r="Q66" s="54" t="inlineStr">
        <is>
          <t>Tít. Públicos</t>
        </is>
      </c>
      <c r="R66" s="54" t="inlineStr">
        <is>
          <t>Produção Tot.</t>
        </is>
      </c>
      <c r="S66" s="54" t="inlineStr">
        <is>
          <t>Obs.</t>
        </is>
      </c>
      <c r="T66" s="54" t="inlineStr">
        <is>
          <t>Saldo Pulso</t>
        </is>
      </c>
      <c r="U66" s="54" t="inlineStr">
        <is>
          <t>Saldo Anterior</t>
        </is>
      </c>
      <c r="V66" s="54" t="inlineStr">
        <is>
          <t>Captação Líq.</t>
        </is>
      </c>
      <c r="W66" s="54" t="inlineStr">
        <is>
          <t>COE</t>
        </is>
      </c>
      <c r="X66" s="54" t="inlineStr">
        <is>
          <t>Previdência</t>
        </is>
      </c>
      <c r="Y66" s="54" t="inlineStr">
        <is>
          <t>Créd. Privado</t>
        </is>
      </c>
      <c r="Z66" s="54" t="inlineStr">
        <is>
          <t>Tít. Públicos</t>
        </is>
      </c>
      <c r="AA66" s="54" t="inlineStr">
        <is>
          <t>Produção Tot.</t>
        </is>
      </c>
      <c r="AB66" s="54" t="inlineStr">
        <is>
          <t>Obs.</t>
        </is>
      </c>
      <c r="AC66" s="54" t="inlineStr">
        <is>
          <t>Saldo Pulso</t>
        </is>
      </c>
      <c r="AD66" s="54" t="inlineStr">
        <is>
          <t>Saldo Anterior</t>
        </is>
      </c>
      <c r="AE66" s="54" t="inlineStr">
        <is>
          <t>Captação Líq.</t>
        </is>
      </c>
      <c r="AF66" s="54" t="inlineStr">
        <is>
          <t>COE</t>
        </is>
      </c>
      <c r="AG66" s="54" t="inlineStr">
        <is>
          <t>Previdência</t>
        </is>
      </c>
      <c r="AH66" s="54" t="inlineStr">
        <is>
          <t>Créd. Privado</t>
        </is>
      </c>
      <c r="AI66" s="54" t="inlineStr">
        <is>
          <t>Tít. Públicos</t>
        </is>
      </c>
      <c r="AJ66" s="54" t="inlineStr">
        <is>
          <t>Produção Tot.</t>
        </is>
      </c>
      <c r="AK66" s="54" t="inlineStr">
        <is>
          <t>Obs.</t>
        </is>
      </c>
      <c r="AL66" s="54" t="inlineStr">
        <is>
          <t>Saldo Pulso</t>
        </is>
      </c>
      <c r="AM66" s="54" t="inlineStr">
        <is>
          <t>Saldo Anterior</t>
        </is>
      </c>
      <c r="AN66" s="54" t="inlineStr">
        <is>
          <t>Captação Líq.</t>
        </is>
      </c>
      <c r="AO66" s="54" t="inlineStr">
        <is>
          <t>COE</t>
        </is>
      </c>
      <c r="AP66" s="54" t="inlineStr">
        <is>
          <t>Previdência</t>
        </is>
      </c>
      <c r="AQ66" s="54" t="inlineStr">
        <is>
          <t>Créd. Privado</t>
        </is>
      </c>
      <c r="AR66" s="54" t="inlineStr">
        <is>
          <t>Tít. Públicos</t>
        </is>
      </c>
      <c r="AS66" s="54" t="inlineStr">
        <is>
          <t>Produção Tot.</t>
        </is>
      </c>
      <c r="AT66" s="54" t="inlineStr">
        <is>
          <t>Obs.</t>
        </is>
      </c>
      <c r="AU66" s="54" t="inlineStr">
        <is>
          <t>Saldo Pulso</t>
        </is>
      </c>
      <c r="AV66" s="54" t="inlineStr">
        <is>
          <t>Saldo Anterior</t>
        </is>
      </c>
      <c r="AW66" s="54" t="inlineStr">
        <is>
          <t>Captação Líq.</t>
        </is>
      </c>
      <c r="AX66" s="54" t="inlineStr">
        <is>
          <t>COE</t>
        </is>
      </c>
      <c r="AY66" s="54" t="inlineStr">
        <is>
          <t>Previdência</t>
        </is>
      </c>
      <c r="AZ66" s="54" t="inlineStr">
        <is>
          <t>Créd. Privado</t>
        </is>
      </c>
      <c r="BA66" s="54" t="inlineStr">
        <is>
          <t>Tít. Públicos</t>
        </is>
      </c>
      <c r="BB66" s="54" t="inlineStr">
        <is>
          <t>Produção Tot.</t>
        </is>
      </c>
      <c r="BC66" s="54" t="inlineStr">
        <is>
          <t>Obs.</t>
        </is>
      </c>
      <c r="BD66" s="54" t="inlineStr">
        <is>
          <t>Saldo Pulso</t>
        </is>
      </c>
      <c r="BE66" s="54" t="inlineStr">
        <is>
          <t>Saldo Anterior</t>
        </is>
      </c>
      <c r="BF66" s="54" t="inlineStr">
        <is>
          <t>Captação Líq.</t>
        </is>
      </c>
      <c r="BG66" s="54" t="inlineStr">
        <is>
          <t>COE</t>
        </is>
      </c>
      <c r="BH66" s="54" t="inlineStr">
        <is>
          <t>Previdência</t>
        </is>
      </c>
      <c r="BI66" s="54" t="inlineStr">
        <is>
          <t>Créd. Privado</t>
        </is>
      </c>
      <c r="BJ66" s="54" t="inlineStr">
        <is>
          <t>Tít. Públicos</t>
        </is>
      </c>
      <c r="BK66" s="54" t="inlineStr">
        <is>
          <t>Produção Tot.</t>
        </is>
      </c>
      <c r="BL66" s="54" t="inlineStr">
        <is>
          <t>Obs.</t>
        </is>
      </c>
      <c r="BM66" s="54" t="inlineStr">
        <is>
          <t>Saldo Pulso</t>
        </is>
      </c>
      <c r="BN66" s="54" t="inlineStr">
        <is>
          <t>Saldo Anterior</t>
        </is>
      </c>
      <c r="BO66" s="54" t="inlineStr">
        <is>
          <t>Captação Líq.</t>
        </is>
      </c>
      <c r="BP66" s="54" t="inlineStr">
        <is>
          <t>COE</t>
        </is>
      </c>
      <c r="BQ66" s="54" t="inlineStr">
        <is>
          <t>Previdência</t>
        </is>
      </c>
      <c r="BR66" s="54" t="inlineStr">
        <is>
          <t>Créd. Privado</t>
        </is>
      </c>
      <c r="BS66" s="54" t="inlineStr">
        <is>
          <t>Tít. Públicos</t>
        </is>
      </c>
      <c r="BT66" s="54" t="inlineStr">
        <is>
          <t>Produção Tot.</t>
        </is>
      </c>
      <c r="BU66" s="54" t="inlineStr">
        <is>
          <t>Obs.</t>
        </is>
      </c>
      <c r="BV66" s="54" t="inlineStr">
        <is>
          <t>Saldo Pulso</t>
        </is>
      </c>
      <c r="BW66" s="54" t="inlineStr">
        <is>
          <t>Saldo Anterior</t>
        </is>
      </c>
      <c r="BX66" s="54" t="inlineStr">
        <is>
          <t>Captação Líq.</t>
        </is>
      </c>
      <c r="BY66" s="54" t="inlineStr">
        <is>
          <t>COE</t>
        </is>
      </c>
      <c r="BZ66" s="54" t="inlineStr">
        <is>
          <t>Previdência</t>
        </is>
      </c>
      <c r="CA66" s="54" t="inlineStr">
        <is>
          <t>Créd. Privado</t>
        </is>
      </c>
      <c r="CB66" s="54" t="inlineStr">
        <is>
          <t>Tít. Públicos</t>
        </is>
      </c>
      <c r="CC66" s="54" t="inlineStr">
        <is>
          <t>Produção Tot.</t>
        </is>
      </c>
      <c r="CD66" s="54" t="inlineStr">
        <is>
          <t>Obs.</t>
        </is>
      </c>
      <c r="CE66" s="54" t="inlineStr">
        <is>
          <t>Saldo Pulso</t>
        </is>
      </c>
      <c r="CF66" s="54" t="inlineStr">
        <is>
          <t>Saldo Anterior</t>
        </is>
      </c>
      <c r="CG66" s="54" t="inlineStr">
        <is>
          <t>Captação Líq.</t>
        </is>
      </c>
      <c r="CH66" s="54" t="inlineStr">
        <is>
          <t>COE</t>
        </is>
      </c>
      <c r="CI66" s="54" t="inlineStr">
        <is>
          <t>Previdência</t>
        </is>
      </c>
      <c r="CJ66" s="54" t="inlineStr">
        <is>
          <t>Créd. Privado</t>
        </is>
      </c>
      <c r="CK66" s="54" t="inlineStr">
        <is>
          <t>Tít. Públicos</t>
        </is>
      </c>
      <c r="CL66" s="54" t="inlineStr">
        <is>
          <t>Produção Tot.</t>
        </is>
      </c>
      <c r="CM66" s="54" t="inlineStr">
        <is>
          <t>Obs.</t>
        </is>
      </c>
      <c r="CN66" s="54" t="inlineStr">
        <is>
          <t>Saldo Pulso</t>
        </is>
      </c>
      <c r="CO66" s="54" t="inlineStr">
        <is>
          <t>Saldo Anterior</t>
        </is>
      </c>
      <c r="CP66" s="54" t="inlineStr">
        <is>
          <t>Captação Líq.</t>
        </is>
      </c>
      <c r="CQ66" s="54" t="inlineStr">
        <is>
          <t>COE</t>
        </is>
      </c>
      <c r="CR66" s="54" t="inlineStr">
        <is>
          <t>Previdência</t>
        </is>
      </c>
      <c r="CS66" s="54" t="inlineStr">
        <is>
          <t>Créd. Privado</t>
        </is>
      </c>
      <c r="CT66" s="54" t="inlineStr">
        <is>
          <t>Tít. Públicos</t>
        </is>
      </c>
      <c r="CU66" s="54" t="inlineStr">
        <is>
          <t>Produção Tot.</t>
        </is>
      </c>
      <c r="CV66" s="54" t="inlineStr">
        <is>
          <t>Obs.</t>
        </is>
      </c>
      <c r="CW66" s="54" t="inlineStr">
        <is>
          <t>Saldo Pulso</t>
        </is>
      </c>
      <c r="CX66" s="54" t="inlineStr">
        <is>
          <t>Saldo Anterior</t>
        </is>
      </c>
      <c r="CY66" s="54" t="inlineStr">
        <is>
          <t>Captação Líq.</t>
        </is>
      </c>
      <c r="CZ66" s="54" t="inlineStr">
        <is>
          <t>COE</t>
        </is>
      </c>
      <c r="DA66" s="54" t="inlineStr">
        <is>
          <t>Previdência</t>
        </is>
      </c>
      <c r="DB66" s="54" t="inlineStr">
        <is>
          <t>Créd. Privado</t>
        </is>
      </c>
      <c r="DC66" s="54" t="inlineStr">
        <is>
          <t>Tít. Públicos</t>
        </is>
      </c>
      <c r="DD66" s="54" t="inlineStr">
        <is>
          <t>Produção Tot.</t>
        </is>
      </c>
      <c r="DE66" s="54" t="inlineStr">
        <is>
          <t>Obs.</t>
        </is>
      </c>
      <c r="DF66" s="54" t="inlineStr">
        <is>
          <t>Saldo Pulso</t>
        </is>
      </c>
      <c r="DG66" s="54" t="inlineStr">
        <is>
          <t>Saldo Anterior</t>
        </is>
      </c>
      <c r="DH66" s="54" t="inlineStr">
        <is>
          <t>Captação Líq.</t>
        </is>
      </c>
      <c r="DI66" s="54" t="inlineStr">
        <is>
          <t>COE</t>
        </is>
      </c>
      <c r="DJ66" s="54" t="inlineStr">
        <is>
          <t>Previdência</t>
        </is>
      </c>
      <c r="DK66" s="54" t="inlineStr">
        <is>
          <t>Créd. Privado</t>
        </is>
      </c>
      <c r="DL66" s="54" t="inlineStr">
        <is>
          <t>Tít. Públicos</t>
        </is>
      </c>
      <c r="DM66" s="54" t="inlineStr">
        <is>
          <t>Produção Tot.</t>
        </is>
      </c>
      <c r="DN66" s="54" t="inlineStr">
        <is>
          <t>Obs.</t>
        </is>
      </c>
      <c r="DO66" s="54" t="inlineStr">
        <is>
          <t>Saldo Pulso</t>
        </is>
      </c>
      <c r="DP66" s="54" t="inlineStr">
        <is>
          <t>Saldo Anterior</t>
        </is>
      </c>
      <c r="DQ66" s="54" t="inlineStr">
        <is>
          <t>Captação Líq.</t>
        </is>
      </c>
      <c r="DR66" s="54" t="inlineStr">
        <is>
          <t>COE</t>
        </is>
      </c>
      <c r="DS66" s="54" t="inlineStr">
        <is>
          <t>Previdência</t>
        </is>
      </c>
      <c r="DT66" s="54" t="inlineStr">
        <is>
          <t>Créd. Privado</t>
        </is>
      </c>
      <c r="DU66" s="54" t="inlineStr">
        <is>
          <t>Tít. Públicos</t>
        </is>
      </c>
      <c r="DV66" s="54" t="inlineStr">
        <is>
          <t>Produção Tot.</t>
        </is>
      </c>
      <c r="DW66" s="54" t="inlineStr">
        <is>
          <t>Obs.</t>
        </is>
      </c>
      <c r="DX66" s="54" t="inlineStr">
        <is>
          <t>Saldo Pulso</t>
        </is>
      </c>
      <c r="DY66" s="54" t="inlineStr">
        <is>
          <t>Saldo Anterior</t>
        </is>
      </c>
      <c r="DZ66" s="54" t="inlineStr">
        <is>
          <t>Captação Líq.</t>
        </is>
      </c>
      <c r="EA66" s="54" t="inlineStr">
        <is>
          <t>COE</t>
        </is>
      </c>
      <c r="EB66" s="54" t="inlineStr">
        <is>
          <t>Previdência</t>
        </is>
      </c>
      <c r="EC66" s="54" t="inlineStr">
        <is>
          <t>Créd. Privado</t>
        </is>
      </c>
      <c r="ED66" s="54" t="inlineStr">
        <is>
          <t>Tít. Públicos</t>
        </is>
      </c>
      <c r="EE66" s="54" t="inlineStr">
        <is>
          <t>Produção Tot.</t>
        </is>
      </c>
      <c r="EF66" s="54" t="inlineStr">
        <is>
          <t>Obs.</t>
        </is>
      </c>
      <c r="EG66" s="54" t="inlineStr">
        <is>
          <t>Saldo Pulso</t>
        </is>
      </c>
      <c r="EH66" s="54" t="inlineStr">
        <is>
          <t>Saldo Anterior</t>
        </is>
      </c>
      <c r="EI66" s="54" t="inlineStr">
        <is>
          <t>Captação Líq.</t>
        </is>
      </c>
      <c r="EJ66" s="54" t="inlineStr">
        <is>
          <t>COE</t>
        </is>
      </c>
      <c r="EK66" s="54" t="inlineStr">
        <is>
          <t>Previdência</t>
        </is>
      </c>
      <c r="EL66" s="54" t="inlineStr">
        <is>
          <t>Créd. Privado</t>
        </is>
      </c>
      <c r="EM66" s="54" t="inlineStr">
        <is>
          <t>Tít. Públicos</t>
        </is>
      </c>
      <c r="EN66" s="54" t="inlineStr">
        <is>
          <t>Produção Tot.</t>
        </is>
      </c>
      <c r="EO66" s="54" t="inlineStr">
        <is>
          <t>Obs.</t>
        </is>
      </c>
      <c r="EP66" s="54" t="inlineStr">
        <is>
          <t>Saldo Pulso</t>
        </is>
      </c>
      <c r="EQ66" s="54" t="inlineStr">
        <is>
          <t>Saldo Anterior</t>
        </is>
      </c>
      <c r="ER66" s="54" t="inlineStr">
        <is>
          <t>Captação Líq.</t>
        </is>
      </c>
      <c r="ES66" s="54" t="inlineStr">
        <is>
          <t>COE</t>
        </is>
      </c>
      <c r="ET66" s="54" t="inlineStr">
        <is>
          <t>Previdência</t>
        </is>
      </c>
      <c r="EU66" s="54" t="inlineStr">
        <is>
          <t>Créd. Privado</t>
        </is>
      </c>
      <c r="EV66" s="54" t="inlineStr">
        <is>
          <t>Tít. Públicos</t>
        </is>
      </c>
      <c r="EW66" s="54" t="inlineStr">
        <is>
          <t>Produção Tot.</t>
        </is>
      </c>
      <c r="EX66" s="54" t="inlineStr">
        <is>
          <t>Obs.</t>
        </is>
      </c>
      <c r="EY66" s="54" t="inlineStr">
        <is>
          <t>Saldo Pulso</t>
        </is>
      </c>
      <c r="EZ66" s="54" t="inlineStr">
        <is>
          <t>Saldo Anterior</t>
        </is>
      </c>
      <c r="FA66" s="54" t="inlineStr">
        <is>
          <t>Captação Líq.</t>
        </is>
      </c>
      <c r="FB66" s="54" t="inlineStr">
        <is>
          <t>COE</t>
        </is>
      </c>
      <c r="FC66" s="54" t="inlineStr">
        <is>
          <t>Previdência</t>
        </is>
      </c>
      <c r="FD66" s="54" t="inlineStr">
        <is>
          <t>Créd. Privado</t>
        </is>
      </c>
      <c r="FE66" s="54" t="inlineStr">
        <is>
          <t>Tít. Públicos</t>
        </is>
      </c>
      <c r="FF66" s="54" t="inlineStr">
        <is>
          <t>Produção Tot.</t>
        </is>
      </c>
      <c r="FG66" s="54" t="inlineStr">
        <is>
          <t>Obs.</t>
        </is>
      </c>
      <c r="FH66" s="54" t="inlineStr">
        <is>
          <t>Saldo Pulso</t>
        </is>
      </c>
      <c r="FI66" s="54" t="inlineStr">
        <is>
          <t>Saldo Anterior</t>
        </is>
      </c>
      <c r="FJ66" s="54" t="inlineStr">
        <is>
          <t>Captação Líq.</t>
        </is>
      </c>
      <c r="FK66" s="54" t="inlineStr">
        <is>
          <t>COE</t>
        </is>
      </c>
      <c r="FL66" s="54" t="inlineStr">
        <is>
          <t>Previdência</t>
        </is>
      </c>
      <c r="FM66" s="54" t="inlineStr">
        <is>
          <t>Créd. Privado</t>
        </is>
      </c>
      <c r="FN66" s="54" t="inlineStr">
        <is>
          <t>Tít. Públicos</t>
        </is>
      </c>
      <c r="FO66" s="54" t="inlineStr">
        <is>
          <t>Produção Tot.</t>
        </is>
      </c>
      <c r="FP66" s="54" t="inlineStr">
        <is>
          <t>Obs.</t>
        </is>
      </c>
      <c r="FQ66" s="54" t="inlineStr">
        <is>
          <t>Saldo Pulso</t>
        </is>
      </c>
      <c r="FR66" s="54" t="inlineStr">
        <is>
          <t>Saldo Anterior</t>
        </is>
      </c>
      <c r="FS66" s="54" t="inlineStr">
        <is>
          <t>Captação Líq.</t>
        </is>
      </c>
      <c r="FT66" s="54" t="inlineStr">
        <is>
          <t>COE</t>
        </is>
      </c>
      <c r="FU66" s="54" t="inlineStr">
        <is>
          <t>Previdência</t>
        </is>
      </c>
      <c r="FV66" s="54" t="inlineStr">
        <is>
          <t>Créd. Privado</t>
        </is>
      </c>
      <c r="FW66" s="54" t="inlineStr">
        <is>
          <t>Tít. Públicos</t>
        </is>
      </c>
      <c r="FX66" s="54" t="inlineStr">
        <is>
          <t>Produção Tot.</t>
        </is>
      </c>
      <c r="FY66" s="54" t="inlineStr">
        <is>
          <t>Obs.</t>
        </is>
      </c>
      <c r="FZ66" s="54" t="inlineStr">
        <is>
          <t>Saldo Pulso</t>
        </is>
      </c>
      <c r="GA66" s="54" t="inlineStr">
        <is>
          <t>Saldo Anterior</t>
        </is>
      </c>
      <c r="GB66" s="54" t="inlineStr">
        <is>
          <t>Captação Líq.</t>
        </is>
      </c>
      <c r="GC66" s="54" t="inlineStr">
        <is>
          <t>COE</t>
        </is>
      </c>
      <c r="GD66" s="54" t="inlineStr">
        <is>
          <t>Previdência</t>
        </is>
      </c>
      <c r="GE66" s="54" t="inlineStr">
        <is>
          <t>Créd. Privado</t>
        </is>
      </c>
      <c r="GF66" s="54" t="inlineStr">
        <is>
          <t>Tít. Públicos</t>
        </is>
      </c>
      <c r="GG66" s="54" t="inlineStr">
        <is>
          <t>Produção Tot.</t>
        </is>
      </c>
      <c r="GH66" s="54" t="inlineStr">
        <is>
          <t>Obs.</t>
        </is>
      </c>
      <c r="GI66" s="54" t="inlineStr">
        <is>
          <t>Saldo Pulso</t>
        </is>
      </c>
      <c r="GJ66" s="54" t="inlineStr">
        <is>
          <t>Saldo Anterior</t>
        </is>
      </c>
      <c r="GK66" s="54" t="inlineStr">
        <is>
          <t>Captação Líq.</t>
        </is>
      </c>
      <c r="GL66" s="54" t="inlineStr">
        <is>
          <t>COE</t>
        </is>
      </c>
      <c r="GM66" s="54" t="inlineStr">
        <is>
          <t>Previdência</t>
        </is>
      </c>
      <c r="GN66" s="54" t="inlineStr">
        <is>
          <t>Créd. Privado</t>
        </is>
      </c>
      <c r="GO66" s="54" t="inlineStr">
        <is>
          <t>Tít. Públicos</t>
        </is>
      </c>
      <c r="GP66" s="54" t="inlineStr">
        <is>
          <t>Produção Tot.</t>
        </is>
      </c>
      <c r="GQ66" s="54" t="inlineStr">
        <is>
          <t>Obs.</t>
        </is>
      </c>
      <c r="GR66" s="54" t="inlineStr">
        <is>
          <t>Saldo Pulso</t>
        </is>
      </c>
      <c r="GS66" s="54" t="inlineStr">
        <is>
          <t>Saldo Anterior</t>
        </is>
      </c>
      <c r="GT66" s="54" t="inlineStr">
        <is>
          <t>Captação Líq.</t>
        </is>
      </c>
      <c r="GU66" s="54" t="inlineStr">
        <is>
          <t>COE</t>
        </is>
      </c>
      <c r="GV66" s="54" t="inlineStr">
        <is>
          <t>Previdência</t>
        </is>
      </c>
      <c r="GW66" s="54" t="inlineStr">
        <is>
          <t>Créd. Privado</t>
        </is>
      </c>
      <c r="GX66" s="54" t="inlineStr">
        <is>
          <t>Tít. Públicos</t>
        </is>
      </c>
      <c r="GY66" s="54" t="inlineStr">
        <is>
          <t>Produção Tot.</t>
        </is>
      </c>
      <c r="GZ66" s="54" t="inlineStr">
        <is>
          <t>Obs.</t>
        </is>
      </c>
      <c r="HA66" s="54" t="inlineStr">
        <is>
          <t>Saldo Pulso</t>
        </is>
      </c>
      <c r="HB66" s="54" t="inlineStr">
        <is>
          <t>Saldo Anterior</t>
        </is>
      </c>
      <c r="HC66" s="54" t="inlineStr">
        <is>
          <t>Captação Líq.</t>
        </is>
      </c>
      <c r="HD66" s="54" t="inlineStr">
        <is>
          <t>COE</t>
        </is>
      </c>
      <c r="HE66" s="54" t="inlineStr">
        <is>
          <t>Previdência</t>
        </is>
      </c>
      <c r="HF66" s="54" t="inlineStr">
        <is>
          <t>Créd. Privado</t>
        </is>
      </c>
      <c r="HG66" s="54" t="inlineStr">
        <is>
          <t>Tít. Públicos</t>
        </is>
      </c>
      <c r="HH66" s="54" t="inlineStr">
        <is>
          <t>Produção Tot.</t>
        </is>
      </c>
      <c r="HI66" s="54" t="inlineStr">
        <is>
          <t>Obs.</t>
        </is>
      </c>
      <c r="HJ66" s="54" t="inlineStr">
        <is>
          <t>Saldo Pulso</t>
        </is>
      </c>
      <c r="HK66" s="54" t="inlineStr">
        <is>
          <t>Saldo Anterior</t>
        </is>
      </c>
      <c r="HL66" s="54" t="inlineStr">
        <is>
          <t>Captação Líq.</t>
        </is>
      </c>
      <c r="HM66" s="54" t="inlineStr">
        <is>
          <t>COE</t>
        </is>
      </c>
      <c r="HN66" s="54" t="inlineStr">
        <is>
          <t>Previdência</t>
        </is>
      </c>
      <c r="HO66" s="54" t="inlineStr">
        <is>
          <t>Créd. Privado</t>
        </is>
      </c>
      <c r="HP66" s="54" t="inlineStr">
        <is>
          <t>Tít. Públicos</t>
        </is>
      </c>
      <c r="HQ66" s="54" t="inlineStr">
        <is>
          <t>Produção Tot.</t>
        </is>
      </c>
      <c r="HR66" s="54" t="inlineStr">
        <is>
          <t>Obs.</t>
        </is>
      </c>
      <c r="HS66" s="54" t="inlineStr">
        <is>
          <t>Saldo Pulso</t>
        </is>
      </c>
      <c r="HT66" s="54" t="inlineStr">
        <is>
          <t>Saldo Anterior</t>
        </is>
      </c>
      <c r="HU66" s="54" t="inlineStr">
        <is>
          <t>Captação Líq.</t>
        </is>
      </c>
      <c r="HV66" s="54" t="inlineStr">
        <is>
          <t>COE</t>
        </is>
      </c>
      <c r="HW66" s="54" t="inlineStr">
        <is>
          <t>Previdência</t>
        </is>
      </c>
      <c r="HX66" s="54" t="inlineStr">
        <is>
          <t>Créd. Privado</t>
        </is>
      </c>
      <c r="HY66" s="54" t="inlineStr">
        <is>
          <t>Tít. Públicos</t>
        </is>
      </c>
      <c r="HZ66" s="54" t="inlineStr">
        <is>
          <t>Produção Tot.</t>
        </is>
      </c>
      <c r="IA66" s="54" t="inlineStr">
        <is>
          <t>Obs.</t>
        </is>
      </c>
      <c r="IB66" s="54" t="inlineStr">
        <is>
          <t>Saldo Pulso</t>
        </is>
      </c>
      <c r="IC66" s="54" t="inlineStr">
        <is>
          <t>Saldo Anterior</t>
        </is>
      </c>
      <c r="ID66" s="54" t="inlineStr">
        <is>
          <t>Captação Líq.</t>
        </is>
      </c>
      <c r="IE66" s="54" t="inlineStr">
        <is>
          <t>COE</t>
        </is>
      </c>
      <c r="IF66" s="54" t="inlineStr">
        <is>
          <t>Previdência</t>
        </is>
      </c>
      <c r="IG66" s="54" t="inlineStr">
        <is>
          <t>Créd. Privado</t>
        </is>
      </c>
      <c r="IH66" s="54" t="inlineStr">
        <is>
          <t>Tít. Públicos</t>
        </is>
      </c>
      <c r="II66" s="54" t="inlineStr">
        <is>
          <t>Produção Tot.</t>
        </is>
      </c>
      <c r="IJ66" s="54" t="inlineStr">
        <is>
          <t>Obs.</t>
        </is>
      </c>
      <c r="IK66" s="54" t="inlineStr">
        <is>
          <t>Saldo Pulso</t>
        </is>
      </c>
      <c r="IL66" s="54" t="inlineStr">
        <is>
          <t>Saldo Anterior</t>
        </is>
      </c>
      <c r="IM66" s="54" t="inlineStr">
        <is>
          <t>Captação Líq.</t>
        </is>
      </c>
      <c r="IN66" s="54" t="inlineStr">
        <is>
          <t>COE</t>
        </is>
      </c>
      <c r="IO66" s="54" t="inlineStr">
        <is>
          <t>Previdência</t>
        </is>
      </c>
      <c r="IP66" s="54" t="inlineStr">
        <is>
          <t>Créd. Privado</t>
        </is>
      </c>
      <c r="IQ66" s="54" t="inlineStr">
        <is>
          <t>Tít. Públicos</t>
        </is>
      </c>
      <c r="IR66" s="54" t="inlineStr">
        <is>
          <t>Produção Tot.</t>
        </is>
      </c>
      <c r="IS66" s="54" t="inlineStr">
        <is>
          <t>Obs.</t>
        </is>
      </c>
      <c r="IT66" s="54" t="inlineStr">
        <is>
          <t>Saldo Pulso</t>
        </is>
      </c>
      <c r="IU66" s="54" t="inlineStr">
        <is>
          <t>Saldo Anterior</t>
        </is>
      </c>
      <c r="IV66" s="54" t="inlineStr">
        <is>
          <t>Captação Líq.</t>
        </is>
      </c>
      <c r="IW66" s="54" t="inlineStr">
        <is>
          <t>COE</t>
        </is>
      </c>
      <c r="IX66" s="54" t="inlineStr">
        <is>
          <t>Previdência</t>
        </is>
      </c>
      <c r="IY66" s="54" t="inlineStr">
        <is>
          <t>Créd. Privado</t>
        </is>
      </c>
      <c r="IZ66" s="54" t="inlineStr">
        <is>
          <t>Tít. Públicos</t>
        </is>
      </c>
      <c r="JA66" s="54" t="inlineStr">
        <is>
          <t>Produção Tot.</t>
        </is>
      </c>
      <c r="JB66" s="54" t="inlineStr">
        <is>
          <t>Obs.</t>
        </is>
      </c>
      <c r="JC66" s="54" t="inlineStr">
        <is>
          <t>Saldo Pulso</t>
        </is>
      </c>
      <c r="JD66" s="54" t="inlineStr">
        <is>
          <t>Saldo Anterior</t>
        </is>
      </c>
      <c r="JE66" s="54" t="inlineStr">
        <is>
          <t>Captação Líq.</t>
        </is>
      </c>
      <c r="JF66" s="54" t="inlineStr">
        <is>
          <t>COE</t>
        </is>
      </c>
      <c r="JG66" s="54" t="inlineStr">
        <is>
          <t>Previdência</t>
        </is>
      </c>
      <c r="JH66" s="54" t="inlineStr">
        <is>
          <t>Créd. Privado</t>
        </is>
      </c>
      <c r="JI66" s="54" t="inlineStr">
        <is>
          <t>Tít. Públicos</t>
        </is>
      </c>
      <c r="JJ66" s="54" t="inlineStr">
        <is>
          <t>Produção Tot.</t>
        </is>
      </c>
      <c r="JK66" s="54" t="inlineStr">
        <is>
          <t>Obs.</t>
        </is>
      </c>
      <c r="JL66" s="54" t="inlineStr">
        <is>
          <t>Saldo Pulso</t>
        </is>
      </c>
      <c r="JM66" s="54" t="inlineStr">
        <is>
          <t>Saldo Anterior</t>
        </is>
      </c>
      <c r="JN66" s="54" t="inlineStr">
        <is>
          <t>Captação Líq.</t>
        </is>
      </c>
      <c r="JO66" s="54" t="inlineStr">
        <is>
          <t>COE</t>
        </is>
      </c>
      <c r="JP66" s="54" t="inlineStr">
        <is>
          <t>Previdência</t>
        </is>
      </c>
      <c r="JQ66" s="54" t="inlineStr">
        <is>
          <t>Créd. Privado</t>
        </is>
      </c>
      <c r="JR66" s="54" t="inlineStr">
        <is>
          <t>Tít. Públicos</t>
        </is>
      </c>
      <c r="JS66" s="54" t="inlineStr">
        <is>
          <t>Produção Tot.</t>
        </is>
      </c>
      <c r="JT66" s="54" t="inlineStr">
        <is>
          <t>Obs.</t>
        </is>
      </c>
      <c r="JU66" s="55" t="n"/>
      <c r="JV66" s="55" t="n"/>
      <c r="JW66" s="55" t="n"/>
      <c r="JX66" s="55" t="n"/>
      <c r="JY66" s="55" t="n"/>
      <c r="JZ66" s="55" t="n"/>
      <c r="KA66" s="55" t="n"/>
    </row>
    <row r="67" ht="20" customHeight="1">
      <c r="A67" s="56">
        <f>IF(Configurações!$B$7="","Assessor 1",Configurações!$B$7)</f>
        <v/>
      </c>
      <c r="B67" s="57" t="n"/>
      <c r="C67" s="58">
        <f>'Abril'!$JW67</f>
        <v/>
      </c>
      <c r="D67" s="59" t="n"/>
      <c r="E67" s="57" t="n"/>
      <c r="F67" s="57" t="n"/>
      <c r="G67" s="57" t="n"/>
      <c r="H67" s="57" t="n"/>
      <c r="I67" s="60">
        <f>SUM(E67:H67)</f>
        <v/>
      </c>
      <c r="J67" s="61" t="n"/>
      <c r="K67" s="57" t="n"/>
      <c r="L67" s="58">
        <f>B67</f>
        <v/>
      </c>
      <c r="M67" s="59" t="n"/>
      <c r="N67" s="57" t="n"/>
      <c r="O67" s="57" t="n"/>
      <c r="P67" s="57" t="n"/>
      <c r="Q67" s="57" t="n"/>
      <c r="R67" s="60">
        <f>SUM(N67:Q67)</f>
        <v/>
      </c>
      <c r="S67" s="61" t="n"/>
      <c r="T67" s="57" t="n"/>
      <c r="U67" s="58">
        <f>K67</f>
        <v/>
      </c>
      <c r="V67" s="59" t="n"/>
      <c r="W67" s="57" t="n"/>
      <c r="X67" s="57" t="n"/>
      <c r="Y67" s="57" t="n"/>
      <c r="Z67" s="57" t="n"/>
      <c r="AA67" s="60">
        <f>SUM(W67:Z67)</f>
        <v/>
      </c>
      <c r="AB67" s="61" t="n"/>
      <c r="AC67" s="57" t="n"/>
      <c r="AD67" s="58">
        <f>T67</f>
        <v/>
      </c>
      <c r="AE67" s="59" t="n"/>
      <c r="AF67" s="57" t="n"/>
      <c r="AG67" s="57" t="n"/>
      <c r="AH67" s="57" t="n"/>
      <c r="AI67" s="57" t="n"/>
      <c r="AJ67" s="60">
        <f>SUM(AF67:AI67)</f>
        <v/>
      </c>
      <c r="AK67" s="61" t="n"/>
      <c r="AL67" s="57" t="n"/>
      <c r="AM67" s="58">
        <f>AC67</f>
        <v/>
      </c>
      <c r="AN67" s="59" t="n"/>
      <c r="AO67" s="57" t="n"/>
      <c r="AP67" s="57" t="n"/>
      <c r="AQ67" s="57" t="n"/>
      <c r="AR67" s="57" t="n"/>
      <c r="AS67" s="60">
        <f>SUM(AO67:AR67)</f>
        <v/>
      </c>
      <c r="AT67" s="61" t="n"/>
      <c r="AU67" s="57" t="n"/>
      <c r="AV67" s="58">
        <f>AL67</f>
        <v/>
      </c>
      <c r="AW67" s="59" t="n"/>
      <c r="AX67" s="57" t="n"/>
      <c r="AY67" s="57" t="n"/>
      <c r="AZ67" s="57" t="n"/>
      <c r="BA67" s="57" t="n"/>
      <c r="BB67" s="60">
        <f>SUM(AX67:BA67)</f>
        <v/>
      </c>
      <c r="BC67" s="61" t="n"/>
      <c r="BD67" s="57" t="n"/>
      <c r="BE67" s="58">
        <f>AU67</f>
        <v/>
      </c>
      <c r="BF67" s="59" t="n"/>
      <c r="BG67" s="57" t="n"/>
      <c r="BH67" s="57" t="n"/>
      <c r="BI67" s="57" t="n"/>
      <c r="BJ67" s="57" t="n"/>
      <c r="BK67" s="60">
        <f>SUM(BG67:BJ67)</f>
        <v/>
      </c>
      <c r="BL67" s="61" t="n"/>
      <c r="BM67" s="57" t="n"/>
      <c r="BN67" s="58">
        <f>BD67</f>
        <v/>
      </c>
      <c r="BO67" s="59" t="n"/>
      <c r="BP67" s="57" t="n"/>
      <c r="BQ67" s="57" t="n"/>
      <c r="BR67" s="57" t="n"/>
      <c r="BS67" s="57" t="n"/>
      <c r="BT67" s="60">
        <f>SUM(BP67:BS67)</f>
        <v/>
      </c>
      <c r="BU67" s="61" t="n"/>
      <c r="BV67" s="57" t="n"/>
      <c r="BW67" s="58">
        <f>BM67</f>
        <v/>
      </c>
      <c r="BX67" s="59" t="n"/>
      <c r="BY67" s="57" t="n"/>
      <c r="BZ67" s="57" t="n"/>
      <c r="CA67" s="57" t="n"/>
      <c r="CB67" s="57" t="n"/>
      <c r="CC67" s="60">
        <f>SUM(BY67:CB67)</f>
        <v/>
      </c>
      <c r="CD67" s="61" t="n"/>
      <c r="CE67" s="57" t="n"/>
      <c r="CF67" s="58">
        <f>BV67</f>
        <v/>
      </c>
      <c r="CG67" s="59" t="n"/>
      <c r="CH67" s="57" t="n"/>
      <c r="CI67" s="57" t="n"/>
      <c r="CJ67" s="57" t="n"/>
      <c r="CK67" s="57" t="n"/>
      <c r="CL67" s="60">
        <f>SUM(CH67:CK67)</f>
        <v/>
      </c>
      <c r="CM67" s="61" t="n"/>
      <c r="CN67" s="57" t="n"/>
      <c r="CO67" s="58">
        <f>CE67</f>
        <v/>
      </c>
      <c r="CP67" s="59" t="n"/>
      <c r="CQ67" s="57" t="n"/>
      <c r="CR67" s="57" t="n"/>
      <c r="CS67" s="57" t="n"/>
      <c r="CT67" s="57" t="n"/>
      <c r="CU67" s="60">
        <f>SUM(CQ67:CT67)</f>
        <v/>
      </c>
      <c r="CV67" s="61" t="n"/>
      <c r="CW67" s="57" t="n"/>
      <c r="CX67" s="58">
        <f>CN67</f>
        <v/>
      </c>
      <c r="CY67" s="59" t="n"/>
      <c r="CZ67" s="57" t="n"/>
      <c r="DA67" s="57" t="n"/>
      <c r="DB67" s="57" t="n"/>
      <c r="DC67" s="57" t="n"/>
      <c r="DD67" s="60">
        <f>SUM(CZ67:DC67)</f>
        <v/>
      </c>
      <c r="DE67" s="61" t="n"/>
      <c r="DF67" s="57" t="n"/>
      <c r="DG67" s="58">
        <f>CW67</f>
        <v/>
      </c>
      <c r="DH67" s="59" t="n"/>
      <c r="DI67" s="57" t="n"/>
      <c r="DJ67" s="57" t="n"/>
      <c r="DK67" s="57" t="n"/>
      <c r="DL67" s="57" t="n"/>
      <c r="DM67" s="60">
        <f>SUM(DI67:DL67)</f>
        <v/>
      </c>
      <c r="DN67" s="61" t="n"/>
      <c r="DO67" s="57" t="n"/>
      <c r="DP67" s="58">
        <f>DF67</f>
        <v/>
      </c>
      <c r="DQ67" s="59" t="n"/>
      <c r="DR67" s="57" t="n"/>
      <c r="DS67" s="57" t="n"/>
      <c r="DT67" s="57" t="n"/>
      <c r="DU67" s="57" t="n"/>
      <c r="DV67" s="60">
        <f>SUM(DR67:DU67)</f>
        <v/>
      </c>
      <c r="DW67" s="61" t="n"/>
      <c r="DX67" s="57" t="n"/>
      <c r="DY67" s="58">
        <f>DO67</f>
        <v/>
      </c>
      <c r="DZ67" s="59" t="n"/>
      <c r="EA67" s="57" t="n"/>
      <c r="EB67" s="57" t="n"/>
      <c r="EC67" s="57" t="n"/>
      <c r="ED67" s="57" t="n"/>
      <c r="EE67" s="60">
        <f>SUM(EA67:ED67)</f>
        <v/>
      </c>
      <c r="EF67" s="61" t="n"/>
      <c r="EG67" s="57" t="n"/>
      <c r="EH67" s="58">
        <f>DX67</f>
        <v/>
      </c>
      <c r="EI67" s="59" t="n"/>
      <c r="EJ67" s="57" t="n"/>
      <c r="EK67" s="57" t="n"/>
      <c r="EL67" s="57" t="n"/>
      <c r="EM67" s="57" t="n"/>
      <c r="EN67" s="60">
        <f>SUM(EJ67:EM67)</f>
        <v/>
      </c>
      <c r="EO67" s="61" t="n"/>
      <c r="EP67" s="57" t="n"/>
      <c r="EQ67" s="58">
        <f>EG67</f>
        <v/>
      </c>
      <c r="ER67" s="59" t="n"/>
      <c r="ES67" s="57" t="n"/>
      <c r="ET67" s="57" t="n"/>
      <c r="EU67" s="57" t="n"/>
      <c r="EV67" s="57" t="n"/>
      <c r="EW67" s="60">
        <f>SUM(ES67:EV67)</f>
        <v/>
      </c>
      <c r="EX67" s="61" t="n"/>
      <c r="EY67" s="57" t="n"/>
      <c r="EZ67" s="58">
        <f>EP67</f>
        <v/>
      </c>
      <c r="FA67" s="59" t="n"/>
      <c r="FB67" s="57" t="n"/>
      <c r="FC67" s="57" t="n"/>
      <c r="FD67" s="57" t="n"/>
      <c r="FE67" s="57" t="n"/>
      <c r="FF67" s="60">
        <f>SUM(FB67:FE67)</f>
        <v/>
      </c>
      <c r="FG67" s="61" t="n"/>
      <c r="FH67" s="57" t="n"/>
      <c r="FI67" s="58">
        <f>EY67</f>
        <v/>
      </c>
      <c r="FJ67" s="59" t="n"/>
      <c r="FK67" s="57" t="n"/>
      <c r="FL67" s="57" t="n"/>
      <c r="FM67" s="57" t="n"/>
      <c r="FN67" s="57" t="n"/>
      <c r="FO67" s="60">
        <f>SUM(FK67:FN67)</f>
        <v/>
      </c>
      <c r="FP67" s="61" t="n"/>
      <c r="FQ67" s="57" t="n"/>
      <c r="FR67" s="58">
        <f>FH67</f>
        <v/>
      </c>
      <c r="FS67" s="59" t="n"/>
      <c r="FT67" s="57" t="n"/>
      <c r="FU67" s="57" t="n"/>
      <c r="FV67" s="57" t="n"/>
      <c r="FW67" s="57" t="n"/>
      <c r="FX67" s="60">
        <f>SUM(FT67:FW67)</f>
        <v/>
      </c>
      <c r="FY67" s="61" t="n"/>
      <c r="FZ67" s="57" t="n"/>
      <c r="GA67" s="58">
        <f>FQ67</f>
        <v/>
      </c>
      <c r="GB67" s="59" t="n"/>
      <c r="GC67" s="57" t="n"/>
      <c r="GD67" s="57" t="n"/>
      <c r="GE67" s="57" t="n"/>
      <c r="GF67" s="57" t="n"/>
      <c r="GG67" s="60">
        <f>SUM(GC67:GF67)</f>
        <v/>
      </c>
      <c r="GH67" s="61" t="n"/>
      <c r="GI67" s="57" t="n"/>
      <c r="GJ67" s="58">
        <f>FZ67</f>
        <v/>
      </c>
      <c r="GK67" s="59" t="n"/>
      <c r="GL67" s="57" t="n"/>
      <c r="GM67" s="57" t="n"/>
      <c r="GN67" s="57" t="n"/>
      <c r="GO67" s="57" t="n"/>
      <c r="GP67" s="60">
        <f>SUM(GL67:GO67)</f>
        <v/>
      </c>
      <c r="GQ67" s="61" t="n"/>
      <c r="GR67" s="57" t="n"/>
      <c r="GS67" s="58">
        <f>GI67</f>
        <v/>
      </c>
      <c r="GT67" s="59" t="n"/>
      <c r="GU67" s="57" t="n"/>
      <c r="GV67" s="57" t="n"/>
      <c r="GW67" s="57" t="n"/>
      <c r="GX67" s="57" t="n"/>
      <c r="GY67" s="60">
        <f>SUM(GU67:GX67)</f>
        <v/>
      </c>
      <c r="GZ67" s="61" t="n"/>
      <c r="HA67" s="57" t="n"/>
      <c r="HB67" s="58">
        <f>GR67</f>
        <v/>
      </c>
      <c r="HC67" s="59" t="n"/>
      <c r="HD67" s="57" t="n"/>
      <c r="HE67" s="57" t="n"/>
      <c r="HF67" s="57" t="n"/>
      <c r="HG67" s="57" t="n"/>
      <c r="HH67" s="60">
        <f>SUM(HD67:HG67)</f>
        <v/>
      </c>
      <c r="HI67" s="61" t="n"/>
      <c r="HJ67" s="57" t="n"/>
      <c r="HK67" s="58">
        <f>HA67</f>
        <v/>
      </c>
      <c r="HL67" s="59" t="n"/>
      <c r="HM67" s="57" t="n"/>
      <c r="HN67" s="57" t="n"/>
      <c r="HO67" s="57" t="n"/>
      <c r="HP67" s="57" t="n"/>
      <c r="HQ67" s="60">
        <f>SUM(HM67:HP67)</f>
        <v/>
      </c>
      <c r="HR67" s="61" t="n"/>
      <c r="HS67" s="57" t="n"/>
      <c r="HT67" s="58">
        <f>HJ67</f>
        <v/>
      </c>
      <c r="HU67" s="59" t="n"/>
      <c r="HV67" s="57" t="n"/>
      <c r="HW67" s="57" t="n"/>
      <c r="HX67" s="57" t="n"/>
      <c r="HY67" s="57" t="n"/>
      <c r="HZ67" s="60">
        <f>SUM(HV67:HY67)</f>
        <v/>
      </c>
      <c r="IA67" s="61" t="n"/>
      <c r="IB67" s="57" t="n"/>
      <c r="IC67" s="58">
        <f>HS67</f>
        <v/>
      </c>
      <c r="ID67" s="59" t="n"/>
      <c r="IE67" s="57" t="n"/>
      <c r="IF67" s="57" t="n"/>
      <c r="IG67" s="57" t="n"/>
      <c r="IH67" s="57" t="n"/>
      <c r="II67" s="60">
        <f>SUM(IE67:IH67)</f>
        <v/>
      </c>
      <c r="IJ67" s="61" t="n"/>
      <c r="IK67" s="57" t="n"/>
      <c r="IL67" s="58">
        <f>IB67</f>
        <v/>
      </c>
      <c r="IM67" s="59" t="n"/>
      <c r="IN67" s="57" t="n"/>
      <c r="IO67" s="57" t="n"/>
      <c r="IP67" s="57" t="n"/>
      <c r="IQ67" s="57" t="n"/>
      <c r="IR67" s="60">
        <f>SUM(IN67:IQ67)</f>
        <v/>
      </c>
      <c r="IS67" s="61" t="n"/>
      <c r="IT67" s="57" t="n"/>
      <c r="IU67" s="58">
        <f>IK67</f>
        <v/>
      </c>
      <c r="IV67" s="59" t="n"/>
      <c r="IW67" s="57" t="n"/>
      <c r="IX67" s="57" t="n"/>
      <c r="IY67" s="57" t="n"/>
      <c r="IZ67" s="57" t="n"/>
      <c r="JA67" s="60">
        <f>SUM(IW67:IZ67)</f>
        <v/>
      </c>
      <c r="JB67" s="61" t="n"/>
      <c r="JC67" s="57" t="n"/>
      <c r="JD67" s="58">
        <f>IT67</f>
        <v/>
      </c>
      <c r="JE67" s="59" t="n"/>
      <c r="JF67" s="57" t="n"/>
      <c r="JG67" s="57" t="n"/>
      <c r="JH67" s="57" t="n"/>
      <c r="JI67" s="57" t="n"/>
      <c r="JJ67" s="60">
        <f>SUM(JF67:JI67)</f>
        <v/>
      </c>
      <c r="JK67" s="61" t="n"/>
      <c r="JL67" s="57" t="n"/>
      <c r="JM67" s="58">
        <f>JC67</f>
        <v/>
      </c>
      <c r="JN67" s="59" t="n"/>
      <c r="JO67" s="57" t="n"/>
      <c r="JP67" s="57" t="n"/>
      <c r="JQ67" s="57" t="n"/>
      <c r="JR67" s="57" t="n"/>
      <c r="JS67" s="60">
        <f>SUM(JO67:JR67)</f>
        <v/>
      </c>
      <c r="JT67" s="61" t="n"/>
      <c r="JU67" s="62">
        <f>I67+R67+AA67+AJ67+AS67+BB67+BK67+BT67+CC67+CL67+CU67+DD67+DM67+DV67+EE67+EN67+EW67+FF67+FO67+FX67+GG67+GP67+GY67+HH67+HQ67+HZ67+II67+IR67+JA67+JJ67+JS67</f>
        <v/>
      </c>
      <c r="JV67" s="63">
        <f>D67+M67+V67+AE67+AN67+AW67+BF67+BO67+BX67+CG67+CP67+CY67+DH67+DQ67+DZ67+EI67+ER67+FA67+FJ67+FS67+GB67+GK67+GT67+HC67+HL67+HU67+ID67+IM67+IV67+JE67+JN67</f>
        <v/>
      </c>
      <c r="JW67" s="62">
        <f>CHOOSE($Z$3,B67, K67, T67, AC67, AL67, AU67, BD67, BM67, BV67, CE67, CN67, CW67, DF67, DO67, DX67, EG67, EP67, EY67, FH67, FQ67, FZ67, GI67, GR67, HA67, HJ67, HS67, IB67, IK67, IT67, JC67, JL67)</f>
        <v/>
      </c>
      <c r="JX67" s="62">
        <f>IFERROR(JU67/$Z$3,0)</f>
        <v/>
      </c>
      <c r="JY67" s="62">
        <f>Configurações!$C$7</f>
        <v/>
      </c>
      <c r="JZ67" s="64">
        <f>IF(JY67=0,"— Sem meta",IF(JU67&gt;=JY67,"✓ Atingida","Em andamento"))</f>
        <v/>
      </c>
      <c r="KA67" s="65">
        <f>JU67+(13*0.0000001)</f>
        <v/>
      </c>
    </row>
    <row r="68" ht="20" customHeight="1">
      <c r="A68" s="56">
        <f>IF(Configurações!$B$8="","Assessor 2",Configurações!$B$8)</f>
        <v/>
      </c>
      <c r="B68" s="57" t="n"/>
      <c r="C68" s="66">
        <f>'Abril'!$JW68</f>
        <v/>
      </c>
      <c r="D68" s="59" t="n"/>
      <c r="E68" s="57" t="n"/>
      <c r="F68" s="57" t="n"/>
      <c r="G68" s="57" t="n"/>
      <c r="H68" s="57" t="n"/>
      <c r="I68" s="67">
        <f>SUM(E68:H68)</f>
        <v/>
      </c>
      <c r="J68" s="61" t="n"/>
      <c r="K68" s="57" t="n"/>
      <c r="L68" s="66">
        <f>B68</f>
        <v/>
      </c>
      <c r="M68" s="59" t="n"/>
      <c r="N68" s="57" t="n"/>
      <c r="O68" s="57" t="n"/>
      <c r="P68" s="57" t="n"/>
      <c r="Q68" s="57" t="n"/>
      <c r="R68" s="67">
        <f>SUM(N68:Q68)</f>
        <v/>
      </c>
      <c r="S68" s="61" t="n"/>
      <c r="T68" s="57" t="n"/>
      <c r="U68" s="66">
        <f>K68</f>
        <v/>
      </c>
      <c r="V68" s="59" t="n"/>
      <c r="W68" s="57" t="n"/>
      <c r="X68" s="57" t="n"/>
      <c r="Y68" s="57" t="n"/>
      <c r="Z68" s="57" t="n"/>
      <c r="AA68" s="67">
        <f>SUM(W68:Z68)</f>
        <v/>
      </c>
      <c r="AB68" s="61" t="n"/>
      <c r="AC68" s="57" t="n"/>
      <c r="AD68" s="66">
        <f>T68</f>
        <v/>
      </c>
      <c r="AE68" s="59" t="n"/>
      <c r="AF68" s="57" t="n"/>
      <c r="AG68" s="57" t="n"/>
      <c r="AH68" s="57" t="n"/>
      <c r="AI68" s="57" t="n"/>
      <c r="AJ68" s="67">
        <f>SUM(AF68:AI68)</f>
        <v/>
      </c>
      <c r="AK68" s="61" t="n"/>
      <c r="AL68" s="57" t="n"/>
      <c r="AM68" s="66">
        <f>AC68</f>
        <v/>
      </c>
      <c r="AN68" s="59" t="n"/>
      <c r="AO68" s="57" t="n"/>
      <c r="AP68" s="57" t="n"/>
      <c r="AQ68" s="57" t="n"/>
      <c r="AR68" s="57" t="n"/>
      <c r="AS68" s="67">
        <f>SUM(AO68:AR68)</f>
        <v/>
      </c>
      <c r="AT68" s="61" t="n"/>
      <c r="AU68" s="57" t="n"/>
      <c r="AV68" s="66">
        <f>AL68</f>
        <v/>
      </c>
      <c r="AW68" s="59" t="n"/>
      <c r="AX68" s="57" t="n"/>
      <c r="AY68" s="57" t="n"/>
      <c r="AZ68" s="57" t="n"/>
      <c r="BA68" s="57" t="n"/>
      <c r="BB68" s="67">
        <f>SUM(AX68:BA68)</f>
        <v/>
      </c>
      <c r="BC68" s="61" t="n"/>
      <c r="BD68" s="57" t="n"/>
      <c r="BE68" s="66">
        <f>AU68</f>
        <v/>
      </c>
      <c r="BF68" s="59" t="n"/>
      <c r="BG68" s="57" t="n"/>
      <c r="BH68" s="57" t="n"/>
      <c r="BI68" s="57" t="n"/>
      <c r="BJ68" s="57" t="n"/>
      <c r="BK68" s="67">
        <f>SUM(BG68:BJ68)</f>
        <v/>
      </c>
      <c r="BL68" s="61" t="n"/>
      <c r="BM68" s="57" t="n"/>
      <c r="BN68" s="66">
        <f>BD68</f>
        <v/>
      </c>
      <c r="BO68" s="59" t="n"/>
      <c r="BP68" s="57" t="n"/>
      <c r="BQ68" s="57" t="n"/>
      <c r="BR68" s="57" t="n"/>
      <c r="BS68" s="57" t="n"/>
      <c r="BT68" s="67">
        <f>SUM(BP68:BS68)</f>
        <v/>
      </c>
      <c r="BU68" s="61" t="n"/>
      <c r="BV68" s="57" t="n"/>
      <c r="BW68" s="66">
        <f>BM68</f>
        <v/>
      </c>
      <c r="BX68" s="59" t="n"/>
      <c r="BY68" s="57" t="n"/>
      <c r="BZ68" s="57" t="n"/>
      <c r="CA68" s="57" t="n"/>
      <c r="CB68" s="57" t="n"/>
      <c r="CC68" s="67">
        <f>SUM(BY68:CB68)</f>
        <v/>
      </c>
      <c r="CD68" s="61" t="n"/>
      <c r="CE68" s="57" t="n"/>
      <c r="CF68" s="66">
        <f>BV68</f>
        <v/>
      </c>
      <c r="CG68" s="59" t="n"/>
      <c r="CH68" s="57" t="n"/>
      <c r="CI68" s="57" t="n"/>
      <c r="CJ68" s="57" t="n"/>
      <c r="CK68" s="57" t="n"/>
      <c r="CL68" s="67">
        <f>SUM(CH68:CK68)</f>
        <v/>
      </c>
      <c r="CM68" s="61" t="n"/>
      <c r="CN68" s="57" t="n"/>
      <c r="CO68" s="66">
        <f>CE68</f>
        <v/>
      </c>
      <c r="CP68" s="59" t="n"/>
      <c r="CQ68" s="57" t="n"/>
      <c r="CR68" s="57" t="n"/>
      <c r="CS68" s="57" t="n"/>
      <c r="CT68" s="57" t="n"/>
      <c r="CU68" s="67">
        <f>SUM(CQ68:CT68)</f>
        <v/>
      </c>
      <c r="CV68" s="61" t="n"/>
      <c r="CW68" s="57" t="n"/>
      <c r="CX68" s="66">
        <f>CN68</f>
        <v/>
      </c>
      <c r="CY68" s="59" t="n"/>
      <c r="CZ68" s="57" t="n"/>
      <c r="DA68" s="57" t="n"/>
      <c r="DB68" s="57" t="n"/>
      <c r="DC68" s="57" t="n"/>
      <c r="DD68" s="67">
        <f>SUM(CZ68:DC68)</f>
        <v/>
      </c>
      <c r="DE68" s="61" t="n"/>
      <c r="DF68" s="57" t="n"/>
      <c r="DG68" s="66">
        <f>CW68</f>
        <v/>
      </c>
      <c r="DH68" s="59" t="n"/>
      <c r="DI68" s="57" t="n"/>
      <c r="DJ68" s="57" t="n"/>
      <c r="DK68" s="57" t="n"/>
      <c r="DL68" s="57" t="n"/>
      <c r="DM68" s="67">
        <f>SUM(DI68:DL68)</f>
        <v/>
      </c>
      <c r="DN68" s="61" t="n"/>
      <c r="DO68" s="57" t="n"/>
      <c r="DP68" s="66">
        <f>DF68</f>
        <v/>
      </c>
      <c r="DQ68" s="59" t="n"/>
      <c r="DR68" s="57" t="n"/>
      <c r="DS68" s="57" t="n"/>
      <c r="DT68" s="57" t="n"/>
      <c r="DU68" s="57" t="n"/>
      <c r="DV68" s="67">
        <f>SUM(DR68:DU68)</f>
        <v/>
      </c>
      <c r="DW68" s="61" t="n"/>
      <c r="DX68" s="57" t="n"/>
      <c r="DY68" s="66">
        <f>DO68</f>
        <v/>
      </c>
      <c r="DZ68" s="59" t="n"/>
      <c r="EA68" s="57" t="n"/>
      <c r="EB68" s="57" t="n"/>
      <c r="EC68" s="57" t="n"/>
      <c r="ED68" s="57" t="n"/>
      <c r="EE68" s="67">
        <f>SUM(EA68:ED68)</f>
        <v/>
      </c>
      <c r="EF68" s="61" t="n"/>
      <c r="EG68" s="57" t="n"/>
      <c r="EH68" s="66">
        <f>DX68</f>
        <v/>
      </c>
      <c r="EI68" s="59" t="n"/>
      <c r="EJ68" s="57" t="n"/>
      <c r="EK68" s="57" t="n"/>
      <c r="EL68" s="57" t="n"/>
      <c r="EM68" s="57" t="n"/>
      <c r="EN68" s="67">
        <f>SUM(EJ68:EM68)</f>
        <v/>
      </c>
      <c r="EO68" s="61" t="n"/>
      <c r="EP68" s="57" t="n"/>
      <c r="EQ68" s="66">
        <f>EG68</f>
        <v/>
      </c>
      <c r="ER68" s="59" t="n"/>
      <c r="ES68" s="57" t="n"/>
      <c r="ET68" s="57" t="n"/>
      <c r="EU68" s="57" t="n"/>
      <c r="EV68" s="57" t="n"/>
      <c r="EW68" s="67">
        <f>SUM(ES68:EV68)</f>
        <v/>
      </c>
      <c r="EX68" s="61" t="n"/>
      <c r="EY68" s="57" t="n"/>
      <c r="EZ68" s="66">
        <f>EP68</f>
        <v/>
      </c>
      <c r="FA68" s="59" t="n"/>
      <c r="FB68" s="57" t="n"/>
      <c r="FC68" s="57" t="n"/>
      <c r="FD68" s="57" t="n"/>
      <c r="FE68" s="57" t="n"/>
      <c r="FF68" s="67">
        <f>SUM(FB68:FE68)</f>
        <v/>
      </c>
      <c r="FG68" s="61" t="n"/>
      <c r="FH68" s="57" t="n"/>
      <c r="FI68" s="66">
        <f>EY68</f>
        <v/>
      </c>
      <c r="FJ68" s="59" t="n"/>
      <c r="FK68" s="57" t="n"/>
      <c r="FL68" s="57" t="n"/>
      <c r="FM68" s="57" t="n"/>
      <c r="FN68" s="57" t="n"/>
      <c r="FO68" s="67">
        <f>SUM(FK68:FN68)</f>
        <v/>
      </c>
      <c r="FP68" s="61" t="n"/>
      <c r="FQ68" s="57" t="n"/>
      <c r="FR68" s="66">
        <f>FH68</f>
        <v/>
      </c>
      <c r="FS68" s="59" t="n"/>
      <c r="FT68" s="57" t="n"/>
      <c r="FU68" s="57" t="n"/>
      <c r="FV68" s="57" t="n"/>
      <c r="FW68" s="57" t="n"/>
      <c r="FX68" s="67">
        <f>SUM(FT68:FW68)</f>
        <v/>
      </c>
      <c r="FY68" s="61" t="n"/>
      <c r="FZ68" s="57" t="n"/>
      <c r="GA68" s="66">
        <f>FQ68</f>
        <v/>
      </c>
      <c r="GB68" s="59" t="n"/>
      <c r="GC68" s="57" t="n"/>
      <c r="GD68" s="57" t="n"/>
      <c r="GE68" s="57" t="n"/>
      <c r="GF68" s="57" t="n"/>
      <c r="GG68" s="67">
        <f>SUM(GC68:GF68)</f>
        <v/>
      </c>
      <c r="GH68" s="61" t="n"/>
      <c r="GI68" s="57" t="n"/>
      <c r="GJ68" s="66">
        <f>FZ68</f>
        <v/>
      </c>
      <c r="GK68" s="59" t="n"/>
      <c r="GL68" s="57" t="n"/>
      <c r="GM68" s="57" t="n"/>
      <c r="GN68" s="57" t="n"/>
      <c r="GO68" s="57" t="n"/>
      <c r="GP68" s="67">
        <f>SUM(GL68:GO68)</f>
        <v/>
      </c>
      <c r="GQ68" s="61" t="n"/>
      <c r="GR68" s="57" t="n"/>
      <c r="GS68" s="66">
        <f>GI68</f>
        <v/>
      </c>
      <c r="GT68" s="59" t="n"/>
      <c r="GU68" s="57" t="n"/>
      <c r="GV68" s="57" t="n"/>
      <c r="GW68" s="57" t="n"/>
      <c r="GX68" s="57" t="n"/>
      <c r="GY68" s="67">
        <f>SUM(GU68:GX68)</f>
        <v/>
      </c>
      <c r="GZ68" s="61" t="n"/>
      <c r="HA68" s="57" t="n"/>
      <c r="HB68" s="66">
        <f>GR68</f>
        <v/>
      </c>
      <c r="HC68" s="59" t="n"/>
      <c r="HD68" s="57" t="n"/>
      <c r="HE68" s="57" t="n"/>
      <c r="HF68" s="57" t="n"/>
      <c r="HG68" s="57" t="n"/>
      <c r="HH68" s="67">
        <f>SUM(HD68:HG68)</f>
        <v/>
      </c>
      <c r="HI68" s="61" t="n"/>
      <c r="HJ68" s="57" t="n"/>
      <c r="HK68" s="66">
        <f>HA68</f>
        <v/>
      </c>
      <c r="HL68" s="59" t="n"/>
      <c r="HM68" s="57" t="n"/>
      <c r="HN68" s="57" t="n"/>
      <c r="HO68" s="57" t="n"/>
      <c r="HP68" s="57" t="n"/>
      <c r="HQ68" s="67">
        <f>SUM(HM68:HP68)</f>
        <v/>
      </c>
      <c r="HR68" s="61" t="n"/>
      <c r="HS68" s="57" t="n"/>
      <c r="HT68" s="66">
        <f>HJ68</f>
        <v/>
      </c>
      <c r="HU68" s="59" t="n"/>
      <c r="HV68" s="57" t="n"/>
      <c r="HW68" s="57" t="n"/>
      <c r="HX68" s="57" t="n"/>
      <c r="HY68" s="57" t="n"/>
      <c r="HZ68" s="67">
        <f>SUM(HV68:HY68)</f>
        <v/>
      </c>
      <c r="IA68" s="61" t="n"/>
      <c r="IB68" s="57" t="n"/>
      <c r="IC68" s="66">
        <f>HS68</f>
        <v/>
      </c>
      <c r="ID68" s="59" t="n"/>
      <c r="IE68" s="57" t="n"/>
      <c r="IF68" s="57" t="n"/>
      <c r="IG68" s="57" t="n"/>
      <c r="IH68" s="57" t="n"/>
      <c r="II68" s="67">
        <f>SUM(IE68:IH68)</f>
        <v/>
      </c>
      <c r="IJ68" s="61" t="n"/>
      <c r="IK68" s="57" t="n"/>
      <c r="IL68" s="66">
        <f>IB68</f>
        <v/>
      </c>
      <c r="IM68" s="59" t="n"/>
      <c r="IN68" s="57" t="n"/>
      <c r="IO68" s="57" t="n"/>
      <c r="IP68" s="57" t="n"/>
      <c r="IQ68" s="57" t="n"/>
      <c r="IR68" s="67">
        <f>SUM(IN68:IQ68)</f>
        <v/>
      </c>
      <c r="IS68" s="61" t="n"/>
      <c r="IT68" s="57" t="n"/>
      <c r="IU68" s="66">
        <f>IK68</f>
        <v/>
      </c>
      <c r="IV68" s="59" t="n"/>
      <c r="IW68" s="57" t="n"/>
      <c r="IX68" s="57" t="n"/>
      <c r="IY68" s="57" t="n"/>
      <c r="IZ68" s="57" t="n"/>
      <c r="JA68" s="67">
        <f>SUM(IW68:IZ68)</f>
        <v/>
      </c>
      <c r="JB68" s="61" t="n"/>
      <c r="JC68" s="57" t="n"/>
      <c r="JD68" s="66">
        <f>IT68</f>
        <v/>
      </c>
      <c r="JE68" s="59" t="n"/>
      <c r="JF68" s="57" t="n"/>
      <c r="JG68" s="57" t="n"/>
      <c r="JH68" s="57" t="n"/>
      <c r="JI68" s="57" t="n"/>
      <c r="JJ68" s="67">
        <f>SUM(JF68:JI68)</f>
        <v/>
      </c>
      <c r="JK68" s="61" t="n"/>
      <c r="JL68" s="57" t="n"/>
      <c r="JM68" s="66">
        <f>JC68</f>
        <v/>
      </c>
      <c r="JN68" s="59" t="n"/>
      <c r="JO68" s="57" t="n"/>
      <c r="JP68" s="57" t="n"/>
      <c r="JQ68" s="57" t="n"/>
      <c r="JR68" s="57" t="n"/>
      <c r="JS68" s="67">
        <f>SUM(JO68:JR68)</f>
        <v/>
      </c>
      <c r="JT68" s="61" t="n"/>
      <c r="JU68" s="62">
        <f>I68+R68+AA68+AJ68+AS68+BB68+BK68+BT68+CC68+CL68+CU68+DD68+DM68+DV68+EE68+EN68+EW68+FF68+FO68+FX68+GG68+GP68+GY68+HH68+HQ68+HZ68+II68+IR68+JA68+JJ68+JS68</f>
        <v/>
      </c>
      <c r="JV68" s="63">
        <f>D68+M68+V68+AE68+AN68+AW68+BF68+BO68+BX68+CG68+CP68+CY68+DH68+DQ68+DZ68+EI68+ER68+FA68+FJ68+FS68+GB68+GK68+GT68+HC68+HL68+HU68+ID68+IM68+IV68+JE68+JN68</f>
        <v/>
      </c>
      <c r="JW68" s="62">
        <f>CHOOSE($Z$3,B68, K68, T68, AC68, AL68, AU68, BD68, BM68, BV68, CE68, CN68, CW68, DF68, DO68, DX68, EG68, EP68, EY68, FH68, FQ68, FZ68, GI68, GR68, HA68, HJ68, HS68, IB68, IK68, IT68, JC68, JL68)</f>
        <v/>
      </c>
      <c r="JX68" s="62">
        <f>IFERROR(JU68/$Z$3,0)</f>
        <v/>
      </c>
      <c r="JY68" s="62">
        <f>Configurações!$C$8</f>
        <v/>
      </c>
      <c r="JZ68" s="64">
        <f>IF(JY68=0,"— Sem meta",IF(JU68&gt;=JY68,"✓ Atingida","Em andamento"))</f>
        <v/>
      </c>
      <c r="KA68" s="65">
        <f>JU68+(12*0.0000001)</f>
        <v/>
      </c>
    </row>
    <row r="69" ht="20" customHeight="1">
      <c r="A69" s="56">
        <f>IF(Configurações!$B$9="","Assessor 3",Configurações!$B$9)</f>
        <v/>
      </c>
      <c r="B69" s="57" t="n"/>
      <c r="C69" s="58">
        <f>'Abril'!$JW69</f>
        <v/>
      </c>
      <c r="D69" s="59" t="n"/>
      <c r="E69" s="57" t="n"/>
      <c r="F69" s="57" t="n"/>
      <c r="G69" s="57" t="n"/>
      <c r="H69" s="57" t="n"/>
      <c r="I69" s="60">
        <f>SUM(E69:H69)</f>
        <v/>
      </c>
      <c r="J69" s="61" t="n"/>
      <c r="K69" s="57" t="n"/>
      <c r="L69" s="58">
        <f>B69</f>
        <v/>
      </c>
      <c r="M69" s="59" t="n"/>
      <c r="N69" s="57" t="n"/>
      <c r="O69" s="57" t="n"/>
      <c r="P69" s="57" t="n"/>
      <c r="Q69" s="57" t="n"/>
      <c r="R69" s="60">
        <f>SUM(N69:Q69)</f>
        <v/>
      </c>
      <c r="S69" s="61" t="n"/>
      <c r="T69" s="57" t="n"/>
      <c r="U69" s="58">
        <f>K69</f>
        <v/>
      </c>
      <c r="V69" s="59" t="n"/>
      <c r="W69" s="57" t="n"/>
      <c r="X69" s="57" t="n"/>
      <c r="Y69" s="57" t="n"/>
      <c r="Z69" s="57" t="n"/>
      <c r="AA69" s="60">
        <f>SUM(W69:Z69)</f>
        <v/>
      </c>
      <c r="AB69" s="61" t="n"/>
      <c r="AC69" s="57" t="n"/>
      <c r="AD69" s="58">
        <f>T69</f>
        <v/>
      </c>
      <c r="AE69" s="59" t="n"/>
      <c r="AF69" s="57" t="n"/>
      <c r="AG69" s="57" t="n"/>
      <c r="AH69" s="57" t="n"/>
      <c r="AI69" s="57" t="n"/>
      <c r="AJ69" s="60">
        <f>SUM(AF69:AI69)</f>
        <v/>
      </c>
      <c r="AK69" s="61" t="n"/>
      <c r="AL69" s="57" t="n"/>
      <c r="AM69" s="58">
        <f>AC69</f>
        <v/>
      </c>
      <c r="AN69" s="59" t="n"/>
      <c r="AO69" s="57" t="n"/>
      <c r="AP69" s="57" t="n"/>
      <c r="AQ69" s="57" t="n"/>
      <c r="AR69" s="57" t="n"/>
      <c r="AS69" s="60">
        <f>SUM(AO69:AR69)</f>
        <v/>
      </c>
      <c r="AT69" s="61" t="n"/>
      <c r="AU69" s="57" t="n"/>
      <c r="AV69" s="58">
        <f>AL69</f>
        <v/>
      </c>
      <c r="AW69" s="59" t="n"/>
      <c r="AX69" s="57" t="n"/>
      <c r="AY69" s="57" t="n"/>
      <c r="AZ69" s="57" t="n"/>
      <c r="BA69" s="57" t="n"/>
      <c r="BB69" s="60">
        <f>SUM(AX69:BA69)</f>
        <v/>
      </c>
      <c r="BC69" s="61" t="n"/>
      <c r="BD69" s="57" t="n"/>
      <c r="BE69" s="58">
        <f>AU69</f>
        <v/>
      </c>
      <c r="BF69" s="59" t="n"/>
      <c r="BG69" s="57" t="n"/>
      <c r="BH69" s="57" t="n"/>
      <c r="BI69" s="57" t="n"/>
      <c r="BJ69" s="57" t="n"/>
      <c r="BK69" s="60">
        <f>SUM(BG69:BJ69)</f>
        <v/>
      </c>
      <c r="BL69" s="61" t="n"/>
      <c r="BM69" s="57" t="n"/>
      <c r="BN69" s="58">
        <f>BD69</f>
        <v/>
      </c>
      <c r="BO69" s="59" t="n"/>
      <c r="BP69" s="57" t="n"/>
      <c r="BQ69" s="57" t="n"/>
      <c r="BR69" s="57" t="n"/>
      <c r="BS69" s="57" t="n"/>
      <c r="BT69" s="60">
        <f>SUM(BP69:BS69)</f>
        <v/>
      </c>
      <c r="BU69" s="61" t="n"/>
      <c r="BV69" s="57" t="n"/>
      <c r="BW69" s="58">
        <f>BM69</f>
        <v/>
      </c>
      <c r="BX69" s="59" t="n"/>
      <c r="BY69" s="57" t="n"/>
      <c r="BZ69" s="57" t="n"/>
      <c r="CA69" s="57" t="n"/>
      <c r="CB69" s="57" t="n"/>
      <c r="CC69" s="60">
        <f>SUM(BY69:CB69)</f>
        <v/>
      </c>
      <c r="CD69" s="61" t="n"/>
      <c r="CE69" s="57" t="n"/>
      <c r="CF69" s="58">
        <f>BV69</f>
        <v/>
      </c>
      <c r="CG69" s="59" t="n"/>
      <c r="CH69" s="57" t="n"/>
      <c r="CI69" s="57" t="n"/>
      <c r="CJ69" s="57" t="n"/>
      <c r="CK69" s="57" t="n"/>
      <c r="CL69" s="60">
        <f>SUM(CH69:CK69)</f>
        <v/>
      </c>
      <c r="CM69" s="61" t="n"/>
      <c r="CN69" s="57" t="n"/>
      <c r="CO69" s="58">
        <f>CE69</f>
        <v/>
      </c>
      <c r="CP69" s="59" t="n"/>
      <c r="CQ69" s="57" t="n"/>
      <c r="CR69" s="57" t="n"/>
      <c r="CS69" s="57" t="n"/>
      <c r="CT69" s="57" t="n"/>
      <c r="CU69" s="60">
        <f>SUM(CQ69:CT69)</f>
        <v/>
      </c>
      <c r="CV69" s="61" t="n"/>
      <c r="CW69" s="57" t="n"/>
      <c r="CX69" s="58">
        <f>CN69</f>
        <v/>
      </c>
      <c r="CY69" s="59" t="n"/>
      <c r="CZ69" s="57" t="n"/>
      <c r="DA69" s="57" t="n"/>
      <c r="DB69" s="57" t="n"/>
      <c r="DC69" s="57" t="n"/>
      <c r="DD69" s="60">
        <f>SUM(CZ69:DC69)</f>
        <v/>
      </c>
      <c r="DE69" s="61" t="n"/>
      <c r="DF69" s="57" t="n"/>
      <c r="DG69" s="58">
        <f>CW69</f>
        <v/>
      </c>
      <c r="DH69" s="59" t="n"/>
      <c r="DI69" s="57" t="n"/>
      <c r="DJ69" s="57" t="n"/>
      <c r="DK69" s="57" t="n"/>
      <c r="DL69" s="57" t="n"/>
      <c r="DM69" s="60">
        <f>SUM(DI69:DL69)</f>
        <v/>
      </c>
      <c r="DN69" s="61" t="n"/>
      <c r="DO69" s="57" t="n"/>
      <c r="DP69" s="58">
        <f>DF69</f>
        <v/>
      </c>
      <c r="DQ69" s="59" t="n"/>
      <c r="DR69" s="57" t="n"/>
      <c r="DS69" s="57" t="n"/>
      <c r="DT69" s="57" t="n"/>
      <c r="DU69" s="57" t="n"/>
      <c r="DV69" s="60">
        <f>SUM(DR69:DU69)</f>
        <v/>
      </c>
      <c r="DW69" s="61" t="n"/>
      <c r="DX69" s="57" t="n"/>
      <c r="DY69" s="58">
        <f>DO69</f>
        <v/>
      </c>
      <c r="DZ69" s="59" t="n"/>
      <c r="EA69" s="57" t="n"/>
      <c r="EB69" s="57" t="n"/>
      <c r="EC69" s="57" t="n"/>
      <c r="ED69" s="57" t="n"/>
      <c r="EE69" s="60">
        <f>SUM(EA69:ED69)</f>
        <v/>
      </c>
      <c r="EF69" s="61" t="n"/>
      <c r="EG69" s="57" t="n"/>
      <c r="EH69" s="58">
        <f>DX69</f>
        <v/>
      </c>
      <c r="EI69" s="59" t="n"/>
      <c r="EJ69" s="57" t="n"/>
      <c r="EK69" s="57" t="n"/>
      <c r="EL69" s="57" t="n"/>
      <c r="EM69" s="57" t="n"/>
      <c r="EN69" s="60">
        <f>SUM(EJ69:EM69)</f>
        <v/>
      </c>
      <c r="EO69" s="61" t="n"/>
      <c r="EP69" s="57" t="n"/>
      <c r="EQ69" s="58">
        <f>EG69</f>
        <v/>
      </c>
      <c r="ER69" s="59" t="n"/>
      <c r="ES69" s="57" t="n"/>
      <c r="ET69" s="57" t="n"/>
      <c r="EU69" s="57" t="n"/>
      <c r="EV69" s="57" t="n"/>
      <c r="EW69" s="60">
        <f>SUM(ES69:EV69)</f>
        <v/>
      </c>
      <c r="EX69" s="61" t="n"/>
      <c r="EY69" s="57" t="n"/>
      <c r="EZ69" s="58">
        <f>EP69</f>
        <v/>
      </c>
      <c r="FA69" s="59" t="n"/>
      <c r="FB69" s="57" t="n"/>
      <c r="FC69" s="57" t="n"/>
      <c r="FD69" s="57" t="n"/>
      <c r="FE69" s="57" t="n"/>
      <c r="FF69" s="60">
        <f>SUM(FB69:FE69)</f>
        <v/>
      </c>
      <c r="FG69" s="61" t="n"/>
      <c r="FH69" s="57" t="n"/>
      <c r="FI69" s="58">
        <f>EY69</f>
        <v/>
      </c>
      <c r="FJ69" s="59" t="n"/>
      <c r="FK69" s="57" t="n"/>
      <c r="FL69" s="57" t="n"/>
      <c r="FM69" s="57" t="n"/>
      <c r="FN69" s="57" t="n"/>
      <c r="FO69" s="60">
        <f>SUM(FK69:FN69)</f>
        <v/>
      </c>
      <c r="FP69" s="61" t="n"/>
      <c r="FQ69" s="57" t="n"/>
      <c r="FR69" s="58">
        <f>FH69</f>
        <v/>
      </c>
      <c r="FS69" s="59" t="n"/>
      <c r="FT69" s="57" t="n"/>
      <c r="FU69" s="57" t="n"/>
      <c r="FV69" s="57" t="n"/>
      <c r="FW69" s="57" t="n"/>
      <c r="FX69" s="60">
        <f>SUM(FT69:FW69)</f>
        <v/>
      </c>
      <c r="FY69" s="61" t="n"/>
      <c r="FZ69" s="57" t="n"/>
      <c r="GA69" s="58">
        <f>FQ69</f>
        <v/>
      </c>
      <c r="GB69" s="59" t="n"/>
      <c r="GC69" s="57" t="n"/>
      <c r="GD69" s="57" t="n"/>
      <c r="GE69" s="57" t="n"/>
      <c r="GF69" s="57" t="n"/>
      <c r="GG69" s="60">
        <f>SUM(GC69:GF69)</f>
        <v/>
      </c>
      <c r="GH69" s="61" t="n"/>
      <c r="GI69" s="57" t="n"/>
      <c r="GJ69" s="58">
        <f>FZ69</f>
        <v/>
      </c>
      <c r="GK69" s="59" t="n"/>
      <c r="GL69" s="57" t="n"/>
      <c r="GM69" s="57" t="n"/>
      <c r="GN69" s="57" t="n"/>
      <c r="GO69" s="57" t="n"/>
      <c r="GP69" s="60">
        <f>SUM(GL69:GO69)</f>
        <v/>
      </c>
      <c r="GQ69" s="61" t="n"/>
      <c r="GR69" s="57" t="n"/>
      <c r="GS69" s="58">
        <f>GI69</f>
        <v/>
      </c>
      <c r="GT69" s="59" t="n"/>
      <c r="GU69" s="57" t="n"/>
      <c r="GV69" s="57" t="n"/>
      <c r="GW69" s="57" t="n"/>
      <c r="GX69" s="57" t="n"/>
      <c r="GY69" s="60">
        <f>SUM(GU69:GX69)</f>
        <v/>
      </c>
      <c r="GZ69" s="61" t="n"/>
      <c r="HA69" s="57" t="n"/>
      <c r="HB69" s="58">
        <f>GR69</f>
        <v/>
      </c>
      <c r="HC69" s="59" t="n"/>
      <c r="HD69" s="57" t="n"/>
      <c r="HE69" s="57" t="n"/>
      <c r="HF69" s="57" t="n"/>
      <c r="HG69" s="57" t="n"/>
      <c r="HH69" s="60">
        <f>SUM(HD69:HG69)</f>
        <v/>
      </c>
      <c r="HI69" s="61" t="n"/>
      <c r="HJ69" s="57" t="n"/>
      <c r="HK69" s="58">
        <f>HA69</f>
        <v/>
      </c>
      <c r="HL69" s="59" t="n"/>
      <c r="HM69" s="57" t="n"/>
      <c r="HN69" s="57" t="n"/>
      <c r="HO69" s="57" t="n"/>
      <c r="HP69" s="57" t="n"/>
      <c r="HQ69" s="60">
        <f>SUM(HM69:HP69)</f>
        <v/>
      </c>
      <c r="HR69" s="61" t="n"/>
      <c r="HS69" s="57" t="n"/>
      <c r="HT69" s="58">
        <f>HJ69</f>
        <v/>
      </c>
      <c r="HU69" s="59" t="n"/>
      <c r="HV69" s="57" t="n"/>
      <c r="HW69" s="57" t="n"/>
      <c r="HX69" s="57" t="n"/>
      <c r="HY69" s="57" t="n"/>
      <c r="HZ69" s="60">
        <f>SUM(HV69:HY69)</f>
        <v/>
      </c>
      <c r="IA69" s="61" t="n"/>
      <c r="IB69" s="57" t="n"/>
      <c r="IC69" s="58">
        <f>HS69</f>
        <v/>
      </c>
      <c r="ID69" s="59" t="n"/>
      <c r="IE69" s="57" t="n"/>
      <c r="IF69" s="57" t="n"/>
      <c r="IG69" s="57" t="n"/>
      <c r="IH69" s="57" t="n"/>
      <c r="II69" s="60">
        <f>SUM(IE69:IH69)</f>
        <v/>
      </c>
      <c r="IJ69" s="61" t="n"/>
      <c r="IK69" s="57" t="n"/>
      <c r="IL69" s="58">
        <f>IB69</f>
        <v/>
      </c>
      <c r="IM69" s="59" t="n"/>
      <c r="IN69" s="57" t="n"/>
      <c r="IO69" s="57" t="n"/>
      <c r="IP69" s="57" t="n"/>
      <c r="IQ69" s="57" t="n"/>
      <c r="IR69" s="60">
        <f>SUM(IN69:IQ69)</f>
        <v/>
      </c>
      <c r="IS69" s="61" t="n"/>
      <c r="IT69" s="57" t="n"/>
      <c r="IU69" s="58">
        <f>IK69</f>
        <v/>
      </c>
      <c r="IV69" s="59" t="n"/>
      <c r="IW69" s="57" t="n"/>
      <c r="IX69" s="57" t="n"/>
      <c r="IY69" s="57" t="n"/>
      <c r="IZ69" s="57" t="n"/>
      <c r="JA69" s="60">
        <f>SUM(IW69:IZ69)</f>
        <v/>
      </c>
      <c r="JB69" s="61" t="n"/>
      <c r="JC69" s="57" t="n"/>
      <c r="JD69" s="58">
        <f>IT69</f>
        <v/>
      </c>
      <c r="JE69" s="59" t="n"/>
      <c r="JF69" s="57" t="n"/>
      <c r="JG69" s="57" t="n"/>
      <c r="JH69" s="57" t="n"/>
      <c r="JI69" s="57" t="n"/>
      <c r="JJ69" s="60">
        <f>SUM(JF69:JI69)</f>
        <v/>
      </c>
      <c r="JK69" s="61" t="n"/>
      <c r="JL69" s="57" t="n"/>
      <c r="JM69" s="58">
        <f>JC69</f>
        <v/>
      </c>
      <c r="JN69" s="59" t="n"/>
      <c r="JO69" s="57" t="n"/>
      <c r="JP69" s="57" t="n"/>
      <c r="JQ69" s="57" t="n"/>
      <c r="JR69" s="57" t="n"/>
      <c r="JS69" s="60">
        <f>SUM(JO69:JR69)</f>
        <v/>
      </c>
      <c r="JT69" s="61" t="n"/>
      <c r="JU69" s="62">
        <f>I69+R69+AA69+AJ69+AS69+BB69+BK69+BT69+CC69+CL69+CU69+DD69+DM69+DV69+EE69+EN69+EW69+FF69+FO69+FX69+GG69+GP69+GY69+HH69+HQ69+HZ69+II69+IR69+JA69+JJ69+JS69</f>
        <v/>
      </c>
      <c r="JV69" s="63">
        <f>D69+M69+V69+AE69+AN69+AW69+BF69+BO69+BX69+CG69+CP69+CY69+DH69+DQ69+DZ69+EI69+ER69+FA69+FJ69+FS69+GB69+GK69+GT69+HC69+HL69+HU69+ID69+IM69+IV69+JE69+JN69</f>
        <v/>
      </c>
      <c r="JW69" s="62">
        <f>CHOOSE($Z$3,B69, K69, T69, AC69, AL69, AU69, BD69, BM69, BV69, CE69, CN69, CW69, DF69, DO69, DX69, EG69, EP69, EY69, FH69, FQ69, FZ69, GI69, GR69, HA69, HJ69, HS69, IB69, IK69, IT69, JC69, JL69)</f>
        <v/>
      </c>
      <c r="JX69" s="62">
        <f>IFERROR(JU69/$Z$3,0)</f>
        <v/>
      </c>
      <c r="JY69" s="62">
        <f>Configurações!$C$9</f>
        <v/>
      </c>
      <c r="JZ69" s="64">
        <f>IF(JY69=0,"— Sem meta",IF(JU69&gt;=JY69,"✓ Atingida","Em andamento"))</f>
        <v/>
      </c>
      <c r="KA69" s="65">
        <f>JU69+(11*0.0000001)</f>
        <v/>
      </c>
    </row>
    <row r="70" ht="20" customHeight="1">
      <c r="A70" s="56">
        <f>IF(Configurações!$B$10="","Assessor 4",Configurações!$B$10)</f>
        <v/>
      </c>
      <c r="B70" s="57" t="n"/>
      <c r="C70" s="66">
        <f>'Abril'!$JW70</f>
        <v/>
      </c>
      <c r="D70" s="59" t="n"/>
      <c r="E70" s="57" t="n"/>
      <c r="F70" s="57" t="n"/>
      <c r="G70" s="57" t="n"/>
      <c r="H70" s="57" t="n"/>
      <c r="I70" s="67">
        <f>SUM(E70:H70)</f>
        <v/>
      </c>
      <c r="J70" s="61" t="n"/>
      <c r="K70" s="57" t="n"/>
      <c r="L70" s="66">
        <f>B70</f>
        <v/>
      </c>
      <c r="M70" s="59" t="n"/>
      <c r="N70" s="57" t="n"/>
      <c r="O70" s="57" t="n"/>
      <c r="P70" s="57" t="n"/>
      <c r="Q70" s="57" t="n"/>
      <c r="R70" s="67">
        <f>SUM(N70:Q70)</f>
        <v/>
      </c>
      <c r="S70" s="61" t="n"/>
      <c r="T70" s="57" t="n"/>
      <c r="U70" s="66">
        <f>K70</f>
        <v/>
      </c>
      <c r="V70" s="59" t="n"/>
      <c r="W70" s="57" t="n"/>
      <c r="X70" s="57" t="n"/>
      <c r="Y70" s="57" t="n"/>
      <c r="Z70" s="57" t="n"/>
      <c r="AA70" s="67">
        <f>SUM(W70:Z70)</f>
        <v/>
      </c>
      <c r="AB70" s="61" t="n"/>
      <c r="AC70" s="57" t="n"/>
      <c r="AD70" s="66">
        <f>T70</f>
        <v/>
      </c>
      <c r="AE70" s="59" t="n"/>
      <c r="AF70" s="57" t="n"/>
      <c r="AG70" s="57" t="n"/>
      <c r="AH70" s="57" t="n"/>
      <c r="AI70" s="57" t="n"/>
      <c r="AJ70" s="67">
        <f>SUM(AF70:AI70)</f>
        <v/>
      </c>
      <c r="AK70" s="61" t="n"/>
      <c r="AL70" s="57" t="n"/>
      <c r="AM70" s="66">
        <f>AC70</f>
        <v/>
      </c>
      <c r="AN70" s="59" t="n"/>
      <c r="AO70" s="57" t="n"/>
      <c r="AP70" s="57" t="n"/>
      <c r="AQ70" s="57" t="n"/>
      <c r="AR70" s="57" t="n"/>
      <c r="AS70" s="67">
        <f>SUM(AO70:AR70)</f>
        <v/>
      </c>
      <c r="AT70" s="61" t="n"/>
      <c r="AU70" s="57" t="n"/>
      <c r="AV70" s="66">
        <f>AL70</f>
        <v/>
      </c>
      <c r="AW70" s="59" t="n"/>
      <c r="AX70" s="57" t="n"/>
      <c r="AY70" s="57" t="n"/>
      <c r="AZ70" s="57" t="n"/>
      <c r="BA70" s="57" t="n"/>
      <c r="BB70" s="67">
        <f>SUM(AX70:BA70)</f>
        <v/>
      </c>
      <c r="BC70" s="61" t="n"/>
      <c r="BD70" s="57" t="n"/>
      <c r="BE70" s="66">
        <f>AU70</f>
        <v/>
      </c>
      <c r="BF70" s="59" t="n"/>
      <c r="BG70" s="57" t="n"/>
      <c r="BH70" s="57" t="n"/>
      <c r="BI70" s="57" t="n"/>
      <c r="BJ70" s="57" t="n"/>
      <c r="BK70" s="67">
        <f>SUM(BG70:BJ70)</f>
        <v/>
      </c>
      <c r="BL70" s="61" t="n"/>
      <c r="BM70" s="57" t="n"/>
      <c r="BN70" s="66">
        <f>BD70</f>
        <v/>
      </c>
      <c r="BO70" s="59" t="n"/>
      <c r="BP70" s="57" t="n"/>
      <c r="BQ70" s="57" t="n"/>
      <c r="BR70" s="57" t="n"/>
      <c r="BS70" s="57" t="n"/>
      <c r="BT70" s="67">
        <f>SUM(BP70:BS70)</f>
        <v/>
      </c>
      <c r="BU70" s="61" t="n"/>
      <c r="BV70" s="57" t="n"/>
      <c r="BW70" s="66">
        <f>BM70</f>
        <v/>
      </c>
      <c r="BX70" s="59" t="n"/>
      <c r="BY70" s="57" t="n"/>
      <c r="BZ70" s="57" t="n"/>
      <c r="CA70" s="57" t="n"/>
      <c r="CB70" s="57" t="n"/>
      <c r="CC70" s="67">
        <f>SUM(BY70:CB70)</f>
        <v/>
      </c>
      <c r="CD70" s="61" t="n"/>
      <c r="CE70" s="57" t="n"/>
      <c r="CF70" s="66">
        <f>BV70</f>
        <v/>
      </c>
      <c r="CG70" s="59" t="n"/>
      <c r="CH70" s="57" t="n"/>
      <c r="CI70" s="57" t="n"/>
      <c r="CJ70" s="57" t="n"/>
      <c r="CK70" s="57" t="n"/>
      <c r="CL70" s="67">
        <f>SUM(CH70:CK70)</f>
        <v/>
      </c>
      <c r="CM70" s="61" t="n"/>
      <c r="CN70" s="57" t="n"/>
      <c r="CO70" s="66">
        <f>CE70</f>
        <v/>
      </c>
      <c r="CP70" s="59" t="n"/>
      <c r="CQ70" s="57" t="n"/>
      <c r="CR70" s="57" t="n"/>
      <c r="CS70" s="57" t="n"/>
      <c r="CT70" s="57" t="n"/>
      <c r="CU70" s="67">
        <f>SUM(CQ70:CT70)</f>
        <v/>
      </c>
      <c r="CV70" s="61" t="n"/>
      <c r="CW70" s="57" t="n"/>
      <c r="CX70" s="66">
        <f>CN70</f>
        <v/>
      </c>
      <c r="CY70" s="59" t="n"/>
      <c r="CZ70" s="57" t="n"/>
      <c r="DA70" s="57" t="n"/>
      <c r="DB70" s="57" t="n"/>
      <c r="DC70" s="57" t="n"/>
      <c r="DD70" s="67">
        <f>SUM(CZ70:DC70)</f>
        <v/>
      </c>
      <c r="DE70" s="61" t="n"/>
      <c r="DF70" s="57" t="n"/>
      <c r="DG70" s="66">
        <f>CW70</f>
        <v/>
      </c>
      <c r="DH70" s="59" t="n"/>
      <c r="DI70" s="57" t="n"/>
      <c r="DJ70" s="57" t="n"/>
      <c r="DK70" s="57" t="n"/>
      <c r="DL70" s="57" t="n"/>
      <c r="DM70" s="67">
        <f>SUM(DI70:DL70)</f>
        <v/>
      </c>
      <c r="DN70" s="61" t="n"/>
      <c r="DO70" s="57" t="n"/>
      <c r="DP70" s="66">
        <f>DF70</f>
        <v/>
      </c>
      <c r="DQ70" s="59" t="n"/>
      <c r="DR70" s="57" t="n"/>
      <c r="DS70" s="57" t="n"/>
      <c r="DT70" s="57" t="n"/>
      <c r="DU70" s="57" t="n"/>
      <c r="DV70" s="67">
        <f>SUM(DR70:DU70)</f>
        <v/>
      </c>
      <c r="DW70" s="61" t="n"/>
      <c r="DX70" s="57" t="n"/>
      <c r="DY70" s="66">
        <f>DO70</f>
        <v/>
      </c>
      <c r="DZ70" s="59" t="n"/>
      <c r="EA70" s="57" t="n"/>
      <c r="EB70" s="57" t="n"/>
      <c r="EC70" s="57" t="n"/>
      <c r="ED70" s="57" t="n"/>
      <c r="EE70" s="67">
        <f>SUM(EA70:ED70)</f>
        <v/>
      </c>
      <c r="EF70" s="61" t="n"/>
      <c r="EG70" s="57" t="n"/>
      <c r="EH70" s="66">
        <f>DX70</f>
        <v/>
      </c>
      <c r="EI70" s="59" t="n"/>
      <c r="EJ70" s="57" t="n"/>
      <c r="EK70" s="57" t="n"/>
      <c r="EL70" s="57" t="n"/>
      <c r="EM70" s="57" t="n"/>
      <c r="EN70" s="67">
        <f>SUM(EJ70:EM70)</f>
        <v/>
      </c>
      <c r="EO70" s="61" t="n"/>
      <c r="EP70" s="57" t="n"/>
      <c r="EQ70" s="66">
        <f>EG70</f>
        <v/>
      </c>
      <c r="ER70" s="59" t="n"/>
      <c r="ES70" s="57" t="n"/>
      <c r="ET70" s="57" t="n"/>
      <c r="EU70" s="57" t="n"/>
      <c r="EV70" s="57" t="n"/>
      <c r="EW70" s="67">
        <f>SUM(ES70:EV70)</f>
        <v/>
      </c>
      <c r="EX70" s="61" t="n"/>
      <c r="EY70" s="57" t="n"/>
      <c r="EZ70" s="66">
        <f>EP70</f>
        <v/>
      </c>
      <c r="FA70" s="59" t="n"/>
      <c r="FB70" s="57" t="n"/>
      <c r="FC70" s="57" t="n"/>
      <c r="FD70" s="57" t="n"/>
      <c r="FE70" s="57" t="n"/>
      <c r="FF70" s="67">
        <f>SUM(FB70:FE70)</f>
        <v/>
      </c>
      <c r="FG70" s="61" t="n"/>
      <c r="FH70" s="57" t="n"/>
      <c r="FI70" s="66">
        <f>EY70</f>
        <v/>
      </c>
      <c r="FJ70" s="59" t="n"/>
      <c r="FK70" s="57" t="n"/>
      <c r="FL70" s="57" t="n"/>
      <c r="FM70" s="57" t="n"/>
      <c r="FN70" s="57" t="n"/>
      <c r="FO70" s="67">
        <f>SUM(FK70:FN70)</f>
        <v/>
      </c>
      <c r="FP70" s="61" t="n"/>
      <c r="FQ70" s="57" t="n"/>
      <c r="FR70" s="66">
        <f>FH70</f>
        <v/>
      </c>
      <c r="FS70" s="59" t="n"/>
      <c r="FT70" s="57" t="n"/>
      <c r="FU70" s="57" t="n"/>
      <c r="FV70" s="57" t="n"/>
      <c r="FW70" s="57" t="n"/>
      <c r="FX70" s="67">
        <f>SUM(FT70:FW70)</f>
        <v/>
      </c>
      <c r="FY70" s="61" t="n"/>
      <c r="FZ70" s="57" t="n"/>
      <c r="GA70" s="66">
        <f>FQ70</f>
        <v/>
      </c>
      <c r="GB70" s="59" t="n"/>
      <c r="GC70" s="57" t="n"/>
      <c r="GD70" s="57" t="n"/>
      <c r="GE70" s="57" t="n"/>
      <c r="GF70" s="57" t="n"/>
      <c r="GG70" s="67">
        <f>SUM(GC70:GF70)</f>
        <v/>
      </c>
      <c r="GH70" s="61" t="n"/>
      <c r="GI70" s="57" t="n"/>
      <c r="GJ70" s="66">
        <f>FZ70</f>
        <v/>
      </c>
      <c r="GK70" s="59" t="n"/>
      <c r="GL70" s="57" t="n"/>
      <c r="GM70" s="57" t="n"/>
      <c r="GN70" s="57" t="n"/>
      <c r="GO70" s="57" t="n"/>
      <c r="GP70" s="67">
        <f>SUM(GL70:GO70)</f>
        <v/>
      </c>
      <c r="GQ70" s="61" t="n"/>
      <c r="GR70" s="57" t="n"/>
      <c r="GS70" s="66">
        <f>GI70</f>
        <v/>
      </c>
      <c r="GT70" s="59" t="n"/>
      <c r="GU70" s="57" t="n"/>
      <c r="GV70" s="57" t="n"/>
      <c r="GW70" s="57" t="n"/>
      <c r="GX70" s="57" t="n"/>
      <c r="GY70" s="67">
        <f>SUM(GU70:GX70)</f>
        <v/>
      </c>
      <c r="GZ70" s="61" t="n"/>
      <c r="HA70" s="57" t="n"/>
      <c r="HB70" s="66">
        <f>GR70</f>
        <v/>
      </c>
      <c r="HC70" s="59" t="n"/>
      <c r="HD70" s="57" t="n"/>
      <c r="HE70" s="57" t="n"/>
      <c r="HF70" s="57" t="n"/>
      <c r="HG70" s="57" t="n"/>
      <c r="HH70" s="67">
        <f>SUM(HD70:HG70)</f>
        <v/>
      </c>
      <c r="HI70" s="61" t="n"/>
      <c r="HJ70" s="57" t="n"/>
      <c r="HK70" s="66">
        <f>HA70</f>
        <v/>
      </c>
      <c r="HL70" s="59" t="n"/>
      <c r="HM70" s="57" t="n"/>
      <c r="HN70" s="57" t="n"/>
      <c r="HO70" s="57" t="n"/>
      <c r="HP70" s="57" t="n"/>
      <c r="HQ70" s="67">
        <f>SUM(HM70:HP70)</f>
        <v/>
      </c>
      <c r="HR70" s="61" t="n"/>
      <c r="HS70" s="57" t="n"/>
      <c r="HT70" s="66">
        <f>HJ70</f>
        <v/>
      </c>
      <c r="HU70" s="59" t="n"/>
      <c r="HV70" s="57" t="n"/>
      <c r="HW70" s="57" t="n"/>
      <c r="HX70" s="57" t="n"/>
      <c r="HY70" s="57" t="n"/>
      <c r="HZ70" s="67">
        <f>SUM(HV70:HY70)</f>
        <v/>
      </c>
      <c r="IA70" s="61" t="n"/>
      <c r="IB70" s="57" t="n"/>
      <c r="IC70" s="66">
        <f>HS70</f>
        <v/>
      </c>
      <c r="ID70" s="59" t="n"/>
      <c r="IE70" s="57" t="n"/>
      <c r="IF70" s="57" t="n"/>
      <c r="IG70" s="57" t="n"/>
      <c r="IH70" s="57" t="n"/>
      <c r="II70" s="67">
        <f>SUM(IE70:IH70)</f>
        <v/>
      </c>
      <c r="IJ70" s="61" t="n"/>
      <c r="IK70" s="57" t="n"/>
      <c r="IL70" s="66">
        <f>IB70</f>
        <v/>
      </c>
      <c r="IM70" s="59" t="n"/>
      <c r="IN70" s="57" t="n"/>
      <c r="IO70" s="57" t="n"/>
      <c r="IP70" s="57" t="n"/>
      <c r="IQ70" s="57" t="n"/>
      <c r="IR70" s="67">
        <f>SUM(IN70:IQ70)</f>
        <v/>
      </c>
      <c r="IS70" s="61" t="n"/>
      <c r="IT70" s="57" t="n"/>
      <c r="IU70" s="66">
        <f>IK70</f>
        <v/>
      </c>
      <c r="IV70" s="59" t="n"/>
      <c r="IW70" s="57" t="n"/>
      <c r="IX70" s="57" t="n"/>
      <c r="IY70" s="57" t="n"/>
      <c r="IZ70" s="57" t="n"/>
      <c r="JA70" s="67">
        <f>SUM(IW70:IZ70)</f>
        <v/>
      </c>
      <c r="JB70" s="61" t="n"/>
      <c r="JC70" s="57" t="n"/>
      <c r="JD70" s="66">
        <f>IT70</f>
        <v/>
      </c>
      <c r="JE70" s="59" t="n"/>
      <c r="JF70" s="57" t="n"/>
      <c r="JG70" s="57" t="n"/>
      <c r="JH70" s="57" t="n"/>
      <c r="JI70" s="57" t="n"/>
      <c r="JJ70" s="67">
        <f>SUM(JF70:JI70)</f>
        <v/>
      </c>
      <c r="JK70" s="61" t="n"/>
      <c r="JL70" s="57" t="n"/>
      <c r="JM70" s="66">
        <f>JC70</f>
        <v/>
      </c>
      <c r="JN70" s="59" t="n"/>
      <c r="JO70" s="57" t="n"/>
      <c r="JP70" s="57" t="n"/>
      <c r="JQ70" s="57" t="n"/>
      <c r="JR70" s="57" t="n"/>
      <c r="JS70" s="67">
        <f>SUM(JO70:JR70)</f>
        <v/>
      </c>
      <c r="JT70" s="61" t="n"/>
      <c r="JU70" s="62">
        <f>I70+R70+AA70+AJ70+AS70+BB70+BK70+BT70+CC70+CL70+CU70+DD70+DM70+DV70+EE70+EN70+EW70+FF70+FO70+FX70+GG70+GP70+GY70+HH70+HQ70+HZ70+II70+IR70+JA70+JJ70+JS70</f>
        <v/>
      </c>
      <c r="JV70" s="63">
        <f>D70+M70+V70+AE70+AN70+AW70+BF70+BO70+BX70+CG70+CP70+CY70+DH70+DQ70+DZ70+EI70+ER70+FA70+FJ70+FS70+GB70+GK70+GT70+HC70+HL70+HU70+ID70+IM70+IV70+JE70+JN70</f>
        <v/>
      </c>
      <c r="JW70" s="62">
        <f>CHOOSE($Z$3,B70, K70, T70, AC70, AL70, AU70, BD70, BM70, BV70, CE70, CN70, CW70, DF70, DO70, DX70, EG70, EP70, EY70, FH70, FQ70, FZ70, GI70, GR70, HA70, HJ70, HS70, IB70, IK70, IT70, JC70, JL70)</f>
        <v/>
      </c>
      <c r="JX70" s="62">
        <f>IFERROR(JU70/$Z$3,0)</f>
        <v/>
      </c>
      <c r="JY70" s="62">
        <f>Configurações!$C$10</f>
        <v/>
      </c>
      <c r="JZ70" s="64">
        <f>IF(JY70=0,"— Sem meta",IF(JU70&gt;=JY70,"✓ Atingida","Em andamento"))</f>
        <v/>
      </c>
      <c r="KA70" s="65">
        <f>JU70+(10*0.0000001)</f>
        <v/>
      </c>
    </row>
    <row r="71" ht="20" customHeight="1">
      <c r="A71" s="56">
        <f>IF(Configurações!$B$11="","Assessor 5",Configurações!$B$11)</f>
        <v/>
      </c>
      <c r="B71" s="57" t="n"/>
      <c r="C71" s="58">
        <f>'Abril'!$JW71</f>
        <v/>
      </c>
      <c r="D71" s="59" t="n"/>
      <c r="E71" s="57" t="n"/>
      <c r="F71" s="57" t="n"/>
      <c r="G71" s="57" t="n"/>
      <c r="H71" s="57" t="n"/>
      <c r="I71" s="60">
        <f>SUM(E71:H71)</f>
        <v/>
      </c>
      <c r="J71" s="61" t="n"/>
      <c r="K71" s="57" t="n"/>
      <c r="L71" s="58">
        <f>B71</f>
        <v/>
      </c>
      <c r="M71" s="59" t="n"/>
      <c r="N71" s="57" t="n"/>
      <c r="O71" s="57" t="n"/>
      <c r="P71" s="57" t="n"/>
      <c r="Q71" s="57" t="n"/>
      <c r="R71" s="60">
        <f>SUM(N71:Q71)</f>
        <v/>
      </c>
      <c r="S71" s="61" t="n"/>
      <c r="T71" s="57" t="n"/>
      <c r="U71" s="58">
        <f>K71</f>
        <v/>
      </c>
      <c r="V71" s="59" t="n"/>
      <c r="W71" s="57" t="n"/>
      <c r="X71" s="57" t="n"/>
      <c r="Y71" s="57" t="n"/>
      <c r="Z71" s="57" t="n"/>
      <c r="AA71" s="60">
        <f>SUM(W71:Z71)</f>
        <v/>
      </c>
      <c r="AB71" s="61" t="n"/>
      <c r="AC71" s="57" t="n"/>
      <c r="AD71" s="58">
        <f>T71</f>
        <v/>
      </c>
      <c r="AE71" s="59" t="n"/>
      <c r="AF71" s="57" t="n"/>
      <c r="AG71" s="57" t="n"/>
      <c r="AH71" s="57" t="n"/>
      <c r="AI71" s="57" t="n"/>
      <c r="AJ71" s="60">
        <f>SUM(AF71:AI71)</f>
        <v/>
      </c>
      <c r="AK71" s="61" t="n"/>
      <c r="AL71" s="57" t="n"/>
      <c r="AM71" s="58">
        <f>AC71</f>
        <v/>
      </c>
      <c r="AN71" s="59" t="n"/>
      <c r="AO71" s="57" t="n"/>
      <c r="AP71" s="57" t="n"/>
      <c r="AQ71" s="57" t="n"/>
      <c r="AR71" s="57" t="n"/>
      <c r="AS71" s="60">
        <f>SUM(AO71:AR71)</f>
        <v/>
      </c>
      <c r="AT71" s="61" t="n"/>
      <c r="AU71" s="57" t="n"/>
      <c r="AV71" s="58">
        <f>AL71</f>
        <v/>
      </c>
      <c r="AW71" s="59" t="n"/>
      <c r="AX71" s="57" t="n"/>
      <c r="AY71" s="57" t="n"/>
      <c r="AZ71" s="57" t="n"/>
      <c r="BA71" s="57" t="n"/>
      <c r="BB71" s="60">
        <f>SUM(AX71:BA71)</f>
        <v/>
      </c>
      <c r="BC71" s="61" t="n"/>
      <c r="BD71" s="57" t="n"/>
      <c r="BE71" s="58">
        <f>AU71</f>
        <v/>
      </c>
      <c r="BF71" s="59" t="n"/>
      <c r="BG71" s="57" t="n"/>
      <c r="BH71" s="57" t="n"/>
      <c r="BI71" s="57" t="n"/>
      <c r="BJ71" s="57" t="n"/>
      <c r="BK71" s="60">
        <f>SUM(BG71:BJ71)</f>
        <v/>
      </c>
      <c r="BL71" s="61" t="n"/>
      <c r="BM71" s="57" t="n"/>
      <c r="BN71" s="58">
        <f>BD71</f>
        <v/>
      </c>
      <c r="BO71" s="59" t="n"/>
      <c r="BP71" s="57" t="n"/>
      <c r="BQ71" s="57" t="n"/>
      <c r="BR71" s="57" t="n"/>
      <c r="BS71" s="57" t="n"/>
      <c r="BT71" s="60">
        <f>SUM(BP71:BS71)</f>
        <v/>
      </c>
      <c r="BU71" s="61" t="n"/>
      <c r="BV71" s="57" t="n"/>
      <c r="BW71" s="58">
        <f>BM71</f>
        <v/>
      </c>
      <c r="BX71" s="59" t="n"/>
      <c r="BY71" s="57" t="n"/>
      <c r="BZ71" s="57" t="n"/>
      <c r="CA71" s="57" t="n"/>
      <c r="CB71" s="57" t="n"/>
      <c r="CC71" s="60">
        <f>SUM(BY71:CB71)</f>
        <v/>
      </c>
      <c r="CD71" s="61" t="n"/>
      <c r="CE71" s="57" t="n"/>
      <c r="CF71" s="58">
        <f>BV71</f>
        <v/>
      </c>
      <c r="CG71" s="59" t="n"/>
      <c r="CH71" s="57" t="n"/>
      <c r="CI71" s="57" t="n"/>
      <c r="CJ71" s="57" t="n"/>
      <c r="CK71" s="57" t="n"/>
      <c r="CL71" s="60">
        <f>SUM(CH71:CK71)</f>
        <v/>
      </c>
      <c r="CM71" s="61" t="n"/>
      <c r="CN71" s="57" t="n"/>
      <c r="CO71" s="58">
        <f>CE71</f>
        <v/>
      </c>
      <c r="CP71" s="59" t="n"/>
      <c r="CQ71" s="57" t="n"/>
      <c r="CR71" s="57" t="n"/>
      <c r="CS71" s="57" t="n"/>
      <c r="CT71" s="57" t="n"/>
      <c r="CU71" s="60">
        <f>SUM(CQ71:CT71)</f>
        <v/>
      </c>
      <c r="CV71" s="61" t="n"/>
      <c r="CW71" s="57" t="n"/>
      <c r="CX71" s="58">
        <f>CN71</f>
        <v/>
      </c>
      <c r="CY71" s="59" t="n"/>
      <c r="CZ71" s="57" t="n"/>
      <c r="DA71" s="57" t="n"/>
      <c r="DB71" s="57" t="n"/>
      <c r="DC71" s="57" t="n"/>
      <c r="DD71" s="60">
        <f>SUM(CZ71:DC71)</f>
        <v/>
      </c>
      <c r="DE71" s="61" t="n"/>
      <c r="DF71" s="57" t="n"/>
      <c r="DG71" s="58">
        <f>CW71</f>
        <v/>
      </c>
      <c r="DH71" s="59" t="n"/>
      <c r="DI71" s="57" t="n"/>
      <c r="DJ71" s="57" t="n"/>
      <c r="DK71" s="57" t="n"/>
      <c r="DL71" s="57" t="n"/>
      <c r="DM71" s="60">
        <f>SUM(DI71:DL71)</f>
        <v/>
      </c>
      <c r="DN71" s="61" t="n"/>
      <c r="DO71" s="57" t="n"/>
      <c r="DP71" s="58">
        <f>DF71</f>
        <v/>
      </c>
      <c r="DQ71" s="59" t="n"/>
      <c r="DR71" s="57" t="n"/>
      <c r="DS71" s="57" t="n"/>
      <c r="DT71" s="57" t="n"/>
      <c r="DU71" s="57" t="n"/>
      <c r="DV71" s="60">
        <f>SUM(DR71:DU71)</f>
        <v/>
      </c>
      <c r="DW71" s="61" t="n"/>
      <c r="DX71" s="57" t="n"/>
      <c r="DY71" s="58">
        <f>DO71</f>
        <v/>
      </c>
      <c r="DZ71" s="59" t="n"/>
      <c r="EA71" s="57" t="n"/>
      <c r="EB71" s="57" t="n"/>
      <c r="EC71" s="57" t="n"/>
      <c r="ED71" s="57" t="n"/>
      <c r="EE71" s="60">
        <f>SUM(EA71:ED71)</f>
        <v/>
      </c>
      <c r="EF71" s="61" t="n"/>
      <c r="EG71" s="57" t="n"/>
      <c r="EH71" s="58">
        <f>DX71</f>
        <v/>
      </c>
      <c r="EI71" s="59" t="n"/>
      <c r="EJ71" s="57" t="n"/>
      <c r="EK71" s="57" t="n"/>
      <c r="EL71" s="57" t="n"/>
      <c r="EM71" s="57" t="n"/>
      <c r="EN71" s="60">
        <f>SUM(EJ71:EM71)</f>
        <v/>
      </c>
      <c r="EO71" s="61" t="n"/>
      <c r="EP71" s="57" t="n"/>
      <c r="EQ71" s="58">
        <f>EG71</f>
        <v/>
      </c>
      <c r="ER71" s="59" t="n"/>
      <c r="ES71" s="57" t="n"/>
      <c r="ET71" s="57" t="n"/>
      <c r="EU71" s="57" t="n"/>
      <c r="EV71" s="57" t="n"/>
      <c r="EW71" s="60">
        <f>SUM(ES71:EV71)</f>
        <v/>
      </c>
      <c r="EX71" s="61" t="n"/>
      <c r="EY71" s="57" t="n"/>
      <c r="EZ71" s="58">
        <f>EP71</f>
        <v/>
      </c>
      <c r="FA71" s="59" t="n"/>
      <c r="FB71" s="57" t="n"/>
      <c r="FC71" s="57" t="n"/>
      <c r="FD71" s="57" t="n"/>
      <c r="FE71" s="57" t="n"/>
      <c r="FF71" s="60">
        <f>SUM(FB71:FE71)</f>
        <v/>
      </c>
      <c r="FG71" s="61" t="n"/>
      <c r="FH71" s="57" t="n"/>
      <c r="FI71" s="58">
        <f>EY71</f>
        <v/>
      </c>
      <c r="FJ71" s="59" t="n"/>
      <c r="FK71" s="57" t="n"/>
      <c r="FL71" s="57" t="n"/>
      <c r="FM71" s="57" t="n"/>
      <c r="FN71" s="57" t="n"/>
      <c r="FO71" s="60">
        <f>SUM(FK71:FN71)</f>
        <v/>
      </c>
      <c r="FP71" s="61" t="n"/>
      <c r="FQ71" s="57" t="n"/>
      <c r="FR71" s="58">
        <f>FH71</f>
        <v/>
      </c>
      <c r="FS71" s="59" t="n"/>
      <c r="FT71" s="57" t="n"/>
      <c r="FU71" s="57" t="n"/>
      <c r="FV71" s="57" t="n"/>
      <c r="FW71" s="57" t="n"/>
      <c r="FX71" s="60">
        <f>SUM(FT71:FW71)</f>
        <v/>
      </c>
      <c r="FY71" s="61" t="n"/>
      <c r="FZ71" s="57" t="n"/>
      <c r="GA71" s="58">
        <f>FQ71</f>
        <v/>
      </c>
      <c r="GB71" s="59" t="n"/>
      <c r="GC71" s="57" t="n"/>
      <c r="GD71" s="57" t="n"/>
      <c r="GE71" s="57" t="n"/>
      <c r="GF71" s="57" t="n"/>
      <c r="GG71" s="60">
        <f>SUM(GC71:GF71)</f>
        <v/>
      </c>
      <c r="GH71" s="61" t="n"/>
      <c r="GI71" s="57" t="n"/>
      <c r="GJ71" s="58">
        <f>FZ71</f>
        <v/>
      </c>
      <c r="GK71" s="59" t="n"/>
      <c r="GL71" s="57" t="n"/>
      <c r="GM71" s="57" t="n"/>
      <c r="GN71" s="57" t="n"/>
      <c r="GO71" s="57" t="n"/>
      <c r="GP71" s="60">
        <f>SUM(GL71:GO71)</f>
        <v/>
      </c>
      <c r="GQ71" s="61" t="n"/>
      <c r="GR71" s="57" t="n"/>
      <c r="GS71" s="58">
        <f>GI71</f>
        <v/>
      </c>
      <c r="GT71" s="59" t="n"/>
      <c r="GU71" s="57" t="n"/>
      <c r="GV71" s="57" t="n"/>
      <c r="GW71" s="57" t="n"/>
      <c r="GX71" s="57" t="n"/>
      <c r="GY71" s="60">
        <f>SUM(GU71:GX71)</f>
        <v/>
      </c>
      <c r="GZ71" s="61" t="n"/>
      <c r="HA71" s="57" t="n"/>
      <c r="HB71" s="58">
        <f>GR71</f>
        <v/>
      </c>
      <c r="HC71" s="59" t="n"/>
      <c r="HD71" s="57" t="n"/>
      <c r="HE71" s="57" t="n"/>
      <c r="HF71" s="57" t="n"/>
      <c r="HG71" s="57" t="n"/>
      <c r="HH71" s="60">
        <f>SUM(HD71:HG71)</f>
        <v/>
      </c>
      <c r="HI71" s="61" t="n"/>
      <c r="HJ71" s="57" t="n"/>
      <c r="HK71" s="58">
        <f>HA71</f>
        <v/>
      </c>
      <c r="HL71" s="59" t="n"/>
      <c r="HM71" s="57" t="n"/>
      <c r="HN71" s="57" t="n"/>
      <c r="HO71" s="57" t="n"/>
      <c r="HP71" s="57" t="n"/>
      <c r="HQ71" s="60">
        <f>SUM(HM71:HP71)</f>
        <v/>
      </c>
      <c r="HR71" s="61" t="n"/>
      <c r="HS71" s="57" t="n"/>
      <c r="HT71" s="58">
        <f>HJ71</f>
        <v/>
      </c>
      <c r="HU71" s="59" t="n"/>
      <c r="HV71" s="57" t="n"/>
      <c r="HW71" s="57" t="n"/>
      <c r="HX71" s="57" t="n"/>
      <c r="HY71" s="57" t="n"/>
      <c r="HZ71" s="60">
        <f>SUM(HV71:HY71)</f>
        <v/>
      </c>
      <c r="IA71" s="61" t="n"/>
      <c r="IB71" s="57" t="n"/>
      <c r="IC71" s="58">
        <f>HS71</f>
        <v/>
      </c>
      <c r="ID71" s="59" t="n"/>
      <c r="IE71" s="57" t="n"/>
      <c r="IF71" s="57" t="n"/>
      <c r="IG71" s="57" t="n"/>
      <c r="IH71" s="57" t="n"/>
      <c r="II71" s="60">
        <f>SUM(IE71:IH71)</f>
        <v/>
      </c>
      <c r="IJ71" s="61" t="n"/>
      <c r="IK71" s="57" t="n"/>
      <c r="IL71" s="58">
        <f>IB71</f>
        <v/>
      </c>
      <c r="IM71" s="59" t="n"/>
      <c r="IN71" s="57" t="n"/>
      <c r="IO71" s="57" t="n"/>
      <c r="IP71" s="57" t="n"/>
      <c r="IQ71" s="57" t="n"/>
      <c r="IR71" s="60">
        <f>SUM(IN71:IQ71)</f>
        <v/>
      </c>
      <c r="IS71" s="61" t="n"/>
      <c r="IT71" s="57" t="n"/>
      <c r="IU71" s="58">
        <f>IK71</f>
        <v/>
      </c>
      <c r="IV71" s="59" t="n"/>
      <c r="IW71" s="57" t="n"/>
      <c r="IX71" s="57" t="n"/>
      <c r="IY71" s="57" t="n"/>
      <c r="IZ71" s="57" t="n"/>
      <c r="JA71" s="60">
        <f>SUM(IW71:IZ71)</f>
        <v/>
      </c>
      <c r="JB71" s="61" t="n"/>
      <c r="JC71" s="57" t="n"/>
      <c r="JD71" s="58">
        <f>IT71</f>
        <v/>
      </c>
      <c r="JE71" s="59" t="n"/>
      <c r="JF71" s="57" t="n"/>
      <c r="JG71" s="57" t="n"/>
      <c r="JH71" s="57" t="n"/>
      <c r="JI71" s="57" t="n"/>
      <c r="JJ71" s="60">
        <f>SUM(JF71:JI71)</f>
        <v/>
      </c>
      <c r="JK71" s="61" t="n"/>
      <c r="JL71" s="57" t="n"/>
      <c r="JM71" s="58">
        <f>JC71</f>
        <v/>
      </c>
      <c r="JN71" s="59" t="n"/>
      <c r="JO71" s="57" t="n"/>
      <c r="JP71" s="57" t="n"/>
      <c r="JQ71" s="57" t="n"/>
      <c r="JR71" s="57" t="n"/>
      <c r="JS71" s="60">
        <f>SUM(JO71:JR71)</f>
        <v/>
      </c>
      <c r="JT71" s="61" t="n"/>
      <c r="JU71" s="62">
        <f>I71+R71+AA71+AJ71+AS71+BB71+BK71+BT71+CC71+CL71+CU71+DD71+DM71+DV71+EE71+EN71+EW71+FF71+FO71+FX71+GG71+GP71+GY71+HH71+HQ71+HZ71+II71+IR71+JA71+JJ71+JS71</f>
        <v/>
      </c>
      <c r="JV71" s="63">
        <f>D71+M71+V71+AE71+AN71+AW71+BF71+BO71+BX71+CG71+CP71+CY71+DH71+DQ71+DZ71+EI71+ER71+FA71+FJ71+FS71+GB71+GK71+GT71+HC71+HL71+HU71+ID71+IM71+IV71+JE71+JN71</f>
        <v/>
      </c>
      <c r="JW71" s="62">
        <f>CHOOSE($Z$3,B71, K71, T71, AC71, AL71, AU71, BD71, BM71, BV71, CE71, CN71, CW71, DF71, DO71, DX71, EG71, EP71, EY71, FH71, FQ71, FZ71, GI71, GR71, HA71, HJ71, HS71, IB71, IK71, IT71, JC71, JL71)</f>
        <v/>
      </c>
      <c r="JX71" s="62">
        <f>IFERROR(JU71/$Z$3,0)</f>
        <v/>
      </c>
      <c r="JY71" s="62">
        <f>Configurações!$C$11</f>
        <v/>
      </c>
      <c r="JZ71" s="64">
        <f>IF(JY71=0,"— Sem meta",IF(JU71&gt;=JY71,"✓ Atingida","Em andamento"))</f>
        <v/>
      </c>
      <c r="KA71" s="65">
        <f>JU71+(9*0.0000001)</f>
        <v/>
      </c>
    </row>
    <row r="72" ht="20" customHeight="1">
      <c r="A72" s="56">
        <f>IF(Configurações!$B$12="","Assessor 6",Configurações!$B$12)</f>
        <v/>
      </c>
      <c r="B72" s="57" t="n"/>
      <c r="C72" s="66">
        <f>'Abril'!$JW72</f>
        <v/>
      </c>
      <c r="D72" s="59" t="n"/>
      <c r="E72" s="57" t="n"/>
      <c r="F72" s="57" t="n"/>
      <c r="G72" s="57" t="n"/>
      <c r="H72" s="57" t="n"/>
      <c r="I72" s="67">
        <f>SUM(E72:H72)</f>
        <v/>
      </c>
      <c r="J72" s="61" t="n"/>
      <c r="K72" s="57" t="n"/>
      <c r="L72" s="66">
        <f>B72</f>
        <v/>
      </c>
      <c r="M72" s="59" t="n"/>
      <c r="N72" s="57" t="n"/>
      <c r="O72" s="57" t="n"/>
      <c r="P72" s="57" t="n"/>
      <c r="Q72" s="57" t="n"/>
      <c r="R72" s="67">
        <f>SUM(N72:Q72)</f>
        <v/>
      </c>
      <c r="S72" s="61" t="n"/>
      <c r="T72" s="57" t="n"/>
      <c r="U72" s="66">
        <f>K72</f>
        <v/>
      </c>
      <c r="V72" s="59" t="n"/>
      <c r="W72" s="57" t="n"/>
      <c r="X72" s="57" t="n"/>
      <c r="Y72" s="57" t="n"/>
      <c r="Z72" s="57" t="n"/>
      <c r="AA72" s="67">
        <f>SUM(W72:Z72)</f>
        <v/>
      </c>
      <c r="AB72" s="61" t="n"/>
      <c r="AC72" s="57" t="n"/>
      <c r="AD72" s="66">
        <f>T72</f>
        <v/>
      </c>
      <c r="AE72" s="59" t="n"/>
      <c r="AF72" s="57" t="n"/>
      <c r="AG72" s="57" t="n"/>
      <c r="AH72" s="57" t="n"/>
      <c r="AI72" s="57" t="n"/>
      <c r="AJ72" s="67">
        <f>SUM(AF72:AI72)</f>
        <v/>
      </c>
      <c r="AK72" s="61" t="n"/>
      <c r="AL72" s="57" t="n"/>
      <c r="AM72" s="66">
        <f>AC72</f>
        <v/>
      </c>
      <c r="AN72" s="59" t="n"/>
      <c r="AO72" s="57" t="n"/>
      <c r="AP72" s="57" t="n"/>
      <c r="AQ72" s="57" t="n"/>
      <c r="AR72" s="57" t="n"/>
      <c r="AS72" s="67">
        <f>SUM(AO72:AR72)</f>
        <v/>
      </c>
      <c r="AT72" s="61" t="n"/>
      <c r="AU72" s="57" t="n"/>
      <c r="AV72" s="66">
        <f>AL72</f>
        <v/>
      </c>
      <c r="AW72" s="59" t="n"/>
      <c r="AX72" s="57" t="n"/>
      <c r="AY72" s="57" t="n"/>
      <c r="AZ72" s="57" t="n"/>
      <c r="BA72" s="57" t="n"/>
      <c r="BB72" s="67">
        <f>SUM(AX72:BA72)</f>
        <v/>
      </c>
      <c r="BC72" s="61" t="n"/>
      <c r="BD72" s="57" t="n"/>
      <c r="BE72" s="66">
        <f>AU72</f>
        <v/>
      </c>
      <c r="BF72" s="59" t="n"/>
      <c r="BG72" s="57" t="n"/>
      <c r="BH72" s="57" t="n"/>
      <c r="BI72" s="57" t="n"/>
      <c r="BJ72" s="57" t="n"/>
      <c r="BK72" s="67">
        <f>SUM(BG72:BJ72)</f>
        <v/>
      </c>
      <c r="BL72" s="61" t="n"/>
      <c r="BM72" s="57" t="n"/>
      <c r="BN72" s="66">
        <f>BD72</f>
        <v/>
      </c>
      <c r="BO72" s="59" t="n"/>
      <c r="BP72" s="57" t="n"/>
      <c r="BQ72" s="57" t="n"/>
      <c r="BR72" s="57" t="n"/>
      <c r="BS72" s="57" t="n"/>
      <c r="BT72" s="67">
        <f>SUM(BP72:BS72)</f>
        <v/>
      </c>
      <c r="BU72" s="61" t="n"/>
      <c r="BV72" s="57" t="n"/>
      <c r="BW72" s="66">
        <f>BM72</f>
        <v/>
      </c>
      <c r="BX72" s="59" t="n"/>
      <c r="BY72" s="57" t="n"/>
      <c r="BZ72" s="57" t="n"/>
      <c r="CA72" s="57" t="n"/>
      <c r="CB72" s="57" t="n"/>
      <c r="CC72" s="67">
        <f>SUM(BY72:CB72)</f>
        <v/>
      </c>
      <c r="CD72" s="61" t="n"/>
      <c r="CE72" s="57" t="n"/>
      <c r="CF72" s="66">
        <f>BV72</f>
        <v/>
      </c>
      <c r="CG72" s="59" t="n"/>
      <c r="CH72" s="57" t="n"/>
      <c r="CI72" s="57" t="n"/>
      <c r="CJ72" s="57" t="n"/>
      <c r="CK72" s="57" t="n"/>
      <c r="CL72" s="67">
        <f>SUM(CH72:CK72)</f>
        <v/>
      </c>
      <c r="CM72" s="61" t="n"/>
      <c r="CN72" s="57" t="n"/>
      <c r="CO72" s="66">
        <f>CE72</f>
        <v/>
      </c>
      <c r="CP72" s="59" t="n"/>
      <c r="CQ72" s="57" t="n"/>
      <c r="CR72" s="57" t="n"/>
      <c r="CS72" s="57" t="n"/>
      <c r="CT72" s="57" t="n"/>
      <c r="CU72" s="67">
        <f>SUM(CQ72:CT72)</f>
        <v/>
      </c>
      <c r="CV72" s="61" t="n"/>
      <c r="CW72" s="57" t="n"/>
      <c r="CX72" s="66">
        <f>CN72</f>
        <v/>
      </c>
      <c r="CY72" s="59" t="n"/>
      <c r="CZ72" s="57" t="n"/>
      <c r="DA72" s="57" t="n"/>
      <c r="DB72" s="57" t="n"/>
      <c r="DC72" s="57" t="n"/>
      <c r="DD72" s="67">
        <f>SUM(CZ72:DC72)</f>
        <v/>
      </c>
      <c r="DE72" s="61" t="n"/>
      <c r="DF72" s="57" t="n"/>
      <c r="DG72" s="66">
        <f>CW72</f>
        <v/>
      </c>
      <c r="DH72" s="59" t="n"/>
      <c r="DI72" s="57" t="n"/>
      <c r="DJ72" s="57" t="n"/>
      <c r="DK72" s="57" t="n"/>
      <c r="DL72" s="57" t="n"/>
      <c r="DM72" s="67">
        <f>SUM(DI72:DL72)</f>
        <v/>
      </c>
      <c r="DN72" s="61" t="n"/>
      <c r="DO72" s="57" t="n"/>
      <c r="DP72" s="66">
        <f>DF72</f>
        <v/>
      </c>
      <c r="DQ72" s="59" t="n"/>
      <c r="DR72" s="57" t="n"/>
      <c r="DS72" s="57" t="n"/>
      <c r="DT72" s="57" t="n"/>
      <c r="DU72" s="57" t="n"/>
      <c r="DV72" s="67">
        <f>SUM(DR72:DU72)</f>
        <v/>
      </c>
      <c r="DW72" s="61" t="n"/>
      <c r="DX72" s="57" t="n"/>
      <c r="DY72" s="66">
        <f>DO72</f>
        <v/>
      </c>
      <c r="DZ72" s="59" t="n"/>
      <c r="EA72" s="57" t="n"/>
      <c r="EB72" s="57" t="n"/>
      <c r="EC72" s="57" t="n"/>
      <c r="ED72" s="57" t="n"/>
      <c r="EE72" s="67">
        <f>SUM(EA72:ED72)</f>
        <v/>
      </c>
      <c r="EF72" s="61" t="n"/>
      <c r="EG72" s="57" t="n"/>
      <c r="EH72" s="66">
        <f>DX72</f>
        <v/>
      </c>
      <c r="EI72" s="59" t="n"/>
      <c r="EJ72" s="57" t="n"/>
      <c r="EK72" s="57" t="n"/>
      <c r="EL72" s="57" t="n"/>
      <c r="EM72" s="57" t="n"/>
      <c r="EN72" s="67">
        <f>SUM(EJ72:EM72)</f>
        <v/>
      </c>
      <c r="EO72" s="61" t="n"/>
      <c r="EP72" s="57" t="n"/>
      <c r="EQ72" s="66">
        <f>EG72</f>
        <v/>
      </c>
      <c r="ER72" s="59" t="n"/>
      <c r="ES72" s="57" t="n"/>
      <c r="ET72" s="57" t="n"/>
      <c r="EU72" s="57" t="n"/>
      <c r="EV72" s="57" t="n"/>
      <c r="EW72" s="67">
        <f>SUM(ES72:EV72)</f>
        <v/>
      </c>
      <c r="EX72" s="61" t="n"/>
      <c r="EY72" s="57" t="n"/>
      <c r="EZ72" s="66">
        <f>EP72</f>
        <v/>
      </c>
      <c r="FA72" s="59" t="n"/>
      <c r="FB72" s="57" t="n"/>
      <c r="FC72" s="57" t="n"/>
      <c r="FD72" s="57" t="n"/>
      <c r="FE72" s="57" t="n"/>
      <c r="FF72" s="67">
        <f>SUM(FB72:FE72)</f>
        <v/>
      </c>
      <c r="FG72" s="61" t="n"/>
      <c r="FH72" s="57" t="n"/>
      <c r="FI72" s="66">
        <f>EY72</f>
        <v/>
      </c>
      <c r="FJ72" s="59" t="n"/>
      <c r="FK72" s="57" t="n"/>
      <c r="FL72" s="57" t="n"/>
      <c r="FM72" s="57" t="n"/>
      <c r="FN72" s="57" t="n"/>
      <c r="FO72" s="67">
        <f>SUM(FK72:FN72)</f>
        <v/>
      </c>
      <c r="FP72" s="61" t="n"/>
      <c r="FQ72" s="57" t="n"/>
      <c r="FR72" s="66">
        <f>FH72</f>
        <v/>
      </c>
      <c r="FS72" s="59" t="n"/>
      <c r="FT72" s="57" t="n"/>
      <c r="FU72" s="57" t="n"/>
      <c r="FV72" s="57" t="n"/>
      <c r="FW72" s="57" t="n"/>
      <c r="FX72" s="67">
        <f>SUM(FT72:FW72)</f>
        <v/>
      </c>
      <c r="FY72" s="61" t="n"/>
      <c r="FZ72" s="57" t="n"/>
      <c r="GA72" s="66">
        <f>FQ72</f>
        <v/>
      </c>
      <c r="GB72" s="59" t="n"/>
      <c r="GC72" s="57" t="n"/>
      <c r="GD72" s="57" t="n"/>
      <c r="GE72" s="57" t="n"/>
      <c r="GF72" s="57" t="n"/>
      <c r="GG72" s="67">
        <f>SUM(GC72:GF72)</f>
        <v/>
      </c>
      <c r="GH72" s="61" t="n"/>
      <c r="GI72" s="57" t="n"/>
      <c r="GJ72" s="66">
        <f>FZ72</f>
        <v/>
      </c>
      <c r="GK72" s="59" t="n"/>
      <c r="GL72" s="57" t="n"/>
      <c r="GM72" s="57" t="n"/>
      <c r="GN72" s="57" t="n"/>
      <c r="GO72" s="57" t="n"/>
      <c r="GP72" s="67">
        <f>SUM(GL72:GO72)</f>
        <v/>
      </c>
      <c r="GQ72" s="61" t="n"/>
      <c r="GR72" s="57" t="n"/>
      <c r="GS72" s="66">
        <f>GI72</f>
        <v/>
      </c>
      <c r="GT72" s="59" t="n"/>
      <c r="GU72" s="57" t="n"/>
      <c r="GV72" s="57" t="n"/>
      <c r="GW72" s="57" t="n"/>
      <c r="GX72" s="57" t="n"/>
      <c r="GY72" s="67">
        <f>SUM(GU72:GX72)</f>
        <v/>
      </c>
      <c r="GZ72" s="61" t="n"/>
      <c r="HA72" s="57" t="n"/>
      <c r="HB72" s="66">
        <f>GR72</f>
        <v/>
      </c>
      <c r="HC72" s="59" t="n"/>
      <c r="HD72" s="57" t="n"/>
      <c r="HE72" s="57" t="n"/>
      <c r="HF72" s="57" t="n"/>
      <c r="HG72" s="57" t="n"/>
      <c r="HH72" s="67">
        <f>SUM(HD72:HG72)</f>
        <v/>
      </c>
      <c r="HI72" s="61" t="n"/>
      <c r="HJ72" s="57" t="n"/>
      <c r="HK72" s="66">
        <f>HA72</f>
        <v/>
      </c>
      <c r="HL72" s="59" t="n"/>
      <c r="HM72" s="57" t="n"/>
      <c r="HN72" s="57" t="n"/>
      <c r="HO72" s="57" t="n"/>
      <c r="HP72" s="57" t="n"/>
      <c r="HQ72" s="67">
        <f>SUM(HM72:HP72)</f>
        <v/>
      </c>
      <c r="HR72" s="61" t="n"/>
      <c r="HS72" s="57" t="n"/>
      <c r="HT72" s="66">
        <f>HJ72</f>
        <v/>
      </c>
      <c r="HU72" s="59" t="n"/>
      <c r="HV72" s="57" t="n"/>
      <c r="HW72" s="57" t="n"/>
      <c r="HX72" s="57" t="n"/>
      <c r="HY72" s="57" t="n"/>
      <c r="HZ72" s="67">
        <f>SUM(HV72:HY72)</f>
        <v/>
      </c>
      <c r="IA72" s="61" t="n"/>
      <c r="IB72" s="57" t="n"/>
      <c r="IC72" s="66">
        <f>HS72</f>
        <v/>
      </c>
      <c r="ID72" s="59" t="n"/>
      <c r="IE72" s="57" t="n"/>
      <c r="IF72" s="57" t="n"/>
      <c r="IG72" s="57" t="n"/>
      <c r="IH72" s="57" t="n"/>
      <c r="II72" s="67">
        <f>SUM(IE72:IH72)</f>
        <v/>
      </c>
      <c r="IJ72" s="61" t="n"/>
      <c r="IK72" s="57" t="n"/>
      <c r="IL72" s="66">
        <f>IB72</f>
        <v/>
      </c>
      <c r="IM72" s="59" t="n"/>
      <c r="IN72" s="57" t="n"/>
      <c r="IO72" s="57" t="n"/>
      <c r="IP72" s="57" t="n"/>
      <c r="IQ72" s="57" t="n"/>
      <c r="IR72" s="67">
        <f>SUM(IN72:IQ72)</f>
        <v/>
      </c>
      <c r="IS72" s="61" t="n"/>
      <c r="IT72" s="57" t="n"/>
      <c r="IU72" s="66">
        <f>IK72</f>
        <v/>
      </c>
      <c r="IV72" s="59" t="n"/>
      <c r="IW72" s="57" t="n"/>
      <c r="IX72" s="57" t="n"/>
      <c r="IY72" s="57" t="n"/>
      <c r="IZ72" s="57" t="n"/>
      <c r="JA72" s="67">
        <f>SUM(IW72:IZ72)</f>
        <v/>
      </c>
      <c r="JB72" s="61" t="n"/>
      <c r="JC72" s="57" t="n"/>
      <c r="JD72" s="66">
        <f>IT72</f>
        <v/>
      </c>
      <c r="JE72" s="59" t="n"/>
      <c r="JF72" s="57" t="n"/>
      <c r="JG72" s="57" t="n"/>
      <c r="JH72" s="57" t="n"/>
      <c r="JI72" s="57" t="n"/>
      <c r="JJ72" s="67">
        <f>SUM(JF72:JI72)</f>
        <v/>
      </c>
      <c r="JK72" s="61" t="n"/>
      <c r="JL72" s="57" t="n"/>
      <c r="JM72" s="66">
        <f>JC72</f>
        <v/>
      </c>
      <c r="JN72" s="59" t="n"/>
      <c r="JO72" s="57" t="n"/>
      <c r="JP72" s="57" t="n"/>
      <c r="JQ72" s="57" t="n"/>
      <c r="JR72" s="57" t="n"/>
      <c r="JS72" s="67">
        <f>SUM(JO72:JR72)</f>
        <v/>
      </c>
      <c r="JT72" s="61" t="n"/>
      <c r="JU72" s="62">
        <f>I72+R72+AA72+AJ72+AS72+BB72+BK72+BT72+CC72+CL72+CU72+DD72+DM72+DV72+EE72+EN72+EW72+FF72+FO72+FX72+GG72+GP72+GY72+HH72+HQ72+HZ72+II72+IR72+JA72+JJ72+JS72</f>
        <v/>
      </c>
      <c r="JV72" s="63">
        <f>D72+M72+V72+AE72+AN72+AW72+BF72+BO72+BX72+CG72+CP72+CY72+DH72+DQ72+DZ72+EI72+ER72+FA72+FJ72+FS72+GB72+GK72+GT72+HC72+HL72+HU72+ID72+IM72+IV72+JE72+JN72</f>
        <v/>
      </c>
      <c r="JW72" s="62">
        <f>CHOOSE($Z$3,B72, K72, T72, AC72, AL72, AU72, BD72, BM72, BV72, CE72, CN72, CW72, DF72, DO72, DX72, EG72, EP72, EY72, FH72, FQ72, FZ72, GI72, GR72, HA72, HJ72, HS72, IB72, IK72, IT72, JC72, JL72)</f>
        <v/>
      </c>
      <c r="JX72" s="62">
        <f>IFERROR(JU72/$Z$3,0)</f>
        <v/>
      </c>
      <c r="JY72" s="62">
        <f>Configurações!$C$12</f>
        <v/>
      </c>
      <c r="JZ72" s="64">
        <f>IF(JY72=0,"— Sem meta",IF(JU72&gt;=JY72,"✓ Atingida","Em andamento"))</f>
        <v/>
      </c>
      <c r="KA72" s="65">
        <f>JU72+(8*0.0000001)</f>
        <v/>
      </c>
    </row>
    <row r="73" ht="20" customHeight="1">
      <c r="A73" s="56">
        <f>IF(Configurações!$B$13="","Assessor 7",Configurações!$B$13)</f>
        <v/>
      </c>
      <c r="B73" s="57" t="n"/>
      <c r="C73" s="58">
        <f>'Abril'!$JW73</f>
        <v/>
      </c>
      <c r="D73" s="59" t="n"/>
      <c r="E73" s="57" t="n"/>
      <c r="F73" s="57" t="n"/>
      <c r="G73" s="57" t="n"/>
      <c r="H73" s="57" t="n"/>
      <c r="I73" s="60">
        <f>SUM(E73:H73)</f>
        <v/>
      </c>
      <c r="J73" s="61" t="n"/>
      <c r="K73" s="57" t="n"/>
      <c r="L73" s="58">
        <f>B73</f>
        <v/>
      </c>
      <c r="M73" s="59" t="n"/>
      <c r="N73" s="57" t="n"/>
      <c r="O73" s="57" t="n"/>
      <c r="P73" s="57" t="n"/>
      <c r="Q73" s="57" t="n"/>
      <c r="R73" s="60">
        <f>SUM(N73:Q73)</f>
        <v/>
      </c>
      <c r="S73" s="61" t="n"/>
      <c r="T73" s="57" t="n"/>
      <c r="U73" s="58">
        <f>K73</f>
        <v/>
      </c>
      <c r="V73" s="59" t="n"/>
      <c r="W73" s="57" t="n"/>
      <c r="X73" s="57" t="n"/>
      <c r="Y73" s="57" t="n"/>
      <c r="Z73" s="57" t="n"/>
      <c r="AA73" s="60">
        <f>SUM(W73:Z73)</f>
        <v/>
      </c>
      <c r="AB73" s="61" t="n"/>
      <c r="AC73" s="57" t="n"/>
      <c r="AD73" s="58">
        <f>T73</f>
        <v/>
      </c>
      <c r="AE73" s="59" t="n"/>
      <c r="AF73" s="57" t="n"/>
      <c r="AG73" s="57" t="n"/>
      <c r="AH73" s="57" t="n"/>
      <c r="AI73" s="57" t="n"/>
      <c r="AJ73" s="60">
        <f>SUM(AF73:AI73)</f>
        <v/>
      </c>
      <c r="AK73" s="61" t="n"/>
      <c r="AL73" s="57" t="n"/>
      <c r="AM73" s="58">
        <f>AC73</f>
        <v/>
      </c>
      <c r="AN73" s="59" t="n"/>
      <c r="AO73" s="57" t="n"/>
      <c r="AP73" s="57" t="n"/>
      <c r="AQ73" s="57" t="n"/>
      <c r="AR73" s="57" t="n"/>
      <c r="AS73" s="60">
        <f>SUM(AO73:AR73)</f>
        <v/>
      </c>
      <c r="AT73" s="61" t="n"/>
      <c r="AU73" s="57" t="n"/>
      <c r="AV73" s="58">
        <f>AL73</f>
        <v/>
      </c>
      <c r="AW73" s="59" t="n"/>
      <c r="AX73" s="57" t="n"/>
      <c r="AY73" s="57" t="n"/>
      <c r="AZ73" s="57" t="n"/>
      <c r="BA73" s="57" t="n"/>
      <c r="BB73" s="60">
        <f>SUM(AX73:BA73)</f>
        <v/>
      </c>
      <c r="BC73" s="61" t="n"/>
      <c r="BD73" s="57" t="n"/>
      <c r="BE73" s="58">
        <f>AU73</f>
        <v/>
      </c>
      <c r="BF73" s="59" t="n"/>
      <c r="BG73" s="57" t="n"/>
      <c r="BH73" s="57" t="n"/>
      <c r="BI73" s="57" t="n"/>
      <c r="BJ73" s="57" t="n"/>
      <c r="BK73" s="60">
        <f>SUM(BG73:BJ73)</f>
        <v/>
      </c>
      <c r="BL73" s="61" t="n"/>
      <c r="BM73" s="57" t="n"/>
      <c r="BN73" s="58">
        <f>BD73</f>
        <v/>
      </c>
      <c r="BO73" s="59" t="n"/>
      <c r="BP73" s="57" t="n"/>
      <c r="BQ73" s="57" t="n"/>
      <c r="BR73" s="57" t="n"/>
      <c r="BS73" s="57" t="n"/>
      <c r="BT73" s="60">
        <f>SUM(BP73:BS73)</f>
        <v/>
      </c>
      <c r="BU73" s="61" t="n"/>
      <c r="BV73" s="57" t="n"/>
      <c r="BW73" s="58">
        <f>BM73</f>
        <v/>
      </c>
      <c r="BX73" s="59" t="n"/>
      <c r="BY73" s="57" t="n"/>
      <c r="BZ73" s="57" t="n"/>
      <c r="CA73" s="57" t="n"/>
      <c r="CB73" s="57" t="n"/>
      <c r="CC73" s="60">
        <f>SUM(BY73:CB73)</f>
        <v/>
      </c>
      <c r="CD73" s="61" t="n"/>
      <c r="CE73" s="57" t="n"/>
      <c r="CF73" s="58">
        <f>BV73</f>
        <v/>
      </c>
      <c r="CG73" s="59" t="n"/>
      <c r="CH73" s="57" t="n"/>
      <c r="CI73" s="57" t="n"/>
      <c r="CJ73" s="57" t="n"/>
      <c r="CK73" s="57" t="n"/>
      <c r="CL73" s="60">
        <f>SUM(CH73:CK73)</f>
        <v/>
      </c>
      <c r="CM73" s="61" t="n"/>
      <c r="CN73" s="57" t="n"/>
      <c r="CO73" s="58">
        <f>CE73</f>
        <v/>
      </c>
      <c r="CP73" s="59" t="n"/>
      <c r="CQ73" s="57" t="n"/>
      <c r="CR73" s="57" t="n"/>
      <c r="CS73" s="57" t="n"/>
      <c r="CT73" s="57" t="n"/>
      <c r="CU73" s="60">
        <f>SUM(CQ73:CT73)</f>
        <v/>
      </c>
      <c r="CV73" s="61" t="n"/>
      <c r="CW73" s="57" t="n"/>
      <c r="CX73" s="58">
        <f>CN73</f>
        <v/>
      </c>
      <c r="CY73" s="59" t="n"/>
      <c r="CZ73" s="57" t="n"/>
      <c r="DA73" s="57" t="n"/>
      <c r="DB73" s="57" t="n"/>
      <c r="DC73" s="57" t="n"/>
      <c r="DD73" s="60">
        <f>SUM(CZ73:DC73)</f>
        <v/>
      </c>
      <c r="DE73" s="61" t="n"/>
      <c r="DF73" s="57" t="n"/>
      <c r="DG73" s="58">
        <f>CW73</f>
        <v/>
      </c>
      <c r="DH73" s="59" t="n"/>
      <c r="DI73" s="57" t="n"/>
      <c r="DJ73" s="57" t="n"/>
      <c r="DK73" s="57" t="n"/>
      <c r="DL73" s="57" t="n"/>
      <c r="DM73" s="60">
        <f>SUM(DI73:DL73)</f>
        <v/>
      </c>
      <c r="DN73" s="61" t="n"/>
      <c r="DO73" s="57" t="n"/>
      <c r="DP73" s="58">
        <f>DF73</f>
        <v/>
      </c>
      <c r="DQ73" s="59" t="n"/>
      <c r="DR73" s="57" t="n"/>
      <c r="DS73" s="57" t="n"/>
      <c r="DT73" s="57" t="n"/>
      <c r="DU73" s="57" t="n"/>
      <c r="DV73" s="60">
        <f>SUM(DR73:DU73)</f>
        <v/>
      </c>
      <c r="DW73" s="61" t="n"/>
      <c r="DX73" s="57" t="n"/>
      <c r="DY73" s="58">
        <f>DO73</f>
        <v/>
      </c>
      <c r="DZ73" s="59" t="n"/>
      <c r="EA73" s="57" t="n"/>
      <c r="EB73" s="57" t="n"/>
      <c r="EC73" s="57" t="n"/>
      <c r="ED73" s="57" t="n"/>
      <c r="EE73" s="60">
        <f>SUM(EA73:ED73)</f>
        <v/>
      </c>
      <c r="EF73" s="61" t="n"/>
      <c r="EG73" s="57" t="n"/>
      <c r="EH73" s="58">
        <f>DX73</f>
        <v/>
      </c>
      <c r="EI73" s="59" t="n"/>
      <c r="EJ73" s="57" t="n"/>
      <c r="EK73" s="57" t="n"/>
      <c r="EL73" s="57" t="n"/>
      <c r="EM73" s="57" t="n"/>
      <c r="EN73" s="60">
        <f>SUM(EJ73:EM73)</f>
        <v/>
      </c>
      <c r="EO73" s="61" t="n"/>
      <c r="EP73" s="57" t="n"/>
      <c r="EQ73" s="58">
        <f>EG73</f>
        <v/>
      </c>
      <c r="ER73" s="59" t="n"/>
      <c r="ES73" s="57" t="n"/>
      <c r="ET73" s="57" t="n"/>
      <c r="EU73" s="57" t="n"/>
      <c r="EV73" s="57" t="n"/>
      <c r="EW73" s="60">
        <f>SUM(ES73:EV73)</f>
        <v/>
      </c>
      <c r="EX73" s="61" t="n"/>
      <c r="EY73" s="57" t="n"/>
      <c r="EZ73" s="58">
        <f>EP73</f>
        <v/>
      </c>
      <c r="FA73" s="59" t="n"/>
      <c r="FB73" s="57" t="n"/>
      <c r="FC73" s="57" t="n"/>
      <c r="FD73" s="57" t="n"/>
      <c r="FE73" s="57" t="n"/>
      <c r="FF73" s="60">
        <f>SUM(FB73:FE73)</f>
        <v/>
      </c>
      <c r="FG73" s="61" t="n"/>
      <c r="FH73" s="57" t="n"/>
      <c r="FI73" s="58">
        <f>EY73</f>
        <v/>
      </c>
      <c r="FJ73" s="59" t="n"/>
      <c r="FK73" s="57" t="n"/>
      <c r="FL73" s="57" t="n"/>
      <c r="FM73" s="57" t="n"/>
      <c r="FN73" s="57" t="n"/>
      <c r="FO73" s="60">
        <f>SUM(FK73:FN73)</f>
        <v/>
      </c>
      <c r="FP73" s="61" t="n"/>
      <c r="FQ73" s="57" t="n"/>
      <c r="FR73" s="58">
        <f>FH73</f>
        <v/>
      </c>
      <c r="FS73" s="59" t="n"/>
      <c r="FT73" s="57" t="n"/>
      <c r="FU73" s="57" t="n"/>
      <c r="FV73" s="57" t="n"/>
      <c r="FW73" s="57" t="n"/>
      <c r="FX73" s="60">
        <f>SUM(FT73:FW73)</f>
        <v/>
      </c>
      <c r="FY73" s="61" t="n"/>
      <c r="FZ73" s="57" t="n"/>
      <c r="GA73" s="58">
        <f>FQ73</f>
        <v/>
      </c>
      <c r="GB73" s="59" t="n"/>
      <c r="GC73" s="57" t="n"/>
      <c r="GD73" s="57" t="n"/>
      <c r="GE73" s="57" t="n"/>
      <c r="GF73" s="57" t="n"/>
      <c r="GG73" s="60">
        <f>SUM(GC73:GF73)</f>
        <v/>
      </c>
      <c r="GH73" s="61" t="n"/>
      <c r="GI73" s="57" t="n"/>
      <c r="GJ73" s="58">
        <f>FZ73</f>
        <v/>
      </c>
      <c r="GK73" s="59" t="n"/>
      <c r="GL73" s="57" t="n"/>
      <c r="GM73" s="57" t="n"/>
      <c r="GN73" s="57" t="n"/>
      <c r="GO73" s="57" t="n"/>
      <c r="GP73" s="60">
        <f>SUM(GL73:GO73)</f>
        <v/>
      </c>
      <c r="GQ73" s="61" t="n"/>
      <c r="GR73" s="57" t="n"/>
      <c r="GS73" s="58">
        <f>GI73</f>
        <v/>
      </c>
      <c r="GT73" s="59" t="n"/>
      <c r="GU73" s="57" t="n"/>
      <c r="GV73" s="57" t="n"/>
      <c r="GW73" s="57" t="n"/>
      <c r="GX73" s="57" t="n"/>
      <c r="GY73" s="60">
        <f>SUM(GU73:GX73)</f>
        <v/>
      </c>
      <c r="GZ73" s="61" t="n"/>
      <c r="HA73" s="57" t="n"/>
      <c r="HB73" s="58">
        <f>GR73</f>
        <v/>
      </c>
      <c r="HC73" s="59" t="n"/>
      <c r="HD73" s="57" t="n"/>
      <c r="HE73" s="57" t="n"/>
      <c r="HF73" s="57" t="n"/>
      <c r="HG73" s="57" t="n"/>
      <c r="HH73" s="60">
        <f>SUM(HD73:HG73)</f>
        <v/>
      </c>
      <c r="HI73" s="61" t="n"/>
      <c r="HJ73" s="57" t="n"/>
      <c r="HK73" s="58">
        <f>HA73</f>
        <v/>
      </c>
      <c r="HL73" s="59" t="n"/>
      <c r="HM73" s="57" t="n"/>
      <c r="HN73" s="57" t="n"/>
      <c r="HO73" s="57" t="n"/>
      <c r="HP73" s="57" t="n"/>
      <c r="HQ73" s="60">
        <f>SUM(HM73:HP73)</f>
        <v/>
      </c>
      <c r="HR73" s="61" t="n"/>
      <c r="HS73" s="57" t="n"/>
      <c r="HT73" s="58">
        <f>HJ73</f>
        <v/>
      </c>
      <c r="HU73" s="59" t="n"/>
      <c r="HV73" s="57" t="n"/>
      <c r="HW73" s="57" t="n"/>
      <c r="HX73" s="57" t="n"/>
      <c r="HY73" s="57" t="n"/>
      <c r="HZ73" s="60">
        <f>SUM(HV73:HY73)</f>
        <v/>
      </c>
      <c r="IA73" s="61" t="n"/>
      <c r="IB73" s="57" t="n"/>
      <c r="IC73" s="58">
        <f>HS73</f>
        <v/>
      </c>
      <c r="ID73" s="59" t="n"/>
      <c r="IE73" s="57" t="n"/>
      <c r="IF73" s="57" t="n"/>
      <c r="IG73" s="57" t="n"/>
      <c r="IH73" s="57" t="n"/>
      <c r="II73" s="60">
        <f>SUM(IE73:IH73)</f>
        <v/>
      </c>
      <c r="IJ73" s="61" t="n"/>
      <c r="IK73" s="57" t="n"/>
      <c r="IL73" s="58">
        <f>IB73</f>
        <v/>
      </c>
      <c r="IM73" s="59" t="n"/>
      <c r="IN73" s="57" t="n"/>
      <c r="IO73" s="57" t="n"/>
      <c r="IP73" s="57" t="n"/>
      <c r="IQ73" s="57" t="n"/>
      <c r="IR73" s="60">
        <f>SUM(IN73:IQ73)</f>
        <v/>
      </c>
      <c r="IS73" s="61" t="n"/>
      <c r="IT73" s="57" t="n"/>
      <c r="IU73" s="58">
        <f>IK73</f>
        <v/>
      </c>
      <c r="IV73" s="59" t="n"/>
      <c r="IW73" s="57" t="n"/>
      <c r="IX73" s="57" t="n"/>
      <c r="IY73" s="57" t="n"/>
      <c r="IZ73" s="57" t="n"/>
      <c r="JA73" s="60">
        <f>SUM(IW73:IZ73)</f>
        <v/>
      </c>
      <c r="JB73" s="61" t="n"/>
      <c r="JC73" s="57" t="n"/>
      <c r="JD73" s="58">
        <f>IT73</f>
        <v/>
      </c>
      <c r="JE73" s="59" t="n"/>
      <c r="JF73" s="57" t="n"/>
      <c r="JG73" s="57" t="n"/>
      <c r="JH73" s="57" t="n"/>
      <c r="JI73" s="57" t="n"/>
      <c r="JJ73" s="60">
        <f>SUM(JF73:JI73)</f>
        <v/>
      </c>
      <c r="JK73" s="61" t="n"/>
      <c r="JL73" s="57" t="n"/>
      <c r="JM73" s="58">
        <f>JC73</f>
        <v/>
      </c>
      <c r="JN73" s="59" t="n"/>
      <c r="JO73" s="57" t="n"/>
      <c r="JP73" s="57" t="n"/>
      <c r="JQ73" s="57" t="n"/>
      <c r="JR73" s="57" t="n"/>
      <c r="JS73" s="60">
        <f>SUM(JO73:JR73)</f>
        <v/>
      </c>
      <c r="JT73" s="61" t="n"/>
      <c r="JU73" s="62">
        <f>I73+R73+AA73+AJ73+AS73+BB73+BK73+BT73+CC73+CL73+CU73+DD73+DM73+DV73+EE73+EN73+EW73+FF73+FO73+FX73+GG73+GP73+GY73+HH73+HQ73+HZ73+II73+IR73+JA73+JJ73+JS73</f>
        <v/>
      </c>
      <c r="JV73" s="63">
        <f>D73+M73+V73+AE73+AN73+AW73+BF73+BO73+BX73+CG73+CP73+CY73+DH73+DQ73+DZ73+EI73+ER73+FA73+FJ73+FS73+GB73+GK73+GT73+HC73+HL73+HU73+ID73+IM73+IV73+JE73+JN73</f>
        <v/>
      </c>
      <c r="JW73" s="62">
        <f>CHOOSE($Z$3,B73, K73, T73, AC73, AL73, AU73, BD73, BM73, BV73, CE73, CN73, CW73, DF73, DO73, DX73, EG73, EP73, EY73, FH73, FQ73, FZ73, GI73, GR73, HA73, HJ73, HS73, IB73, IK73, IT73, JC73, JL73)</f>
        <v/>
      </c>
      <c r="JX73" s="62">
        <f>IFERROR(JU73/$Z$3,0)</f>
        <v/>
      </c>
      <c r="JY73" s="62">
        <f>Configurações!$C$13</f>
        <v/>
      </c>
      <c r="JZ73" s="64">
        <f>IF(JY73=0,"— Sem meta",IF(JU73&gt;=JY73,"✓ Atingida","Em andamento"))</f>
        <v/>
      </c>
      <c r="KA73" s="65">
        <f>JU73+(7*0.0000001)</f>
        <v/>
      </c>
    </row>
    <row r="74" ht="20" customHeight="1">
      <c r="A74" s="56">
        <f>IF(Configurações!$B$14="","Assessor 8",Configurações!$B$14)</f>
        <v/>
      </c>
      <c r="B74" s="57" t="n"/>
      <c r="C74" s="66">
        <f>'Abril'!$JW74</f>
        <v/>
      </c>
      <c r="D74" s="59" t="n"/>
      <c r="E74" s="57" t="n"/>
      <c r="F74" s="57" t="n"/>
      <c r="G74" s="57" t="n"/>
      <c r="H74" s="57" t="n"/>
      <c r="I74" s="67">
        <f>SUM(E74:H74)</f>
        <v/>
      </c>
      <c r="J74" s="61" t="n"/>
      <c r="K74" s="57" t="n"/>
      <c r="L74" s="66">
        <f>B74</f>
        <v/>
      </c>
      <c r="M74" s="59" t="n"/>
      <c r="N74" s="57" t="n"/>
      <c r="O74" s="57" t="n"/>
      <c r="P74" s="57" t="n"/>
      <c r="Q74" s="57" t="n"/>
      <c r="R74" s="67">
        <f>SUM(N74:Q74)</f>
        <v/>
      </c>
      <c r="S74" s="61" t="n"/>
      <c r="T74" s="57" t="n"/>
      <c r="U74" s="66">
        <f>K74</f>
        <v/>
      </c>
      <c r="V74" s="59" t="n"/>
      <c r="W74" s="57" t="n"/>
      <c r="X74" s="57" t="n"/>
      <c r="Y74" s="57" t="n"/>
      <c r="Z74" s="57" t="n"/>
      <c r="AA74" s="67">
        <f>SUM(W74:Z74)</f>
        <v/>
      </c>
      <c r="AB74" s="61" t="n"/>
      <c r="AC74" s="57" t="n"/>
      <c r="AD74" s="66">
        <f>T74</f>
        <v/>
      </c>
      <c r="AE74" s="59" t="n"/>
      <c r="AF74" s="57" t="n"/>
      <c r="AG74" s="57" t="n"/>
      <c r="AH74" s="57" t="n"/>
      <c r="AI74" s="57" t="n"/>
      <c r="AJ74" s="67">
        <f>SUM(AF74:AI74)</f>
        <v/>
      </c>
      <c r="AK74" s="61" t="n"/>
      <c r="AL74" s="57" t="n"/>
      <c r="AM74" s="66">
        <f>AC74</f>
        <v/>
      </c>
      <c r="AN74" s="59" t="n"/>
      <c r="AO74" s="57" t="n"/>
      <c r="AP74" s="57" t="n"/>
      <c r="AQ74" s="57" t="n"/>
      <c r="AR74" s="57" t="n"/>
      <c r="AS74" s="67">
        <f>SUM(AO74:AR74)</f>
        <v/>
      </c>
      <c r="AT74" s="61" t="n"/>
      <c r="AU74" s="57" t="n"/>
      <c r="AV74" s="66">
        <f>AL74</f>
        <v/>
      </c>
      <c r="AW74" s="59" t="n"/>
      <c r="AX74" s="57" t="n"/>
      <c r="AY74" s="57" t="n"/>
      <c r="AZ74" s="57" t="n"/>
      <c r="BA74" s="57" t="n"/>
      <c r="BB74" s="67">
        <f>SUM(AX74:BA74)</f>
        <v/>
      </c>
      <c r="BC74" s="61" t="n"/>
      <c r="BD74" s="57" t="n"/>
      <c r="BE74" s="66">
        <f>AU74</f>
        <v/>
      </c>
      <c r="BF74" s="59" t="n"/>
      <c r="BG74" s="57" t="n"/>
      <c r="BH74" s="57" t="n"/>
      <c r="BI74" s="57" t="n"/>
      <c r="BJ74" s="57" t="n"/>
      <c r="BK74" s="67">
        <f>SUM(BG74:BJ74)</f>
        <v/>
      </c>
      <c r="BL74" s="61" t="n"/>
      <c r="BM74" s="57" t="n"/>
      <c r="BN74" s="66">
        <f>BD74</f>
        <v/>
      </c>
      <c r="BO74" s="59" t="n"/>
      <c r="BP74" s="57" t="n"/>
      <c r="BQ74" s="57" t="n"/>
      <c r="BR74" s="57" t="n"/>
      <c r="BS74" s="57" t="n"/>
      <c r="BT74" s="67">
        <f>SUM(BP74:BS74)</f>
        <v/>
      </c>
      <c r="BU74" s="61" t="n"/>
      <c r="BV74" s="57" t="n"/>
      <c r="BW74" s="66">
        <f>BM74</f>
        <v/>
      </c>
      <c r="BX74" s="59" t="n"/>
      <c r="BY74" s="57" t="n"/>
      <c r="BZ74" s="57" t="n"/>
      <c r="CA74" s="57" t="n"/>
      <c r="CB74" s="57" t="n"/>
      <c r="CC74" s="67">
        <f>SUM(BY74:CB74)</f>
        <v/>
      </c>
      <c r="CD74" s="61" t="n"/>
      <c r="CE74" s="57" t="n"/>
      <c r="CF74" s="66">
        <f>BV74</f>
        <v/>
      </c>
      <c r="CG74" s="59" t="n"/>
      <c r="CH74" s="57" t="n"/>
      <c r="CI74" s="57" t="n"/>
      <c r="CJ74" s="57" t="n"/>
      <c r="CK74" s="57" t="n"/>
      <c r="CL74" s="67">
        <f>SUM(CH74:CK74)</f>
        <v/>
      </c>
      <c r="CM74" s="61" t="n"/>
      <c r="CN74" s="57" t="n"/>
      <c r="CO74" s="66">
        <f>CE74</f>
        <v/>
      </c>
      <c r="CP74" s="59" t="n"/>
      <c r="CQ74" s="57" t="n"/>
      <c r="CR74" s="57" t="n"/>
      <c r="CS74" s="57" t="n"/>
      <c r="CT74" s="57" t="n"/>
      <c r="CU74" s="67">
        <f>SUM(CQ74:CT74)</f>
        <v/>
      </c>
      <c r="CV74" s="61" t="n"/>
      <c r="CW74" s="57" t="n"/>
      <c r="CX74" s="66">
        <f>CN74</f>
        <v/>
      </c>
      <c r="CY74" s="59" t="n"/>
      <c r="CZ74" s="57" t="n"/>
      <c r="DA74" s="57" t="n"/>
      <c r="DB74" s="57" t="n"/>
      <c r="DC74" s="57" t="n"/>
      <c r="DD74" s="67">
        <f>SUM(CZ74:DC74)</f>
        <v/>
      </c>
      <c r="DE74" s="61" t="n"/>
      <c r="DF74" s="57" t="n"/>
      <c r="DG74" s="66">
        <f>CW74</f>
        <v/>
      </c>
      <c r="DH74" s="59" t="n"/>
      <c r="DI74" s="57" t="n"/>
      <c r="DJ74" s="57" t="n"/>
      <c r="DK74" s="57" t="n"/>
      <c r="DL74" s="57" t="n"/>
      <c r="DM74" s="67">
        <f>SUM(DI74:DL74)</f>
        <v/>
      </c>
      <c r="DN74" s="61" t="n"/>
      <c r="DO74" s="57" t="n"/>
      <c r="DP74" s="66">
        <f>DF74</f>
        <v/>
      </c>
      <c r="DQ74" s="59" t="n"/>
      <c r="DR74" s="57" t="n"/>
      <c r="DS74" s="57" t="n"/>
      <c r="DT74" s="57" t="n"/>
      <c r="DU74" s="57" t="n"/>
      <c r="DV74" s="67">
        <f>SUM(DR74:DU74)</f>
        <v/>
      </c>
      <c r="DW74" s="61" t="n"/>
      <c r="DX74" s="57" t="n"/>
      <c r="DY74" s="66">
        <f>DO74</f>
        <v/>
      </c>
      <c r="DZ74" s="59" t="n"/>
      <c r="EA74" s="57" t="n"/>
      <c r="EB74" s="57" t="n"/>
      <c r="EC74" s="57" t="n"/>
      <c r="ED74" s="57" t="n"/>
      <c r="EE74" s="67">
        <f>SUM(EA74:ED74)</f>
        <v/>
      </c>
      <c r="EF74" s="61" t="n"/>
      <c r="EG74" s="57" t="n"/>
      <c r="EH74" s="66">
        <f>DX74</f>
        <v/>
      </c>
      <c r="EI74" s="59" t="n"/>
      <c r="EJ74" s="57" t="n"/>
      <c r="EK74" s="57" t="n"/>
      <c r="EL74" s="57" t="n"/>
      <c r="EM74" s="57" t="n"/>
      <c r="EN74" s="67">
        <f>SUM(EJ74:EM74)</f>
        <v/>
      </c>
      <c r="EO74" s="61" t="n"/>
      <c r="EP74" s="57" t="n"/>
      <c r="EQ74" s="66">
        <f>EG74</f>
        <v/>
      </c>
      <c r="ER74" s="59" t="n"/>
      <c r="ES74" s="57" t="n"/>
      <c r="ET74" s="57" t="n"/>
      <c r="EU74" s="57" t="n"/>
      <c r="EV74" s="57" t="n"/>
      <c r="EW74" s="67">
        <f>SUM(ES74:EV74)</f>
        <v/>
      </c>
      <c r="EX74" s="61" t="n"/>
      <c r="EY74" s="57" t="n"/>
      <c r="EZ74" s="66">
        <f>EP74</f>
        <v/>
      </c>
      <c r="FA74" s="59" t="n"/>
      <c r="FB74" s="57" t="n"/>
      <c r="FC74" s="57" t="n"/>
      <c r="FD74" s="57" t="n"/>
      <c r="FE74" s="57" t="n"/>
      <c r="FF74" s="67">
        <f>SUM(FB74:FE74)</f>
        <v/>
      </c>
      <c r="FG74" s="61" t="n"/>
      <c r="FH74" s="57" t="n"/>
      <c r="FI74" s="66">
        <f>EY74</f>
        <v/>
      </c>
      <c r="FJ74" s="59" t="n"/>
      <c r="FK74" s="57" t="n"/>
      <c r="FL74" s="57" t="n"/>
      <c r="FM74" s="57" t="n"/>
      <c r="FN74" s="57" t="n"/>
      <c r="FO74" s="67">
        <f>SUM(FK74:FN74)</f>
        <v/>
      </c>
      <c r="FP74" s="61" t="n"/>
      <c r="FQ74" s="57" t="n"/>
      <c r="FR74" s="66">
        <f>FH74</f>
        <v/>
      </c>
      <c r="FS74" s="59" t="n"/>
      <c r="FT74" s="57" t="n"/>
      <c r="FU74" s="57" t="n"/>
      <c r="FV74" s="57" t="n"/>
      <c r="FW74" s="57" t="n"/>
      <c r="FX74" s="67">
        <f>SUM(FT74:FW74)</f>
        <v/>
      </c>
      <c r="FY74" s="61" t="n"/>
      <c r="FZ74" s="57" t="n"/>
      <c r="GA74" s="66">
        <f>FQ74</f>
        <v/>
      </c>
      <c r="GB74" s="59" t="n"/>
      <c r="GC74" s="57" t="n"/>
      <c r="GD74" s="57" t="n"/>
      <c r="GE74" s="57" t="n"/>
      <c r="GF74" s="57" t="n"/>
      <c r="GG74" s="67">
        <f>SUM(GC74:GF74)</f>
        <v/>
      </c>
      <c r="GH74" s="61" t="n"/>
      <c r="GI74" s="57" t="n"/>
      <c r="GJ74" s="66">
        <f>FZ74</f>
        <v/>
      </c>
      <c r="GK74" s="59" t="n"/>
      <c r="GL74" s="57" t="n"/>
      <c r="GM74" s="57" t="n"/>
      <c r="GN74" s="57" t="n"/>
      <c r="GO74" s="57" t="n"/>
      <c r="GP74" s="67">
        <f>SUM(GL74:GO74)</f>
        <v/>
      </c>
      <c r="GQ74" s="61" t="n"/>
      <c r="GR74" s="57" t="n"/>
      <c r="GS74" s="66">
        <f>GI74</f>
        <v/>
      </c>
      <c r="GT74" s="59" t="n"/>
      <c r="GU74" s="57" t="n"/>
      <c r="GV74" s="57" t="n"/>
      <c r="GW74" s="57" t="n"/>
      <c r="GX74" s="57" t="n"/>
      <c r="GY74" s="67">
        <f>SUM(GU74:GX74)</f>
        <v/>
      </c>
      <c r="GZ74" s="61" t="n"/>
      <c r="HA74" s="57" t="n"/>
      <c r="HB74" s="66">
        <f>GR74</f>
        <v/>
      </c>
      <c r="HC74" s="59" t="n"/>
      <c r="HD74" s="57" t="n"/>
      <c r="HE74" s="57" t="n"/>
      <c r="HF74" s="57" t="n"/>
      <c r="HG74" s="57" t="n"/>
      <c r="HH74" s="67">
        <f>SUM(HD74:HG74)</f>
        <v/>
      </c>
      <c r="HI74" s="61" t="n"/>
      <c r="HJ74" s="57" t="n"/>
      <c r="HK74" s="66">
        <f>HA74</f>
        <v/>
      </c>
      <c r="HL74" s="59" t="n"/>
      <c r="HM74" s="57" t="n"/>
      <c r="HN74" s="57" t="n"/>
      <c r="HO74" s="57" t="n"/>
      <c r="HP74" s="57" t="n"/>
      <c r="HQ74" s="67">
        <f>SUM(HM74:HP74)</f>
        <v/>
      </c>
      <c r="HR74" s="61" t="n"/>
      <c r="HS74" s="57" t="n"/>
      <c r="HT74" s="66">
        <f>HJ74</f>
        <v/>
      </c>
      <c r="HU74" s="59" t="n"/>
      <c r="HV74" s="57" t="n"/>
      <c r="HW74" s="57" t="n"/>
      <c r="HX74" s="57" t="n"/>
      <c r="HY74" s="57" t="n"/>
      <c r="HZ74" s="67">
        <f>SUM(HV74:HY74)</f>
        <v/>
      </c>
      <c r="IA74" s="61" t="n"/>
      <c r="IB74" s="57" t="n"/>
      <c r="IC74" s="66">
        <f>HS74</f>
        <v/>
      </c>
      <c r="ID74" s="59" t="n"/>
      <c r="IE74" s="57" t="n"/>
      <c r="IF74" s="57" t="n"/>
      <c r="IG74" s="57" t="n"/>
      <c r="IH74" s="57" t="n"/>
      <c r="II74" s="67">
        <f>SUM(IE74:IH74)</f>
        <v/>
      </c>
      <c r="IJ74" s="61" t="n"/>
      <c r="IK74" s="57" t="n"/>
      <c r="IL74" s="66">
        <f>IB74</f>
        <v/>
      </c>
      <c r="IM74" s="59" t="n"/>
      <c r="IN74" s="57" t="n"/>
      <c r="IO74" s="57" t="n"/>
      <c r="IP74" s="57" t="n"/>
      <c r="IQ74" s="57" t="n"/>
      <c r="IR74" s="67">
        <f>SUM(IN74:IQ74)</f>
        <v/>
      </c>
      <c r="IS74" s="61" t="n"/>
      <c r="IT74" s="57" t="n"/>
      <c r="IU74" s="66">
        <f>IK74</f>
        <v/>
      </c>
      <c r="IV74" s="59" t="n"/>
      <c r="IW74" s="57" t="n"/>
      <c r="IX74" s="57" t="n"/>
      <c r="IY74" s="57" t="n"/>
      <c r="IZ74" s="57" t="n"/>
      <c r="JA74" s="67">
        <f>SUM(IW74:IZ74)</f>
        <v/>
      </c>
      <c r="JB74" s="61" t="n"/>
      <c r="JC74" s="57" t="n"/>
      <c r="JD74" s="66">
        <f>IT74</f>
        <v/>
      </c>
      <c r="JE74" s="59" t="n"/>
      <c r="JF74" s="57" t="n"/>
      <c r="JG74" s="57" t="n"/>
      <c r="JH74" s="57" t="n"/>
      <c r="JI74" s="57" t="n"/>
      <c r="JJ74" s="67">
        <f>SUM(JF74:JI74)</f>
        <v/>
      </c>
      <c r="JK74" s="61" t="n"/>
      <c r="JL74" s="57" t="n"/>
      <c r="JM74" s="66">
        <f>JC74</f>
        <v/>
      </c>
      <c r="JN74" s="59" t="n"/>
      <c r="JO74" s="57" t="n"/>
      <c r="JP74" s="57" t="n"/>
      <c r="JQ74" s="57" t="n"/>
      <c r="JR74" s="57" t="n"/>
      <c r="JS74" s="67">
        <f>SUM(JO74:JR74)</f>
        <v/>
      </c>
      <c r="JT74" s="61" t="n"/>
      <c r="JU74" s="62">
        <f>I74+R74+AA74+AJ74+AS74+BB74+BK74+BT74+CC74+CL74+CU74+DD74+DM74+DV74+EE74+EN74+EW74+FF74+FO74+FX74+GG74+GP74+GY74+HH74+HQ74+HZ74+II74+IR74+JA74+JJ74+JS74</f>
        <v/>
      </c>
      <c r="JV74" s="63">
        <f>D74+M74+V74+AE74+AN74+AW74+BF74+BO74+BX74+CG74+CP74+CY74+DH74+DQ74+DZ74+EI74+ER74+FA74+FJ74+FS74+GB74+GK74+GT74+HC74+HL74+HU74+ID74+IM74+IV74+JE74+JN74</f>
        <v/>
      </c>
      <c r="JW74" s="62">
        <f>CHOOSE($Z$3,B74, K74, T74, AC74, AL74, AU74, BD74, BM74, BV74, CE74, CN74, CW74, DF74, DO74, DX74, EG74, EP74, EY74, FH74, FQ74, FZ74, GI74, GR74, HA74, HJ74, HS74, IB74, IK74, IT74, JC74, JL74)</f>
        <v/>
      </c>
      <c r="JX74" s="62">
        <f>IFERROR(JU74/$Z$3,0)</f>
        <v/>
      </c>
      <c r="JY74" s="62">
        <f>Configurações!$C$14</f>
        <v/>
      </c>
      <c r="JZ74" s="64">
        <f>IF(JY74=0,"— Sem meta",IF(JU74&gt;=JY74,"✓ Atingida","Em andamento"))</f>
        <v/>
      </c>
      <c r="KA74" s="65">
        <f>JU74+(6*0.0000001)</f>
        <v/>
      </c>
    </row>
    <row r="75" ht="20" customHeight="1">
      <c r="A75" s="56">
        <f>IF(Configurações!$B$15="","Assessor 9",Configurações!$B$15)</f>
        <v/>
      </c>
      <c r="B75" s="57" t="n"/>
      <c r="C75" s="58">
        <f>'Abril'!$JW75</f>
        <v/>
      </c>
      <c r="D75" s="59" t="n"/>
      <c r="E75" s="57" t="n"/>
      <c r="F75" s="57" t="n"/>
      <c r="G75" s="57" t="n"/>
      <c r="H75" s="57" t="n"/>
      <c r="I75" s="60">
        <f>SUM(E75:H75)</f>
        <v/>
      </c>
      <c r="J75" s="61" t="n"/>
      <c r="K75" s="57" t="n"/>
      <c r="L75" s="58">
        <f>B75</f>
        <v/>
      </c>
      <c r="M75" s="59" t="n"/>
      <c r="N75" s="57" t="n"/>
      <c r="O75" s="57" t="n"/>
      <c r="P75" s="57" t="n"/>
      <c r="Q75" s="57" t="n"/>
      <c r="R75" s="60">
        <f>SUM(N75:Q75)</f>
        <v/>
      </c>
      <c r="S75" s="61" t="n"/>
      <c r="T75" s="57" t="n"/>
      <c r="U75" s="58">
        <f>K75</f>
        <v/>
      </c>
      <c r="V75" s="59" t="n"/>
      <c r="W75" s="57" t="n"/>
      <c r="X75" s="57" t="n"/>
      <c r="Y75" s="57" t="n"/>
      <c r="Z75" s="57" t="n"/>
      <c r="AA75" s="60">
        <f>SUM(W75:Z75)</f>
        <v/>
      </c>
      <c r="AB75" s="61" t="n"/>
      <c r="AC75" s="57" t="n"/>
      <c r="AD75" s="58">
        <f>T75</f>
        <v/>
      </c>
      <c r="AE75" s="59" t="n"/>
      <c r="AF75" s="57" t="n"/>
      <c r="AG75" s="57" t="n"/>
      <c r="AH75" s="57" t="n"/>
      <c r="AI75" s="57" t="n"/>
      <c r="AJ75" s="60">
        <f>SUM(AF75:AI75)</f>
        <v/>
      </c>
      <c r="AK75" s="61" t="n"/>
      <c r="AL75" s="57" t="n"/>
      <c r="AM75" s="58">
        <f>AC75</f>
        <v/>
      </c>
      <c r="AN75" s="59" t="n"/>
      <c r="AO75" s="57" t="n"/>
      <c r="AP75" s="57" t="n"/>
      <c r="AQ75" s="57" t="n"/>
      <c r="AR75" s="57" t="n"/>
      <c r="AS75" s="60">
        <f>SUM(AO75:AR75)</f>
        <v/>
      </c>
      <c r="AT75" s="61" t="n"/>
      <c r="AU75" s="57" t="n"/>
      <c r="AV75" s="58">
        <f>AL75</f>
        <v/>
      </c>
      <c r="AW75" s="59" t="n"/>
      <c r="AX75" s="57" t="n"/>
      <c r="AY75" s="57" t="n"/>
      <c r="AZ75" s="57" t="n"/>
      <c r="BA75" s="57" t="n"/>
      <c r="BB75" s="60">
        <f>SUM(AX75:BA75)</f>
        <v/>
      </c>
      <c r="BC75" s="61" t="n"/>
      <c r="BD75" s="57" t="n"/>
      <c r="BE75" s="58">
        <f>AU75</f>
        <v/>
      </c>
      <c r="BF75" s="59" t="n"/>
      <c r="BG75" s="57" t="n"/>
      <c r="BH75" s="57" t="n"/>
      <c r="BI75" s="57" t="n"/>
      <c r="BJ75" s="57" t="n"/>
      <c r="BK75" s="60">
        <f>SUM(BG75:BJ75)</f>
        <v/>
      </c>
      <c r="BL75" s="61" t="n"/>
      <c r="BM75" s="57" t="n"/>
      <c r="BN75" s="58">
        <f>BD75</f>
        <v/>
      </c>
      <c r="BO75" s="59" t="n"/>
      <c r="BP75" s="57" t="n"/>
      <c r="BQ75" s="57" t="n"/>
      <c r="BR75" s="57" t="n"/>
      <c r="BS75" s="57" t="n"/>
      <c r="BT75" s="60">
        <f>SUM(BP75:BS75)</f>
        <v/>
      </c>
      <c r="BU75" s="61" t="n"/>
      <c r="BV75" s="57" t="n"/>
      <c r="BW75" s="58">
        <f>BM75</f>
        <v/>
      </c>
      <c r="BX75" s="59" t="n"/>
      <c r="BY75" s="57" t="n"/>
      <c r="BZ75" s="57" t="n"/>
      <c r="CA75" s="57" t="n"/>
      <c r="CB75" s="57" t="n"/>
      <c r="CC75" s="60">
        <f>SUM(BY75:CB75)</f>
        <v/>
      </c>
      <c r="CD75" s="61" t="n"/>
      <c r="CE75" s="57" t="n"/>
      <c r="CF75" s="58">
        <f>BV75</f>
        <v/>
      </c>
      <c r="CG75" s="59" t="n"/>
      <c r="CH75" s="57" t="n"/>
      <c r="CI75" s="57" t="n"/>
      <c r="CJ75" s="57" t="n"/>
      <c r="CK75" s="57" t="n"/>
      <c r="CL75" s="60">
        <f>SUM(CH75:CK75)</f>
        <v/>
      </c>
      <c r="CM75" s="61" t="n"/>
      <c r="CN75" s="57" t="n"/>
      <c r="CO75" s="58">
        <f>CE75</f>
        <v/>
      </c>
      <c r="CP75" s="59" t="n"/>
      <c r="CQ75" s="57" t="n"/>
      <c r="CR75" s="57" t="n"/>
      <c r="CS75" s="57" t="n"/>
      <c r="CT75" s="57" t="n"/>
      <c r="CU75" s="60">
        <f>SUM(CQ75:CT75)</f>
        <v/>
      </c>
      <c r="CV75" s="61" t="n"/>
      <c r="CW75" s="57" t="n"/>
      <c r="CX75" s="58">
        <f>CN75</f>
        <v/>
      </c>
      <c r="CY75" s="59" t="n"/>
      <c r="CZ75" s="57" t="n"/>
      <c r="DA75" s="57" t="n"/>
      <c r="DB75" s="57" t="n"/>
      <c r="DC75" s="57" t="n"/>
      <c r="DD75" s="60">
        <f>SUM(CZ75:DC75)</f>
        <v/>
      </c>
      <c r="DE75" s="61" t="n"/>
      <c r="DF75" s="57" t="n"/>
      <c r="DG75" s="58">
        <f>CW75</f>
        <v/>
      </c>
      <c r="DH75" s="59" t="n"/>
      <c r="DI75" s="57" t="n"/>
      <c r="DJ75" s="57" t="n"/>
      <c r="DK75" s="57" t="n"/>
      <c r="DL75" s="57" t="n"/>
      <c r="DM75" s="60">
        <f>SUM(DI75:DL75)</f>
        <v/>
      </c>
      <c r="DN75" s="61" t="n"/>
      <c r="DO75" s="57" t="n"/>
      <c r="DP75" s="58">
        <f>DF75</f>
        <v/>
      </c>
      <c r="DQ75" s="59" t="n"/>
      <c r="DR75" s="57" t="n"/>
      <c r="DS75" s="57" t="n"/>
      <c r="DT75" s="57" t="n"/>
      <c r="DU75" s="57" t="n"/>
      <c r="DV75" s="60">
        <f>SUM(DR75:DU75)</f>
        <v/>
      </c>
      <c r="DW75" s="61" t="n"/>
      <c r="DX75" s="57" t="n"/>
      <c r="DY75" s="58">
        <f>DO75</f>
        <v/>
      </c>
      <c r="DZ75" s="59" t="n"/>
      <c r="EA75" s="57" t="n"/>
      <c r="EB75" s="57" t="n"/>
      <c r="EC75" s="57" t="n"/>
      <c r="ED75" s="57" t="n"/>
      <c r="EE75" s="60">
        <f>SUM(EA75:ED75)</f>
        <v/>
      </c>
      <c r="EF75" s="61" t="n"/>
      <c r="EG75" s="57" t="n"/>
      <c r="EH75" s="58">
        <f>DX75</f>
        <v/>
      </c>
      <c r="EI75" s="59" t="n"/>
      <c r="EJ75" s="57" t="n"/>
      <c r="EK75" s="57" t="n"/>
      <c r="EL75" s="57" t="n"/>
      <c r="EM75" s="57" t="n"/>
      <c r="EN75" s="60">
        <f>SUM(EJ75:EM75)</f>
        <v/>
      </c>
      <c r="EO75" s="61" t="n"/>
      <c r="EP75" s="57" t="n"/>
      <c r="EQ75" s="58">
        <f>EG75</f>
        <v/>
      </c>
      <c r="ER75" s="59" t="n"/>
      <c r="ES75" s="57" t="n"/>
      <c r="ET75" s="57" t="n"/>
      <c r="EU75" s="57" t="n"/>
      <c r="EV75" s="57" t="n"/>
      <c r="EW75" s="60">
        <f>SUM(ES75:EV75)</f>
        <v/>
      </c>
      <c r="EX75" s="61" t="n"/>
      <c r="EY75" s="57" t="n"/>
      <c r="EZ75" s="58">
        <f>EP75</f>
        <v/>
      </c>
      <c r="FA75" s="59" t="n"/>
      <c r="FB75" s="57" t="n"/>
      <c r="FC75" s="57" t="n"/>
      <c r="FD75" s="57" t="n"/>
      <c r="FE75" s="57" t="n"/>
      <c r="FF75" s="60">
        <f>SUM(FB75:FE75)</f>
        <v/>
      </c>
      <c r="FG75" s="61" t="n"/>
      <c r="FH75" s="57" t="n"/>
      <c r="FI75" s="58">
        <f>EY75</f>
        <v/>
      </c>
      <c r="FJ75" s="59" t="n"/>
      <c r="FK75" s="57" t="n"/>
      <c r="FL75" s="57" t="n"/>
      <c r="FM75" s="57" t="n"/>
      <c r="FN75" s="57" t="n"/>
      <c r="FO75" s="60">
        <f>SUM(FK75:FN75)</f>
        <v/>
      </c>
      <c r="FP75" s="61" t="n"/>
      <c r="FQ75" s="57" t="n"/>
      <c r="FR75" s="58">
        <f>FH75</f>
        <v/>
      </c>
      <c r="FS75" s="59" t="n"/>
      <c r="FT75" s="57" t="n"/>
      <c r="FU75" s="57" t="n"/>
      <c r="FV75" s="57" t="n"/>
      <c r="FW75" s="57" t="n"/>
      <c r="FX75" s="60">
        <f>SUM(FT75:FW75)</f>
        <v/>
      </c>
      <c r="FY75" s="61" t="n"/>
      <c r="FZ75" s="57" t="n"/>
      <c r="GA75" s="58">
        <f>FQ75</f>
        <v/>
      </c>
      <c r="GB75" s="59" t="n"/>
      <c r="GC75" s="57" t="n"/>
      <c r="GD75" s="57" t="n"/>
      <c r="GE75" s="57" t="n"/>
      <c r="GF75" s="57" t="n"/>
      <c r="GG75" s="60">
        <f>SUM(GC75:GF75)</f>
        <v/>
      </c>
      <c r="GH75" s="61" t="n"/>
      <c r="GI75" s="57" t="n"/>
      <c r="GJ75" s="58">
        <f>FZ75</f>
        <v/>
      </c>
      <c r="GK75" s="59" t="n"/>
      <c r="GL75" s="57" t="n"/>
      <c r="GM75" s="57" t="n"/>
      <c r="GN75" s="57" t="n"/>
      <c r="GO75" s="57" t="n"/>
      <c r="GP75" s="60">
        <f>SUM(GL75:GO75)</f>
        <v/>
      </c>
      <c r="GQ75" s="61" t="n"/>
      <c r="GR75" s="57" t="n"/>
      <c r="GS75" s="58">
        <f>GI75</f>
        <v/>
      </c>
      <c r="GT75" s="59" t="n"/>
      <c r="GU75" s="57" t="n"/>
      <c r="GV75" s="57" t="n"/>
      <c r="GW75" s="57" t="n"/>
      <c r="GX75" s="57" t="n"/>
      <c r="GY75" s="60">
        <f>SUM(GU75:GX75)</f>
        <v/>
      </c>
      <c r="GZ75" s="61" t="n"/>
      <c r="HA75" s="57" t="n"/>
      <c r="HB75" s="58">
        <f>GR75</f>
        <v/>
      </c>
      <c r="HC75" s="59" t="n"/>
      <c r="HD75" s="57" t="n"/>
      <c r="HE75" s="57" t="n"/>
      <c r="HF75" s="57" t="n"/>
      <c r="HG75" s="57" t="n"/>
      <c r="HH75" s="60">
        <f>SUM(HD75:HG75)</f>
        <v/>
      </c>
      <c r="HI75" s="61" t="n"/>
      <c r="HJ75" s="57" t="n"/>
      <c r="HK75" s="58">
        <f>HA75</f>
        <v/>
      </c>
      <c r="HL75" s="59" t="n"/>
      <c r="HM75" s="57" t="n"/>
      <c r="HN75" s="57" t="n"/>
      <c r="HO75" s="57" t="n"/>
      <c r="HP75" s="57" t="n"/>
      <c r="HQ75" s="60">
        <f>SUM(HM75:HP75)</f>
        <v/>
      </c>
      <c r="HR75" s="61" t="n"/>
      <c r="HS75" s="57" t="n"/>
      <c r="HT75" s="58">
        <f>HJ75</f>
        <v/>
      </c>
      <c r="HU75" s="59" t="n"/>
      <c r="HV75" s="57" t="n"/>
      <c r="HW75" s="57" t="n"/>
      <c r="HX75" s="57" t="n"/>
      <c r="HY75" s="57" t="n"/>
      <c r="HZ75" s="60">
        <f>SUM(HV75:HY75)</f>
        <v/>
      </c>
      <c r="IA75" s="61" t="n"/>
      <c r="IB75" s="57" t="n"/>
      <c r="IC75" s="58">
        <f>HS75</f>
        <v/>
      </c>
      <c r="ID75" s="59" t="n"/>
      <c r="IE75" s="57" t="n"/>
      <c r="IF75" s="57" t="n"/>
      <c r="IG75" s="57" t="n"/>
      <c r="IH75" s="57" t="n"/>
      <c r="II75" s="60">
        <f>SUM(IE75:IH75)</f>
        <v/>
      </c>
      <c r="IJ75" s="61" t="n"/>
      <c r="IK75" s="57" t="n"/>
      <c r="IL75" s="58">
        <f>IB75</f>
        <v/>
      </c>
      <c r="IM75" s="59" t="n"/>
      <c r="IN75" s="57" t="n"/>
      <c r="IO75" s="57" t="n"/>
      <c r="IP75" s="57" t="n"/>
      <c r="IQ75" s="57" t="n"/>
      <c r="IR75" s="60">
        <f>SUM(IN75:IQ75)</f>
        <v/>
      </c>
      <c r="IS75" s="61" t="n"/>
      <c r="IT75" s="57" t="n"/>
      <c r="IU75" s="58">
        <f>IK75</f>
        <v/>
      </c>
      <c r="IV75" s="59" t="n"/>
      <c r="IW75" s="57" t="n"/>
      <c r="IX75" s="57" t="n"/>
      <c r="IY75" s="57" t="n"/>
      <c r="IZ75" s="57" t="n"/>
      <c r="JA75" s="60">
        <f>SUM(IW75:IZ75)</f>
        <v/>
      </c>
      <c r="JB75" s="61" t="n"/>
      <c r="JC75" s="57" t="n"/>
      <c r="JD75" s="58">
        <f>IT75</f>
        <v/>
      </c>
      <c r="JE75" s="59" t="n"/>
      <c r="JF75" s="57" t="n"/>
      <c r="JG75" s="57" t="n"/>
      <c r="JH75" s="57" t="n"/>
      <c r="JI75" s="57" t="n"/>
      <c r="JJ75" s="60">
        <f>SUM(JF75:JI75)</f>
        <v/>
      </c>
      <c r="JK75" s="61" t="n"/>
      <c r="JL75" s="57" t="n"/>
      <c r="JM75" s="58">
        <f>JC75</f>
        <v/>
      </c>
      <c r="JN75" s="59" t="n"/>
      <c r="JO75" s="57" t="n"/>
      <c r="JP75" s="57" t="n"/>
      <c r="JQ75" s="57" t="n"/>
      <c r="JR75" s="57" t="n"/>
      <c r="JS75" s="60">
        <f>SUM(JO75:JR75)</f>
        <v/>
      </c>
      <c r="JT75" s="61" t="n"/>
      <c r="JU75" s="62">
        <f>I75+R75+AA75+AJ75+AS75+BB75+BK75+BT75+CC75+CL75+CU75+DD75+DM75+DV75+EE75+EN75+EW75+FF75+FO75+FX75+GG75+GP75+GY75+HH75+HQ75+HZ75+II75+IR75+JA75+JJ75+JS75</f>
        <v/>
      </c>
      <c r="JV75" s="63">
        <f>D75+M75+V75+AE75+AN75+AW75+BF75+BO75+BX75+CG75+CP75+CY75+DH75+DQ75+DZ75+EI75+ER75+FA75+FJ75+FS75+GB75+GK75+GT75+HC75+HL75+HU75+ID75+IM75+IV75+JE75+JN75</f>
        <v/>
      </c>
      <c r="JW75" s="62">
        <f>CHOOSE($Z$3,B75, K75, T75, AC75, AL75, AU75, BD75, BM75, BV75, CE75, CN75, CW75, DF75, DO75, DX75, EG75, EP75, EY75, FH75, FQ75, FZ75, GI75, GR75, HA75, HJ75, HS75, IB75, IK75, IT75, JC75, JL75)</f>
        <v/>
      </c>
      <c r="JX75" s="62">
        <f>IFERROR(JU75/$Z$3,0)</f>
        <v/>
      </c>
      <c r="JY75" s="62">
        <f>Configurações!$C$15</f>
        <v/>
      </c>
      <c r="JZ75" s="64">
        <f>IF(JY75=0,"— Sem meta",IF(JU75&gt;=JY75,"✓ Atingida","Em andamento"))</f>
        <v/>
      </c>
      <c r="KA75" s="65">
        <f>JU75+(5*0.0000001)</f>
        <v/>
      </c>
    </row>
    <row r="76" ht="20" customHeight="1">
      <c r="A76" s="56">
        <f>IF(Configurações!$B$16="","Assessor 10",Configurações!$B$16)</f>
        <v/>
      </c>
      <c r="B76" s="57" t="n"/>
      <c r="C76" s="66">
        <f>'Abril'!$JW76</f>
        <v/>
      </c>
      <c r="D76" s="59" t="n"/>
      <c r="E76" s="57" t="n"/>
      <c r="F76" s="57" t="n"/>
      <c r="G76" s="57" t="n"/>
      <c r="H76" s="57" t="n"/>
      <c r="I76" s="67">
        <f>SUM(E76:H76)</f>
        <v/>
      </c>
      <c r="J76" s="61" t="n"/>
      <c r="K76" s="57" t="n"/>
      <c r="L76" s="66">
        <f>B76</f>
        <v/>
      </c>
      <c r="M76" s="59" t="n"/>
      <c r="N76" s="57" t="n"/>
      <c r="O76" s="57" t="n"/>
      <c r="P76" s="57" t="n"/>
      <c r="Q76" s="57" t="n"/>
      <c r="R76" s="67">
        <f>SUM(N76:Q76)</f>
        <v/>
      </c>
      <c r="S76" s="61" t="n"/>
      <c r="T76" s="57" t="n"/>
      <c r="U76" s="66">
        <f>K76</f>
        <v/>
      </c>
      <c r="V76" s="59" t="n"/>
      <c r="W76" s="57" t="n"/>
      <c r="X76" s="57" t="n"/>
      <c r="Y76" s="57" t="n"/>
      <c r="Z76" s="57" t="n"/>
      <c r="AA76" s="67">
        <f>SUM(W76:Z76)</f>
        <v/>
      </c>
      <c r="AB76" s="61" t="n"/>
      <c r="AC76" s="57" t="n"/>
      <c r="AD76" s="66">
        <f>T76</f>
        <v/>
      </c>
      <c r="AE76" s="59" t="n"/>
      <c r="AF76" s="57" t="n"/>
      <c r="AG76" s="57" t="n"/>
      <c r="AH76" s="57" t="n"/>
      <c r="AI76" s="57" t="n"/>
      <c r="AJ76" s="67">
        <f>SUM(AF76:AI76)</f>
        <v/>
      </c>
      <c r="AK76" s="61" t="n"/>
      <c r="AL76" s="57" t="n"/>
      <c r="AM76" s="66">
        <f>AC76</f>
        <v/>
      </c>
      <c r="AN76" s="59" t="n"/>
      <c r="AO76" s="57" t="n"/>
      <c r="AP76" s="57" t="n"/>
      <c r="AQ76" s="57" t="n"/>
      <c r="AR76" s="57" t="n"/>
      <c r="AS76" s="67">
        <f>SUM(AO76:AR76)</f>
        <v/>
      </c>
      <c r="AT76" s="61" t="n"/>
      <c r="AU76" s="57" t="n"/>
      <c r="AV76" s="66">
        <f>AL76</f>
        <v/>
      </c>
      <c r="AW76" s="59" t="n"/>
      <c r="AX76" s="57" t="n"/>
      <c r="AY76" s="57" t="n"/>
      <c r="AZ76" s="57" t="n"/>
      <c r="BA76" s="57" t="n"/>
      <c r="BB76" s="67">
        <f>SUM(AX76:BA76)</f>
        <v/>
      </c>
      <c r="BC76" s="61" t="n"/>
      <c r="BD76" s="57" t="n"/>
      <c r="BE76" s="66">
        <f>AU76</f>
        <v/>
      </c>
      <c r="BF76" s="59" t="n"/>
      <c r="BG76" s="57" t="n"/>
      <c r="BH76" s="57" t="n"/>
      <c r="BI76" s="57" t="n"/>
      <c r="BJ76" s="57" t="n"/>
      <c r="BK76" s="67">
        <f>SUM(BG76:BJ76)</f>
        <v/>
      </c>
      <c r="BL76" s="61" t="n"/>
      <c r="BM76" s="57" t="n"/>
      <c r="BN76" s="66">
        <f>BD76</f>
        <v/>
      </c>
      <c r="BO76" s="59" t="n"/>
      <c r="BP76" s="57" t="n"/>
      <c r="BQ76" s="57" t="n"/>
      <c r="BR76" s="57" t="n"/>
      <c r="BS76" s="57" t="n"/>
      <c r="BT76" s="67">
        <f>SUM(BP76:BS76)</f>
        <v/>
      </c>
      <c r="BU76" s="61" t="n"/>
      <c r="BV76" s="57" t="n"/>
      <c r="BW76" s="66">
        <f>BM76</f>
        <v/>
      </c>
      <c r="BX76" s="59" t="n"/>
      <c r="BY76" s="57" t="n"/>
      <c r="BZ76" s="57" t="n"/>
      <c r="CA76" s="57" t="n"/>
      <c r="CB76" s="57" t="n"/>
      <c r="CC76" s="67">
        <f>SUM(BY76:CB76)</f>
        <v/>
      </c>
      <c r="CD76" s="61" t="n"/>
      <c r="CE76" s="57" t="n"/>
      <c r="CF76" s="66">
        <f>BV76</f>
        <v/>
      </c>
      <c r="CG76" s="59" t="n"/>
      <c r="CH76" s="57" t="n"/>
      <c r="CI76" s="57" t="n"/>
      <c r="CJ76" s="57" t="n"/>
      <c r="CK76" s="57" t="n"/>
      <c r="CL76" s="67">
        <f>SUM(CH76:CK76)</f>
        <v/>
      </c>
      <c r="CM76" s="61" t="n"/>
      <c r="CN76" s="57" t="n"/>
      <c r="CO76" s="66">
        <f>CE76</f>
        <v/>
      </c>
      <c r="CP76" s="59" t="n"/>
      <c r="CQ76" s="57" t="n"/>
      <c r="CR76" s="57" t="n"/>
      <c r="CS76" s="57" t="n"/>
      <c r="CT76" s="57" t="n"/>
      <c r="CU76" s="67">
        <f>SUM(CQ76:CT76)</f>
        <v/>
      </c>
      <c r="CV76" s="61" t="n"/>
      <c r="CW76" s="57" t="n"/>
      <c r="CX76" s="66">
        <f>CN76</f>
        <v/>
      </c>
      <c r="CY76" s="59" t="n"/>
      <c r="CZ76" s="57" t="n"/>
      <c r="DA76" s="57" t="n"/>
      <c r="DB76" s="57" t="n"/>
      <c r="DC76" s="57" t="n"/>
      <c r="DD76" s="67">
        <f>SUM(CZ76:DC76)</f>
        <v/>
      </c>
      <c r="DE76" s="61" t="n"/>
      <c r="DF76" s="57" t="n"/>
      <c r="DG76" s="66">
        <f>CW76</f>
        <v/>
      </c>
      <c r="DH76" s="59" t="n"/>
      <c r="DI76" s="57" t="n"/>
      <c r="DJ76" s="57" t="n"/>
      <c r="DK76" s="57" t="n"/>
      <c r="DL76" s="57" t="n"/>
      <c r="DM76" s="67">
        <f>SUM(DI76:DL76)</f>
        <v/>
      </c>
      <c r="DN76" s="61" t="n"/>
      <c r="DO76" s="57" t="n"/>
      <c r="DP76" s="66">
        <f>DF76</f>
        <v/>
      </c>
      <c r="DQ76" s="59" t="n"/>
      <c r="DR76" s="57" t="n"/>
      <c r="DS76" s="57" t="n"/>
      <c r="DT76" s="57" t="n"/>
      <c r="DU76" s="57" t="n"/>
      <c r="DV76" s="67">
        <f>SUM(DR76:DU76)</f>
        <v/>
      </c>
      <c r="DW76" s="61" t="n"/>
      <c r="DX76" s="57" t="n"/>
      <c r="DY76" s="66">
        <f>DO76</f>
        <v/>
      </c>
      <c r="DZ76" s="59" t="n"/>
      <c r="EA76" s="57" t="n"/>
      <c r="EB76" s="57" t="n"/>
      <c r="EC76" s="57" t="n"/>
      <c r="ED76" s="57" t="n"/>
      <c r="EE76" s="67">
        <f>SUM(EA76:ED76)</f>
        <v/>
      </c>
      <c r="EF76" s="61" t="n"/>
      <c r="EG76" s="57" t="n"/>
      <c r="EH76" s="66">
        <f>DX76</f>
        <v/>
      </c>
      <c r="EI76" s="59" t="n"/>
      <c r="EJ76" s="57" t="n"/>
      <c r="EK76" s="57" t="n"/>
      <c r="EL76" s="57" t="n"/>
      <c r="EM76" s="57" t="n"/>
      <c r="EN76" s="67">
        <f>SUM(EJ76:EM76)</f>
        <v/>
      </c>
      <c r="EO76" s="61" t="n"/>
      <c r="EP76" s="57" t="n"/>
      <c r="EQ76" s="66">
        <f>EG76</f>
        <v/>
      </c>
      <c r="ER76" s="59" t="n"/>
      <c r="ES76" s="57" t="n"/>
      <c r="ET76" s="57" t="n"/>
      <c r="EU76" s="57" t="n"/>
      <c r="EV76" s="57" t="n"/>
      <c r="EW76" s="67">
        <f>SUM(ES76:EV76)</f>
        <v/>
      </c>
      <c r="EX76" s="61" t="n"/>
      <c r="EY76" s="57" t="n"/>
      <c r="EZ76" s="66">
        <f>EP76</f>
        <v/>
      </c>
      <c r="FA76" s="59" t="n"/>
      <c r="FB76" s="57" t="n"/>
      <c r="FC76" s="57" t="n"/>
      <c r="FD76" s="57" t="n"/>
      <c r="FE76" s="57" t="n"/>
      <c r="FF76" s="67">
        <f>SUM(FB76:FE76)</f>
        <v/>
      </c>
      <c r="FG76" s="61" t="n"/>
      <c r="FH76" s="57" t="n"/>
      <c r="FI76" s="66">
        <f>EY76</f>
        <v/>
      </c>
      <c r="FJ76" s="59" t="n"/>
      <c r="FK76" s="57" t="n"/>
      <c r="FL76" s="57" t="n"/>
      <c r="FM76" s="57" t="n"/>
      <c r="FN76" s="57" t="n"/>
      <c r="FO76" s="67">
        <f>SUM(FK76:FN76)</f>
        <v/>
      </c>
      <c r="FP76" s="61" t="n"/>
      <c r="FQ76" s="57" t="n"/>
      <c r="FR76" s="66">
        <f>FH76</f>
        <v/>
      </c>
      <c r="FS76" s="59" t="n"/>
      <c r="FT76" s="57" t="n"/>
      <c r="FU76" s="57" t="n"/>
      <c r="FV76" s="57" t="n"/>
      <c r="FW76" s="57" t="n"/>
      <c r="FX76" s="67">
        <f>SUM(FT76:FW76)</f>
        <v/>
      </c>
      <c r="FY76" s="61" t="n"/>
      <c r="FZ76" s="57" t="n"/>
      <c r="GA76" s="66">
        <f>FQ76</f>
        <v/>
      </c>
      <c r="GB76" s="59" t="n"/>
      <c r="GC76" s="57" t="n"/>
      <c r="GD76" s="57" t="n"/>
      <c r="GE76" s="57" t="n"/>
      <c r="GF76" s="57" t="n"/>
      <c r="GG76" s="67">
        <f>SUM(GC76:GF76)</f>
        <v/>
      </c>
      <c r="GH76" s="61" t="n"/>
      <c r="GI76" s="57" t="n"/>
      <c r="GJ76" s="66">
        <f>FZ76</f>
        <v/>
      </c>
      <c r="GK76" s="59" t="n"/>
      <c r="GL76" s="57" t="n"/>
      <c r="GM76" s="57" t="n"/>
      <c r="GN76" s="57" t="n"/>
      <c r="GO76" s="57" t="n"/>
      <c r="GP76" s="67">
        <f>SUM(GL76:GO76)</f>
        <v/>
      </c>
      <c r="GQ76" s="61" t="n"/>
      <c r="GR76" s="57" t="n"/>
      <c r="GS76" s="66">
        <f>GI76</f>
        <v/>
      </c>
      <c r="GT76" s="59" t="n"/>
      <c r="GU76" s="57" t="n"/>
      <c r="GV76" s="57" t="n"/>
      <c r="GW76" s="57" t="n"/>
      <c r="GX76" s="57" t="n"/>
      <c r="GY76" s="67">
        <f>SUM(GU76:GX76)</f>
        <v/>
      </c>
      <c r="GZ76" s="61" t="n"/>
      <c r="HA76" s="57" t="n"/>
      <c r="HB76" s="66">
        <f>GR76</f>
        <v/>
      </c>
      <c r="HC76" s="59" t="n"/>
      <c r="HD76" s="57" t="n"/>
      <c r="HE76" s="57" t="n"/>
      <c r="HF76" s="57" t="n"/>
      <c r="HG76" s="57" t="n"/>
      <c r="HH76" s="67">
        <f>SUM(HD76:HG76)</f>
        <v/>
      </c>
      <c r="HI76" s="61" t="n"/>
      <c r="HJ76" s="57" t="n"/>
      <c r="HK76" s="66">
        <f>HA76</f>
        <v/>
      </c>
      <c r="HL76" s="59" t="n"/>
      <c r="HM76" s="57" t="n"/>
      <c r="HN76" s="57" t="n"/>
      <c r="HO76" s="57" t="n"/>
      <c r="HP76" s="57" t="n"/>
      <c r="HQ76" s="67">
        <f>SUM(HM76:HP76)</f>
        <v/>
      </c>
      <c r="HR76" s="61" t="n"/>
      <c r="HS76" s="57" t="n"/>
      <c r="HT76" s="66">
        <f>HJ76</f>
        <v/>
      </c>
      <c r="HU76" s="59" t="n"/>
      <c r="HV76" s="57" t="n"/>
      <c r="HW76" s="57" t="n"/>
      <c r="HX76" s="57" t="n"/>
      <c r="HY76" s="57" t="n"/>
      <c r="HZ76" s="67">
        <f>SUM(HV76:HY76)</f>
        <v/>
      </c>
      <c r="IA76" s="61" t="n"/>
      <c r="IB76" s="57" t="n"/>
      <c r="IC76" s="66">
        <f>HS76</f>
        <v/>
      </c>
      <c r="ID76" s="59" t="n"/>
      <c r="IE76" s="57" t="n"/>
      <c r="IF76" s="57" t="n"/>
      <c r="IG76" s="57" t="n"/>
      <c r="IH76" s="57" t="n"/>
      <c r="II76" s="67">
        <f>SUM(IE76:IH76)</f>
        <v/>
      </c>
      <c r="IJ76" s="61" t="n"/>
      <c r="IK76" s="57" t="n"/>
      <c r="IL76" s="66">
        <f>IB76</f>
        <v/>
      </c>
      <c r="IM76" s="59" t="n"/>
      <c r="IN76" s="57" t="n"/>
      <c r="IO76" s="57" t="n"/>
      <c r="IP76" s="57" t="n"/>
      <c r="IQ76" s="57" t="n"/>
      <c r="IR76" s="67">
        <f>SUM(IN76:IQ76)</f>
        <v/>
      </c>
      <c r="IS76" s="61" t="n"/>
      <c r="IT76" s="57" t="n"/>
      <c r="IU76" s="66">
        <f>IK76</f>
        <v/>
      </c>
      <c r="IV76" s="59" t="n"/>
      <c r="IW76" s="57" t="n"/>
      <c r="IX76" s="57" t="n"/>
      <c r="IY76" s="57" t="n"/>
      <c r="IZ76" s="57" t="n"/>
      <c r="JA76" s="67">
        <f>SUM(IW76:IZ76)</f>
        <v/>
      </c>
      <c r="JB76" s="61" t="n"/>
      <c r="JC76" s="57" t="n"/>
      <c r="JD76" s="66">
        <f>IT76</f>
        <v/>
      </c>
      <c r="JE76" s="59" t="n"/>
      <c r="JF76" s="57" t="n"/>
      <c r="JG76" s="57" t="n"/>
      <c r="JH76" s="57" t="n"/>
      <c r="JI76" s="57" t="n"/>
      <c r="JJ76" s="67">
        <f>SUM(JF76:JI76)</f>
        <v/>
      </c>
      <c r="JK76" s="61" t="n"/>
      <c r="JL76" s="57" t="n"/>
      <c r="JM76" s="66">
        <f>JC76</f>
        <v/>
      </c>
      <c r="JN76" s="59" t="n"/>
      <c r="JO76" s="57" t="n"/>
      <c r="JP76" s="57" t="n"/>
      <c r="JQ76" s="57" t="n"/>
      <c r="JR76" s="57" t="n"/>
      <c r="JS76" s="67">
        <f>SUM(JO76:JR76)</f>
        <v/>
      </c>
      <c r="JT76" s="61" t="n"/>
      <c r="JU76" s="62">
        <f>I76+R76+AA76+AJ76+AS76+BB76+BK76+BT76+CC76+CL76+CU76+DD76+DM76+DV76+EE76+EN76+EW76+FF76+FO76+FX76+GG76+GP76+GY76+HH76+HQ76+HZ76+II76+IR76+JA76+JJ76+JS76</f>
        <v/>
      </c>
      <c r="JV76" s="63">
        <f>D76+M76+V76+AE76+AN76+AW76+BF76+BO76+BX76+CG76+CP76+CY76+DH76+DQ76+DZ76+EI76+ER76+FA76+FJ76+FS76+GB76+GK76+GT76+HC76+HL76+HU76+ID76+IM76+IV76+JE76+JN76</f>
        <v/>
      </c>
      <c r="JW76" s="62">
        <f>CHOOSE($Z$3,B76, K76, T76, AC76, AL76, AU76, BD76, BM76, BV76, CE76, CN76, CW76, DF76, DO76, DX76, EG76, EP76, EY76, FH76, FQ76, FZ76, GI76, GR76, HA76, HJ76, HS76, IB76, IK76, IT76, JC76, JL76)</f>
        <v/>
      </c>
      <c r="JX76" s="62">
        <f>IFERROR(JU76/$Z$3,0)</f>
        <v/>
      </c>
      <c r="JY76" s="62">
        <f>Configurações!$C$16</f>
        <v/>
      </c>
      <c r="JZ76" s="64">
        <f>IF(JY76=0,"— Sem meta",IF(JU76&gt;=JY76,"✓ Atingida","Em andamento"))</f>
        <v/>
      </c>
      <c r="KA76" s="65">
        <f>JU76+(4*0.0000001)</f>
        <v/>
      </c>
    </row>
    <row r="77" ht="20" customHeight="1">
      <c r="A77" s="56">
        <f>IF(Configurações!$B$17="","Assessor 11",Configurações!$B$17)</f>
        <v/>
      </c>
      <c r="B77" s="57" t="n"/>
      <c r="C77" s="58">
        <f>'Abril'!$JW77</f>
        <v/>
      </c>
      <c r="D77" s="59" t="n"/>
      <c r="E77" s="57" t="n"/>
      <c r="F77" s="57" t="n"/>
      <c r="G77" s="57" t="n"/>
      <c r="H77" s="57" t="n"/>
      <c r="I77" s="60">
        <f>SUM(E77:H77)</f>
        <v/>
      </c>
      <c r="J77" s="61" t="n"/>
      <c r="K77" s="57" t="n"/>
      <c r="L77" s="58">
        <f>B77</f>
        <v/>
      </c>
      <c r="M77" s="59" t="n"/>
      <c r="N77" s="57" t="n"/>
      <c r="O77" s="57" t="n"/>
      <c r="P77" s="57" t="n"/>
      <c r="Q77" s="57" t="n"/>
      <c r="R77" s="60">
        <f>SUM(N77:Q77)</f>
        <v/>
      </c>
      <c r="S77" s="61" t="n"/>
      <c r="T77" s="57" t="n"/>
      <c r="U77" s="58">
        <f>K77</f>
        <v/>
      </c>
      <c r="V77" s="59" t="n"/>
      <c r="W77" s="57" t="n"/>
      <c r="X77" s="57" t="n"/>
      <c r="Y77" s="57" t="n"/>
      <c r="Z77" s="57" t="n"/>
      <c r="AA77" s="60">
        <f>SUM(W77:Z77)</f>
        <v/>
      </c>
      <c r="AB77" s="61" t="n"/>
      <c r="AC77" s="57" t="n"/>
      <c r="AD77" s="58">
        <f>T77</f>
        <v/>
      </c>
      <c r="AE77" s="59" t="n"/>
      <c r="AF77" s="57" t="n"/>
      <c r="AG77" s="57" t="n"/>
      <c r="AH77" s="57" t="n"/>
      <c r="AI77" s="57" t="n"/>
      <c r="AJ77" s="60">
        <f>SUM(AF77:AI77)</f>
        <v/>
      </c>
      <c r="AK77" s="61" t="n"/>
      <c r="AL77" s="57" t="n"/>
      <c r="AM77" s="58">
        <f>AC77</f>
        <v/>
      </c>
      <c r="AN77" s="59" t="n"/>
      <c r="AO77" s="57" t="n"/>
      <c r="AP77" s="57" t="n"/>
      <c r="AQ77" s="57" t="n"/>
      <c r="AR77" s="57" t="n"/>
      <c r="AS77" s="60">
        <f>SUM(AO77:AR77)</f>
        <v/>
      </c>
      <c r="AT77" s="61" t="n"/>
      <c r="AU77" s="57" t="n"/>
      <c r="AV77" s="58">
        <f>AL77</f>
        <v/>
      </c>
      <c r="AW77" s="59" t="n"/>
      <c r="AX77" s="57" t="n"/>
      <c r="AY77" s="57" t="n"/>
      <c r="AZ77" s="57" t="n"/>
      <c r="BA77" s="57" t="n"/>
      <c r="BB77" s="60">
        <f>SUM(AX77:BA77)</f>
        <v/>
      </c>
      <c r="BC77" s="61" t="n"/>
      <c r="BD77" s="57" t="n"/>
      <c r="BE77" s="58">
        <f>AU77</f>
        <v/>
      </c>
      <c r="BF77" s="59" t="n"/>
      <c r="BG77" s="57" t="n"/>
      <c r="BH77" s="57" t="n"/>
      <c r="BI77" s="57" t="n"/>
      <c r="BJ77" s="57" t="n"/>
      <c r="BK77" s="60">
        <f>SUM(BG77:BJ77)</f>
        <v/>
      </c>
      <c r="BL77" s="61" t="n"/>
      <c r="BM77" s="57" t="n"/>
      <c r="BN77" s="58">
        <f>BD77</f>
        <v/>
      </c>
      <c r="BO77" s="59" t="n"/>
      <c r="BP77" s="57" t="n"/>
      <c r="BQ77" s="57" t="n"/>
      <c r="BR77" s="57" t="n"/>
      <c r="BS77" s="57" t="n"/>
      <c r="BT77" s="60">
        <f>SUM(BP77:BS77)</f>
        <v/>
      </c>
      <c r="BU77" s="61" t="n"/>
      <c r="BV77" s="57" t="n"/>
      <c r="BW77" s="58">
        <f>BM77</f>
        <v/>
      </c>
      <c r="BX77" s="59" t="n"/>
      <c r="BY77" s="57" t="n"/>
      <c r="BZ77" s="57" t="n"/>
      <c r="CA77" s="57" t="n"/>
      <c r="CB77" s="57" t="n"/>
      <c r="CC77" s="60">
        <f>SUM(BY77:CB77)</f>
        <v/>
      </c>
      <c r="CD77" s="61" t="n"/>
      <c r="CE77" s="57" t="n"/>
      <c r="CF77" s="58">
        <f>BV77</f>
        <v/>
      </c>
      <c r="CG77" s="59" t="n"/>
      <c r="CH77" s="57" t="n"/>
      <c r="CI77" s="57" t="n"/>
      <c r="CJ77" s="57" t="n"/>
      <c r="CK77" s="57" t="n"/>
      <c r="CL77" s="60">
        <f>SUM(CH77:CK77)</f>
        <v/>
      </c>
      <c r="CM77" s="61" t="n"/>
      <c r="CN77" s="57" t="n"/>
      <c r="CO77" s="58">
        <f>CE77</f>
        <v/>
      </c>
      <c r="CP77" s="59" t="n"/>
      <c r="CQ77" s="57" t="n"/>
      <c r="CR77" s="57" t="n"/>
      <c r="CS77" s="57" t="n"/>
      <c r="CT77" s="57" t="n"/>
      <c r="CU77" s="60">
        <f>SUM(CQ77:CT77)</f>
        <v/>
      </c>
      <c r="CV77" s="61" t="n"/>
      <c r="CW77" s="57" t="n"/>
      <c r="CX77" s="58">
        <f>CN77</f>
        <v/>
      </c>
      <c r="CY77" s="59" t="n"/>
      <c r="CZ77" s="57" t="n"/>
      <c r="DA77" s="57" t="n"/>
      <c r="DB77" s="57" t="n"/>
      <c r="DC77" s="57" t="n"/>
      <c r="DD77" s="60">
        <f>SUM(CZ77:DC77)</f>
        <v/>
      </c>
      <c r="DE77" s="61" t="n"/>
      <c r="DF77" s="57" t="n"/>
      <c r="DG77" s="58">
        <f>CW77</f>
        <v/>
      </c>
      <c r="DH77" s="59" t="n"/>
      <c r="DI77" s="57" t="n"/>
      <c r="DJ77" s="57" t="n"/>
      <c r="DK77" s="57" t="n"/>
      <c r="DL77" s="57" t="n"/>
      <c r="DM77" s="60">
        <f>SUM(DI77:DL77)</f>
        <v/>
      </c>
      <c r="DN77" s="61" t="n"/>
      <c r="DO77" s="57" t="n"/>
      <c r="DP77" s="58">
        <f>DF77</f>
        <v/>
      </c>
      <c r="DQ77" s="59" t="n"/>
      <c r="DR77" s="57" t="n"/>
      <c r="DS77" s="57" t="n"/>
      <c r="DT77" s="57" t="n"/>
      <c r="DU77" s="57" t="n"/>
      <c r="DV77" s="60">
        <f>SUM(DR77:DU77)</f>
        <v/>
      </c>
      <c r="DW77" s="61" t="n"/>
      <c r="DX77" s="57" t="n"/>
      <c r="DY77" s="58">
        <f>DO77</f>
        <v/>
      </c>
      <c r="DZ77" s="59" t="n"/>
      <c r="EA77" s="57" t="n"/>
      <c r="EB77" s="57" t="n"/>
      <c r="EC77" s="57" t="n"/>
      <c r="ED77" s="57" t="n"/>
      <c r="EE77" s="60">
        <f>SUM(EA77:ED77)</f>
        <v/>
      </c>
      <c r="EF77" s="61" t="n"/>
      <c r="EG77" s="57" t="n"/>
      <c r="EH77" s="58">
        <f>DX77</f>
        <v/>
      </c>
      <c r="EI77" s="59" t="n"/>
      <c r="EJ77" s="57" t="n"/>
      <c r="EK77" s="57" t="n"/>
      <c r="EL77" s="57" t="n"/>
      <c r="EM77" s="57" t="n"/>
      <c r="EN77" s="60">
        <f>SUM(EJ77:EM77)</f>
        <v/>
      </c>
      <c r="EO77" s="61" t="n"/>
      <c r="EP77" s="57" t="n"/>
      <c r="EQ77" s="58">
        <f>EG77</f>
        <v/>
      </c>
      <c r="ER77" s="59" t="n"/>
      <c r="ES77" s="57" t="n"/>
      <c r="ET77" s="57" t="n"/>
      <c r="EU77" s="57" t="n"/>
      <c r="EV77" s="57" t="n"/>
      <c r="EW77" s="60">
        <f>SUM(ES77:EV77)</f>
        <v/>
      </c>
      <c r="EX77" s="61" t="n"/>
      <c r="EY77" s="57" t="n"/>
      <c r="EZ77" s="58">
        <f>EP77</f>
        <v/>
      </c>
      <c r="FA77" s="59" t="n"/>
      <c r="FB77" s="57" t="n"/>
      <c r="FC77" s="57" t="n"/>
      <c r="FD77" s="57" t="n"/>
      <c r="FE77" s="57" t="n"/>
      <c r="FF77" s="60">
        <f>SUM(FB77:FE77)</f>
        <v/>
      </c>
      <c r="FG77" s="61" t="n"/>
      <c r="FH77" s="57" t="n"/>
      <c r="FI77" s="58">
        <f>EY77</f>
        <v/>
      </c>
      <c r="FJ77" s="59" t="n"/>
      <c r="FK77" s="57" t="n"/>
      <c r="FL77" s="57" t="n"/>
      <c r="FM77" s="57" t="n"/>
      <c r="FN77" s="57" t="n"/>
      <c r="FO77" s="60">
        <f>SUM(FK77:FN77)</f>
        <v/>
      </c>
      <c r="FP77" s="61" t="n"/>
      <c r="FQ77" s="57" t="n"/>
      <c r="FR77" s="58">
        <f>FH77</f>
        <v/>
      </c>
      <c r="FS77" s="59" t="n"/>
      <c r="FT77" s="57" t="n"/>
      <c r="FU77" s="57" t="n"/>
      <c r="FV77" s="57" t="n"/>
      <c r="FW77" s="57" t="n"/>
      <c r="FX77" s="60">
        <f>SUM(FT77:FW77)</f>
        <v/>
      </c>
      <c r="FY77" s="61" t="n"/>
      <c r="FZ77" s="57" t="n"/>
      <c r="GA77" s="58">
        <f>FQ77</f>
        <v/>
      </c>
      <c r="GB77" s="59" t="n"/>
      <c r="GC77" s="57" t="n"/>
      <c r="GD77" s="57" t="n"/>
      <c r="GE77" s="57" t="n"/>
      <c r="GF77" s="57" t="n"/>
      <c r="GG77" s="60">
        <f>SUM(GC77:GF77)</f>
        <v/>
      </c>
      <c r="GH77" s="61" t="n"/>
      <c r="GI77" s="57" t="n"/>
      <c r="GJ77" s="58">
        <f>FZ77</f>
        <v/>
      </c>
      <c r="GK77" s="59" t="n"/>
      <c r="GL77" s="57" t="n"/>
      <c r="GM77" s="57" t="n"/>
      <c r="GN77" s="57" t="n"/>
      <c r="GO77" s="57" t="n"/>
      <c r="GP77" s="60">
        <f>SUM(GL77:GO77)</f>
        <v/>
      </c>
      <c r="GQ77" s="61" t="n"/>
      <c r="GR77" s="57" t="n"/>
      <c r="GS77" s="58">
        <f>GI77</f>
        <v/>
      </c>
      <c r="GT77" s="59" t="n"/>
      <c r="GU77" s="57" t="n"/>
      <c r="GV77" s="57" t="n"/>
      <c r="GW77" s="57" t="n"/>
      <c r="GX77" s="57" t="n"/>
      <c r="GY77" s="60">
        <f>SUM(GU77:GX77)</f>
        <v/>
      </c>
      <c r="GZ77" s="61" t="n"/>
      <c r="HA77" s="57" t="n"/>
      <c r="HB77" s="58">
        <f>GR77</f>
        <v/>
      </c>
      <c r="HC77" s="59" t="n"/>
      <c r="HD77" s="57" t="n"/>
      <c r="HE77" s="57" t="n"/>
      <c r="HF77" s="57" t="n"/>
      <c r="HG77" s="57" t="n"/>
      <c r="HH77" s="60">
        <f>SUM(HD77:HG77)</f>
        <v/>
      </c>
      <c r="HI77" s="61" t="n"/>
      <c r="HJ77" s="57" t="n"/>
      <c r="HK77" s="58">
        <f>HA77</f>
        <v/>
      </c>
      <c r="HL77" s="59" t="n"/>
      <c r="HM77" s="57" t="n"/>
      <c r="HN77" s="57" t="n"/>
      <c r="HO77" s="57" t="n"/>
      <c r="HP77" s="57" t="n"/>
      <c r="HQ77" s="60">
        <f>SUM(HM77:HP77)</f>
        <v/>
      </c>
      <c r="HR77" s="61" t="n"/>
      <c r="HS77" s="57" t="n"/>
      <c r="HT77" s="58">
        <f>HJ77</f>
        <v/>
      </c>
      <c r="HU77" s="59" t="n"/>
      <c r="HV77" s="57" t="n"/>
      <c r="HW77" s="57" t="n"/>
      <c r="HX77" s="57" t="n"/>
      <c r="HY77" s="57" t="n"/>
      <c r="HZ77" s="60">
        <f>SUM(HV77:HY77)</f>
        <v/>
      </c>
      <c r="IA77" s="61" t="n"/>
      <c r="IB77" s="57" t="n"/>
      <c r="IC77" s="58">
        <f>HS77</f>
        <v/>
      </c>
      <c r="ID77" s="59" t="n"/>
      <c r="IE77" s="57" t="n"/>
      <c r="IF77" s="57" t="n"/>
      <c r="IG77" s="57" t="n"/>
      <c r="IH77" s="57" t="n"/>
      <c r="II77" s="60">
        <f>SUM(IE77:IH77)</f>
        <v/>
      </c>
      <c r="IJ77" s="61" t="n"/>
      <c r="IK77" s="57" t="n"/>
      <c r="IL77" s="58">
        <f>IB77</f>
        <v/>
      </c>
      <c r="IM77" s="59" t="n"/>
      <c r="IN77" s="57" t="n"/>
      <c r="IO77" s="57" t="n"/>
      <c r="IP77" s="57" t="n"/>
      <c r="IQ77" s="57" t="n"/>
      <c r="IR77" s="60">
        <f>SUM(IN77:IQ77)</f>
        <v/>
      </c>
      <c r="IS77" s="61" t="n"/>
      <c r="IT77" s="57" t="n"/>
      <c r="IU77" s="58">
        <f>IK77</f>
        <v/>
      </c>
      <c r="IV77" s="59" t="n"/>
      <c r="IW77" s="57" t="n"/>
      <c r="IX77" s="57" t="n"/>
      <c r="IY77" s="57" t="n"/>
      <c r="IZ77" s="57" t="n"/>
      <c r="JA77" s="60">
        <f>SUM(IW77:IZ77)</f>
        <v/>
      </c>
      <c r="JB77" s="61" t="n"/>
      <c r="JC77" s="57" t="n"/>
      <c r="JD77" s="58">
        <f>IT77</f>
        <v/>
      </c>
      <c r="JE77" s="59" t="n"/>
      <c r="JF77" s="57" t="n"/>
      <c r="JG77" s="57" t="n"/>
      <c r="JH77" s="57" t="n"/>
      <c r="JI77" s="57" t="n"/>
      <c r="JJ77" s="60">
        <f>SUM(JF77:JI77)</f>
        <v/>
      </c>
      <c r="JK77" s="61" t="n"/>
      <c r="JL77" s="57" t="n"/>
      <c r="JM77" s="58">
        <f>JC77</f>
        <v/>
      </c>
      <c r="JN77" s="59" t="n"/>
      <c r="JO77" s="57" t="n"/>
      <c r="JP77" s="57" t="n"/>
      <c r="JQ77" s="57" t="n"/>
      <c r="JR77" s="57" t="n"/>
      <c r="JS77" s="60">
        <f>SUM(JO77:JR77)</f>
        <v/>
      </c>
      <c r="JT77" s="61" t="n"/>
      <c r="JU77" s="62">
        <f>I77+R77+AA77+AJ77+AS77+BB77+BK77+BT77+CC77+CL77+CU77+DD77+DM77+DV77+EE77+EN77+EW77+FF77+FO77+FX77+GG77+GP77+GY77+HH77+HQ77+HZ77+II77+IR77+JA77+JJ77+JS77</f>
        <v/>
      </c>
      <c r="JV77" s="63">
        <f>D77+M77+V77+AE77+AN77+AW77+BF77+BO77+BX77+CG77+CP77+CY77+DH77+DQ77+DZ77+EI77+ER77+FA77+FJ77+FS77+GB77+GK77+GT77+HC77+HL77+HU77+ID77+IM77+IV77+JE77+JN77</f>
        <v/>
      </c>
      <c r="JW77" s="62">
        <f>CHOOSE($Z$3,B77, K77, T77, AC77, AL77, AU77, BD77, BM77, BV77, CE77, CN77, CW77, DF77, DO77, DX77, EG77, EP77, EY77, FH77, FQ77, FZ77, GI77, GR77, HA77, HJ77, HS77, IB77, IK77, IT77, JC77, JL77)</f>
        <v/>
      </c>
      <c r="JX77" s="62">
        <f>IFERROR(JU77/$Z$3,0)</f>
        <v/>
      </c>
      <c r="JY77" s="62">
        <f>Configurações!$C$17</f>
        <v/>
      </c>
      <c r="JZ77" s="64">
        <f>IF(JY77=0,"— Sem meta",IF(JU77&gt;=JY77,"✓ Atingida","Em andamento"))</f>
        <v/>
      </c>
      <c r="KA77" s="65">
        <f>JU77+(3*0.0000001)</f>
        <v/>
      </c>
    </row>
    <row r="78" ht="20" customHeight="1">
      <c r="A78" s="56">
        <f>IF(Configurações!$B$18="","Assessor 12",Configurações!$B$18)</f>
        <v/>
      </c>
      <c r="B78" s="57" t="n"/>
      <c r="C78" s="66">
        <f>'Abril'!$JW78</f>
        <v/>
      </c>
      <c r="D78" s="59" t="n"/>
      <c r="E78" s="57" t="n"/>
      <c r="F78" s="57" t="n"/>
      <c r="G78" s="57" t="n"/>
      <c r="H78" s="57" t="n"/>
      <c r="I78" s="67">
        <f>SUM(E78:H78)</f>
        <v/>
      </c>
      <c r="J78" s="61" t="n"/>
      <c r="K78" s="57" t="n"/>
      <c r="L78" s="66">
        <f>B78</f>
        <v/>
      </c>
      <c r="M78" s="59" t="n"/>
      <c r="N78" s="57" t="n"/>
      <c r="O78" s="57" t="n"/>
      <c r="P78" s="57" t="n"/>
      <c r="Q78" s="57" t="n"/>
      <c r="R78" s="67">
        <f>SUM(N78:Q78)</f>
        <v/>
      </c>
      <c r="S78" s="61" t="n"/>
      <c r="T78" s="57" t="n"/>
      <c r="U78" s="66">
        <f>K78</f>
        <v/>
      </c>
      <c r="V78" s="59" t="n"/>
      <c r="W78" s="57" t="n"/>
      <c r="X78" s="57" t="n"/>
      <c r="Y78" s="57" t="n"/>
      <c r="Z78" s="57" t="n"/>
      <c r="AA78" s="67">
        <f>SUM(W78:Z78)</f>
        <v/>
      </c>
      <c r="AB78" s="61" t="n"/>
      <c r="AC78" s="57" t="n"/>
      <c r="AD78" s="66">
        <f>T78</f>
        <v/>
      </c>
      <c r="AE78" s="59" t="n"/>
      <c r="AF78" s="57" t="n"/>
      <c r="AG78" s="57" t="n"/>
      <c r="AH78" s="57" t="n"/>
      <c r="AI78" s="57" t="n"/>
      <c r="AJ78" s="67">
        <f>SUM(AF78:AI78)</f>
        <v/>
      </c>
      <c r="AK78" s="61" t="n"/>
      <c r="AL78" s="57" t="n"/>
      <c r="AM78" s="66">
        <f>AC78</f>
        <v/>
      </c>
      <c r="AN78" s="59" t="n"/>
      <c r="AO78" s="57" t="n"/>
      <c r="AP78" s="57" t="n"/>
      <c r="AQ78" s="57" t="n"/>
      <c r="AR78" s="57" t="n"/>
      <c r="AS78" s="67">
        <f>SUM(AO78:AR78)</f>
        <v/>
      </c>
      <c r="AT78" s="61" t="n"/>
      <c r="AU78" s="57" t="n"/>
      <c r="AV78" s="66">
        <f>AL78</f>
        <v/>
      </c>
      <c r="AW78" s="59" t="n"/>
      <c r="AX78" s="57" t="n"/>
      <c r="AY78" s="57" t="n"/>
      <c r="AZ78" s="57" t="n"/>
      <c r="BA78" s="57" t="n"/>
      <c r="BB78" s="67">
        <f>SUM(AX78:BA78)</f>
        <v/>
      </c>
      <c r="BC78" s="61" t="n"/>
      <c r="BD78" s="57" t="n"/>
      <c r="BE78" s="66">
        <f>AU78</f>
        <v/>
      </c>
      <c r="BF78" s="59" t="n"/>
      <c r="BG78" s="57" t="n"/>
      <c r="BH78" s="57" t="n"/>
      <c r="BI78" s="57" t="n"/>
      <c r="BJ78" s="57" t="n"/>
      <c r="BK78" s="67">
        <f>SUM(BG78:BJ78)</f>
        <v/>
      </c>
      <c r="BL78" s="61" t="n"/>
      <c r="BM78" s="57" t="n"/>
      <c r="BN78" s="66">
        <f>BD78</f>
        <v/>
      </c>
      <c r="BO78" s="59" t="n"/>
      <c r="BP78" s="57" t="n"/>
      <c r="BQ78" s="57" t="n"/>
      <c r="BR78" s="57" t="n"/>
      <c r="BS78" s="57" t="n"/>
      <c r="BT78" s="67">
        <f>SUM(BP78:BS78)</f>
        <v/>
      </c>
      <c r="BU78" s="61" t="n"/>
      <c r="BV78" s="57" t="n"/>
      <c r="BW78" s="66">
        <f>BM78</f>
        <v/>
      </c>
      <c r="BX78" s="59" t="n"/>
      <c r="BY78" s="57" t="n"/>
      <c r="BZ78" s="57" t="n"/>
      <c r="CA78" s="57" t="n"/>
      <c r="CB78" s="57" t="n"/>
      <c r="CC78" s="67">
        <f>SUM(BY78:CB78)</f>
        <v/>
      </c>
      <c r="CD78" s="61" t="n"/>
      <c r="CE78" s="57" t="n"/>
      <c r="CF78" s="66">
        <f>BV78</f>
        <v/>
      </c>
      <c r="CG78" s="59" t="n"/>
      <c r="CH78" s="57" t="n"/>
      <c r="CI78" s="57" t="n"/>
      <c r="CJ78" s="57" t="n"/>
      <c r="CK78" s="57" t="n"/>
      <c r="CL78" s="67">
        <f>SUM(CH78:CK78)</f>
        <v/>
      </c>
      <c r="CM78" s="61" t="n"/>
      <c r="CN78" s="57" t="n"/>
      <c r="CO78" s="66">
        <f>CE78</f>
        <v/>
      </c>
      <c r="CP78" s="59" t="n"/>
      <c r="CQ78" s="57" t="n"/>
      <c r="CR78" s="57" t="n"/>
      <c r="CS78" s="57" t="n"/>
      <c r="CT78" s="57" t="n"/>
      <c r="CU78" s="67">
        <f>SUM(CQ78:CT78)</f>
        <v/>
      </c>
      <c r="CV78" s="61" t="n"/>
      <c r="CW78" s="57" t="n"/>
      <c r="CX78" s="66">
        <f>CN78</f>
        <v/>
      </c>
      <c r="CY78" s="59" t="n"/>
      <c r="CZ78" s="57" t="n"/>
      <c r="DA78" s="57" t="n"/>
      <c r="DB78" s="57" t="n"/>
      <c r="DC78" s="57" t="n"/>
      <c r="DD78" s="67">
        <f>SUM(CZ78:DC78)</f>
        <v/>
      </c>
      <c r="DE78" s="61" t="n"/>
      <c r="DF78" s="57" t="n"/>
      <c r="DG78" s="66">
        <f>CW78</f>
        <v/>
      </c>
      <c r="DH78" s="59" t="n"/>
      <c r="DI78" s="57" t="n"/>
      <c r="DJ78" s="57" t="n"/>
      <c r="DK78" s="57" t="n"/>
      <c r="DL78" s="57" t="n"/>
      <c r="DM78" s="67">
        <f>SUM(DI78:DL78)</f>
        <v/>
      </c>
      <c r="DN78" s="61" t="n"/>
      <c r="DO78" s="57" t="n"/>
      <c r="DP78" s="66">
        <f>DF78</f>
        <v/>
      </c>
      <c r="DQ78" s="59" t="n"/>
      <c r="DR78" s="57" t="n"/>
      <c r="DS78" s="57" t="n"/>
      <c r="DT78" s="57" t="n"/>
      <c r="DU78" s="57" t="n"/>
      <c r="DV78" s="67">
        <f>SUM(DR78:DU78)</f>
        <v/>
      </c>
      <c r="DW78" s="61" t="n"/>
      <c r="DX78" s="57" t="n"/>
      <c r="DY78" s="66">
        <f>DO78</f>
        <v/>
      </c>
      <c r="DZ78" s="59" t="n"/>
      <c r="EA78" s="57" t="n"/>
      <c r="EB78" s="57" t="n"/>
      <c r="EC78" s="57" t="n"/>
      <c r="ED78" s="57" t="n"/>
      <c r="EE78" s="67">
        <f>SUM(EA78:ED78)</f>
        <v/>
      </c>
      <c r="EF78" s="61" t="n"/>
      <c r="EG78" s="57" t="n"/>
      <c r="EH78" s="66">
        <f>DX78</f>
        <v/>
      </c>
      <c r="EI78" s="59" t="n"/>
      <c r="EJ78" s="57" t="n"/>
      <c r="EK78" s="57" t="n"/>
      <c r="EL78" s="57" t="n"/>
      <c r="EM78" s="57" t="n"/>
      <c r="EN78" s="67">
        <f>SUM(EJ78:EM78)</f>
        <v/>
      </c>
      <c r="EO78" s="61" t="n"/>
      <c r="EP78" s="57" t="n"/>
      <c r="EQ78" s="66">
        <f>EG78</f>
        <v/>
      </c>
      <c r="ER78" s="59" t="n"/>
      <c r="ES78" s="57" t="n"/>
      <c r="ET78" s="57" t="n"/>
      <c r="EU78" s="57" t="n"/>
      <c r="EV78" s="57" t="n"/>
      <c r="EW78" s="67">
        <f>SUM(ES78:EV78)</f>
        <v/>
      </c>
      <c r="EX78" s="61" t="n"/>
      <c r="EY78" s="57" t="n"/>
      <c r="EZ78" s="66">
        <f>EP78</f>
        <v/>
      </c>
      <c r="FA78" s="59" t="n"/>
      <c r="FB78" s="57" t="n"/>
      <c r="FC78" s="57" t="n"/>
      <c r="FD78" s="57" t="n"/>
      <c r="FE78" s="57" t="n"/>
      <c r="FF78" s="67">
        <f>SUM(FB78:FE78)</f>
        <v/>
      </c>
      <c r="FG78" s="61" t="n"/>
      <c r="FH78" s="57" t="n"/>
      <c r="FI78" s="66">
        <f>EY78</f>
        <v/>
      </c>
      <c r="FJ78" s="59" t="n"/>
      <c r="FK78" s="57" t="n"/>
      <c r="FL78" s="57" t="n"/>
      <c r="FM78" s="57" t="n"/>
      <c r="FN78" s="57" t="n"/>
      <c r="FO78" s="67">
        <f>SUM(FK78:FN78)</f>
        <v/>
      </c>
      <c r="FP78" s="61" t="n"/>
      <c r="FQ78" s="57" t="n"/>
      <c r="FR78" s="66">
        <f>FH78</f>
        <v/>
      </c>
      <c r="FS78" s="59" t="n"/>
      <c r="FT78" s="57" t="n"/>
      <c r="FU78" s="57" t="n"/>
      <c r="FV78" s="57" t="n"/>
      <c r="FW78" s="57" t="n"/>
      <c r="FX78" s="67">
        <f>SUM(FT78:FW78)</f>
        <v/>
      </c>
      <c r="FY78" s="61" t="n"/>
      <c r="FZ78" s="57" t="n"/>
      <c r="GA78" s="66">
        <f>FQ78</f>
        <v/>
      </c>
      <c r="GB78" s="59" t="n"/>
      <c r="GC78" s="57" t="n"/>
      <c r="GD78" s="57" t="n"/>
      <c r="GE78" s="57" t="n"/>
      <c r="GF78" s="57" t="n"/>
      <c r="GG78" s="67">
        <f>SUM(GC78:GF78)</f>
        <v/>
      </c>
      <c r="GH78" s="61" t="n"/>
      <c r="GI78" s="57" t="n"/>
      <c r="GJ78" s="66">
        <f>FZ78</f>
        <v/>
      </c>
      <c r="GK78" s="59" t="n"/>
      <c r="GL78" s="57" t="n"/>
      <c r="GM78" s="57" t="n"/>
      <c r="GN78" s="57" t="n"/>
      <c r="GO78" s="57" t="n"/>
      <c r="GP78" s="67">
        <f>SUM(GL78:GO78)</f>
        <v/>
      </c>
      <c r="GQ78" s="61" t="n"/>
      <c r="GR78" s="57" t="n"/>
      <c r="GS78" s="66">
        <f>GI78</f>
        <v/>
      </c>
      <c r="GT78" s="59" t="n"/>
      <c r="GU78" s="57" t="n"/>
      <c r="GV78" s="57" t="n"/>
      <c r="GW78" s="57" t="n"/>
      <c r="GX78" s="57" t="n"/>
      <c r="GY78" s="67">
        <f>SUM(GU78:GX78)</f>
        <v/>
      </c>
      <c r="GZ78" s="61" t="n"/>
      <c r="HA78" s="57" t="n"/>
      <c r="HB78" s="66">
        <f>GR78</f>
        <v/>
      </c>
      <c r="HC78" s="59" t="n"/>
      <c r="HD78" s="57" t="n"/>
      <c r="HE78" s="57" t="n"/>
      <c r="HF78" s="57" t="n"/>
      <c r="HG78" s="57" t="n"/>
      <c r="HH78" s="67">
        <f>SUM(HD78:HG78)</f>
        <v/>
      </c>
      <c r="HI78" s="61" t="n"/>
      <c r="HJ78" s="57" t="n"/>
      <c r="HK78" s="66">
        <f>HA78</f>
        <v/>
      </c>
      <c r="HL78" s="59" t="n"/>
      <c r="HM78" s="57" t="n"/>
      <c r="HN78" s="57" t="n"/>
      <c r="HO78" s="57" t="n"/>
      <c r="HP78" s="57" t="n"/>
      <c r="HQ78" s="67">
        <f>SUM(HM78:HP78)</f>
        <v/>
      </c>
      <c r="HR78" s="61" t="n"/>
      <c r="HS78" s="57" t="n"/>
      <c r="HT78" s="66">
        <f>HJ78</f>
        <v/>
      </c>
      <c r="HU78" s="59" t="n"/>
      <c r="HV78" s="57" t="n"/>
      <c r="HW78" s="57" t="n"/>
      <c r="HX78" s="57" t="n"/>
      <c r="HY78" s="57" t="n"/>
      <c r="HZ78" s="67">
        <f>SUM(HV78:HY78)</f>
        <v/>
      </c>
      <c r="IA78" s="61" t="n"/>
      <c r="IB78" s="57" t="n"/>
      <c r="IC78" s="66">
        <f>HS78</f>
        <v/>
      </c>
      <c r="ID78" s="59" t="n"/>
      <c r="IE78" s="57" t="n"/>
      <c r="IF78" s="57" t="n"/>
      <c r="IG78" s="57" t="n"/>
      <c r="IH78" s="57" t="n"/>
      <c r="II78" s="67">
        <f>SUM(IE78:IH78)</f>
        <v/>
      </c>
      <c r="IJ78" s="61" t="n"/>
      <c r="IK78" s="57" t="n"/>
      <c r="IL78" s="66">
        <f>IB78</f>
        <v/>
      </c>
      <c r="IM78" s="59" t="n"/>
      <c r="IN78" s="57" t="n"/>
      <c r="IO78" s="57" t="n"/>
      <c r="IP78" s="57" t="n"/>
      <c r="IQ78" s="57" t="n"/>
      <c r="IR78" s="67">
        <f>SUM(IN78:IQ78)</f>
        <v/>
      </c>
      <c r="IS78" s="61" t="n"/>
      <c r="IT78" s="57" t="n"/>
      <c r="IU78" s="66">
        <f>IK78</f>
        <v/>
      </c>
      <c r="IV78" s="59" t="n"/>
      <c r="IW78" s="57" t="n"/>
      <c r="IX78" s="57" t="n"/>
      <c r="IY78" s="57" t="n"/>
      <c r="IZ78" s="57" t="n"/>
      <c r="JA78" s="67">
        <f>SUM(IW78:IZ78)</f>
        <v/>
      </c>
      <c r="JB78" s="61" t="n"/>
      <c r="JC78" s="57" t="n"/>
      <c r="JD78" s="66">
        <f>IT78</f>
        <v/>
      </c>
      <c r="JE78" s="59" t="n"/>
      <c r="JF78" s="57" t="n"/>
      <c r="JG78" s="57" t="n"/>
      <c r="JH78" s="57" t="n"/>
      <c r="JI78" s="57" t="n"/>
      <c r="JJ78" s="67">
        <f>SUM(JF78:JI78)</f>
        <v/>
      </c>
      <c r="JK78" s="61" t="n"/>
      <c r="JL78" s="57" t="n"/>
      <c r="JM78" s="66">
        <f>JC78</f>
        <v/>
      </c>
      <c r="JN78" s="59" t="n"/>
      <c r="JO78" s="57" t="n"/>
      <c r="JP78" s="57" t="n"/>
      <c r="JQ78" s="57" t="n"/>
      <c r="JR78" s="57" t="n"/>
      <c r="JS78" s="67">
        <f>SUM(JO78:JR78)</f>
        <v/>
      </c>
      <c r="JT78" s="61" t="n"/>
      <c r="JU78" s="62">
        <f>I78+R78+AA78+AJ78+AS78+BB78+BK78+BT78+CC78+CL78+CU78+DD78+DM78+DV78+EE78+EN78+EW78+FF78+FO78+FX78+GG78+GP78+GY78+HH78+HQ78+HZ78+II78+IR78+JA78+JJ78+JS78</f>
        <v/>
      </c>
      <c r="JV78" s="63">
        <f>D78+M78+V78+AE78+AN78+AW78+BF78+BO78+BX78+CG78+CP78+CY78+DH78+DQ78+DZ78+EI78+ER78+FA78+FJ78+FS78+GB78+GK78+GT78+HC78+HL78+HU78+ID78+IM78+IV78+JE78+JN78</f>
        <v/>
      </c>
      <c r="JW78" s="62">
        <f>CHOOSE($Z$3,B78, K78, T78, AC78, AL78, AU78, BD78, BM78, BV78, CE78, CN78, CW78, DF78, DO78, DX78, EG78, EP78, EY78, FH78, FQ78, FZ78, GI78, GR78, HA78, HJ78, HS78, IB78, IK78, IT78, JC78, JL78)</f>
        <v/>
      </c>
      <c r="JX78" s="62">
        <f>IFERROR(JU78/$Z$3,0)</f>
        <v/>
      </c>
      <c r="JY78" s="62">
        <f>Configurações!$C$18</f>
        <v/>
      </c>
      <c r="JZ78" s="64">
        <f>IF(JY78=0,"— Sem meta",IF(JU78&gt;=JY78,"✓ Atingida","Em andamento"))</f>
        <v/>
      </c>
      <c r="KA78" s="65">
        <f>JU78+(2*0.0000001)</f>
        <v/>
      </c>
    </row>
    <row r="79" ht="20" customHeight="1">
      <c r="A79" s="56">
        <f>IF(Configurações!$B$19="","Assessor 13",Configurações!$B$19)</f>
        <v/>
      </c>
      <c r="B79" s="57" t="n"/>
      <c r="C79" s="58">
        <f>'Abril'!$JW79</f>
        <v/>
      </c>
      <c r="D79" s="59" t="n"/>
      <c r="E79" s="57" t="n"/>
      <c r="F79" s="57" t="n"/>
      <c r="G79" s="57" t="n"/>
      <c r="H79" s="57" t="n"/>
      <c r="I79" s="60">
        <f>SUM(E79:H79)</f>
        <v/>
      </c>
      <c r="J79" s="61" t="n"/>
      <c r="K79" s="57" t="n"/>
      <c r="L79" s="58">
        <f>B79</f>
        <v/>
      </c>
      <c r="M79" s="59" t="n"/>
      <c r="N79" s="57" t="n"/>
      <c r="O79" s="57" t="n"/>
      <c r="P79" s="57" t="n"/>
      <c r="Q79" s="57" t="n"/>
      <c r="R79" s="60">
        <f>SUM(N79:Q79)</f>
        <v/>
      </c>
      <c r="S79" s="61" t="n"/>
      <c r="T79" s="57" t="n"/>
      <c r="U79" s="58">
        <f>K79</f>
        <v/>
      </c>
      <c r="V79" s="59" t="n"/>
      <c r="W79" s="57" t="n"/>
      <c r="X79" s="57" t="n"/>
      <c r="Y79" s="57" t="n"/>
      <c r="Z79" s="57" t="n"/>
      <c r="AA79" s="60">
        <f>SUM(W79:Z79)</f>
        <v/>
      </c>
      <c r="AB79" s="61" t="n"/>
      <c r="AC79" s="57" t="n"/>
      <c r="AD79" s="58">
        <f>T79</f>
        <v/>
      </c>
      <c r="AE79" s="59" t="n"/>
      <c r="AF79" s="57" t="n"/>
      <c r="AG79" s="57" t="n"/>
      <c r="AH79" s="57" t="n"/>
      <c r="AI79" s="57" t="n"/>
      <c r="AJ79" s="60">
        <f>SUM(AF79:AI79)</f>
        <v/>
      </c>
      <c r="AK79" s="61" t="n"/>
      <c r="AL79" s="57" t="n"/>
      <c r="AM79" s="58">
        <f>AC79</f>
        <v/>
      </c>
      <c r="AN79" s="59" t="n"/>
      <c r="AO79" s="57" t="n"/>
      <c r="AP79" s="57" t="n"/>
      <c r="AQ79" s="57" t="n"/>
      <c r="AR79" s="57" t="n"/>
      <c r="AS79" s="60">
        <f>SUM(AO79:AR79)</f>
        <v/>
      </c>
      <c r="AT79" s="61" t="n"/>
      <c r="AU79" s="57" t="n"/>
      <c r="AV79" s="58">
        <f>AL79</f>
        <v/>
      </c>
      <c r="AW79" s="59" t="n"/>
      <c r="AX79" s="57" t="n"/>
      <c r="AY79" s="57" t="n"/>
      <c r="AZ79" s="57" t="n"/>
      <c r="BA79" s="57" t="n"/>
      <c r="BB79" s="60">
        <f>SUM(AX79:BA79)</f>
        <v/>
      </c>
      <c r="BC79" s="61" t="n"/>
      <c r="BD79" s="57" t="n"/>
      <c r="BE79" s="58">
        <f>AU79</f>
        <v/>
      </c>
      <c r="BF79" s="59" t="n"/>
      <c r="BG79" s="57" t="n"/>
      <c r="BH79" s="57" t="n"/>
      <c r="BI79" s="57" t="n"/>
      <c r="BJ79" s="57" t="n"/>
      <c r="BK79" s="60">
        <f>SUM(BG79:BJ79)</f>
        <v/>
      </c>
      <c r="BL79" s="61" t="n"/>
      <c r="BM79" s="57" t="n"/>
      <c r="BN79" s="58">
        <f>BD79</f>
        <v/>
      </c>
      <c r="BO79" s="59" t="n"/>
      <c r="BP79" s="57" t="n"/>
      <c r="BQ79" s="57" t="n"/>
      <c r="BR79" s="57" t="n"/>
      <c r="BS79" s="57" t="n"/>
      <c r="BT79" s="60">
        <f>SUM(BP79:BS79)</f>
        <v/>
      </c>
      <c r="BU79" s="61" t="n"/>
      <c r="BV79" s="57" t="n"/>
      <c r="BW79" s="58">
        <f>BM79</f>
        <v/>
      </c>
      <c r="BX79" s="59" t="n"/>
      <c r="BY79" s="57" t="n"/>
      <c r="BZ79" s="57" t="n"/>
      <c r="CA79" s="57" t="n"/>
      <c r="CB79" s="57" t="n"/>
      <c r="CC79" s="60">
        <f>SUM(BY79:CB79)</f>
        <v/>
      </c>
      <c r="CD79" s="61" t="n"/>
      <c r="CE79" s="57" t="n"/>
      <c r="CF79" s="58">
        <f>BV79</f>
        <v/>
      </c>
      <c r="CG79" s="59" t="n"/>
      <c r="CH79" s="57" t="n"/>
      <c r="CI79" s="57" t="n"/>
      <c r="CJ79" s="57" t="n"/>
      <c r="CK79" s="57" t="n"/>
      <c r="CL79" s="60">
        <f>SUM(CH79:CK79)</f>
        <v/>
      </c>
      <c r="CM79" s="61" t="n"/>
      <c r="CN79" s="57" t="n"/>
      <c r="CO79" s="58">
        <f>CE79</f>
        <v/>
      </c>
      <c r="CP79" s="59" t="n"/>
      <c r="CQ79" s="57" t="n"/>
      <c r="CR79" s="57" t="n"/>
      <c r="CS79" s="57" t="n"/>
      <c r="CT79" s="57" t="n"/>
      <c r="CU79" s="60">
        <f>SUM(CQ79:CT79)</f>
        <v/>
      </c>
      <c r="CV79" s="61" t="n"/>
      <c r="CW79" s="57" t="n"/>
      <c r="CX79" s="58">
        <f>CN79</f>
        <v/>
      </c>
      <c r="CY79" s="59" t="n"/>
      <c r="CZ79" s="57" t="n"/>
      <c r="DA79" s="57" t="n"/>
      <c r="DB79" s="57" t="n"/>
      <c r="DC79" s="57" t="n"/>
      <c r="DD79" s="60">
        <f>SUM(CZ79:DC79)</f>
        <v/>
      </c>
      <c r="DE79" s="61" t="n"/>
      <c r="DF79" s="57" t="n"/>
      <c r="DG79" s="58">
        <f>CW79</f>
        <v/>
      </c>
      <c r="DH79" s="59" t="n"/>
      <c r="DI79" s="57" t="n"/>
      <c r="DJ79" s="57" t="n"/>
      <c r="DK79" s="57" t="n"/>
      <c r="DL79" s="57" t="n"/>
      <c r="DM79" s="60">
        <f>SUM(DI79:DL79)</f>
        <v/>
      </c>
      <c r="DN79" s="61" t="n"/>
      <c r="DO79" s="57" t="n"/>
      <c r="DP79" s="58">
        <f>DF79</f>
        <v/>
      </c>
      <c r="DQ79" s="59" t="n"/>
      <c r="DR79" s="57" t="n"/>
      <c r="DS79" s="57" t="n"/>
      <c r="DT79" s="57" t="n"/>
      <c r="DU79" s="57" t="n"/>
      <c r="DV79" s="60">
        <f>SUM(DR79:DU79)</f>
        <v/>
      </c>
      <c r="DW79" s="61" t="n"/>
      <c r="DX79" s="57" t="n"/>
      <c r="DY79" s="58">
        <f>DO79</f>
        <v/>
      </c>
      <c r="DZ79" s="59" t="n"/>
      <c r="EA79" s="57" t="n"/>
      <c r="EB79" s="57" t="n"/>
      <c r="EC79" s="57" t="n"/>
      <c r="ED79" s="57" t="n"/>
      <c r="EE79" s="60">
        <f>SUM(EA79:ED79)</f>
        <v/>
      </c>
      <c r="EF79" s="61" t="n"/>
      <c r="EG79" s="57" t="n"/>
      <c r="EH79" s="58">
        <f>DX79</f>
        <v/>
      </c>
      <c r="EI79" s="59" t="n"/>
      <c r="EJ79" s="57" t="n"/>
      <c r="EK79" s="57" t="n"/>
      <c r="EL79" s="57" t="n"/>
      <c r="EM79" s="57" t="n"/>
      <c r="EN79" s="60">
        <f>SUM(EJ79:EM79)</f>
        <v/>
      </c>
      <c r="EO79" s="61" t="n"/>
      <c r="EP79" s="57" t="n"/>
      <c r="EQ79" s="58">
        <f>EG79</f>
        <v/>
      </c>
      <c r="ER79" s="59" t="n"/>
      <c r="ES79" s="57" t="n"/>
      <c r="ET79" s="57" t="n"/>
      <c r="EU79" s="57" t="n"/>
      <c r="EV79" s="57" t="n"/>
      <c r="EW79" s="60">
        <f>SUM(ES79:EV79)</f>
        <v/>
      </c>
      <c r="EX79" s="61" t="n"/>
      <c r="EY79" s="57" t="n"/>
      <c r="EZ79" s="58">
        <f>EP79</f>
        <v/>
      </c>
      <c r="FA79" s="59" t="n"/>
      <c r="FB79" s="57" t="n"/>
      <c r="FC79" s="57" t="n"/>
      <c r="FD79" s="57" t="n"/>
      <c r="FE79" s="57" t="n"/>
      <c r="FF79" s="60">
        <f>SUM(FB79:FE79)</f>
        <v/>
      </c>
      <c r="FG79" s="61" t="n"/>
      <c r="FH79" s="57" t="n"/>
      <c r="FI79" s="58">
        <f>EY79</f>
        <v/>
      </c>
      <c r="FJ79" s="59" t="n"/>
      <c r="FK79" s="57" t="n"/>
      <c r="FL79" s="57" t="n"/>
      <c r="FM79" s="57" t="n"/>
      <c r="FN79" s="57" t="n"/>
      <c r="FO79" s="60">
        <f>SUM(FK79:FN79)</f>
        <v/>
      </c>
      <c r="FP79" s="61" t="n"/>
      <c r="FQ79" s="57" t="n"/>
      <c r="FR79" s="58">
        <f>FH79</f>
        <v/>
      </c>
      <c r="FS79" s="59" t="n"/>
      <c r="FT79" s="57" t="n"/>
      <c r="FU79" s="57" t="n"/>
      <c r="FV79" s="57" t="n"/>
      <c r="FW79" s="57" t="n"/>
      <c r="FX79" s="60">
        <f>SUM(FT79:FW79)</f>
        <v/>
      </c>
      <c r="FY79" s="61" t="n"/>
      <c r="FZ79" s="57" t="n"/>
      <c r="GA79" s="58">
        <f>FQ79</f>
        <v/>
      </c>
      <c r="GB79" s="59" t="n"/>
      <c r="GC79" s="57" t="n"/>
      <c r="GD79" s="57" t="n"/>
      <c r="GE79" s="57" t="n"/>
      <c r="GF79" s="57" t="n"/>
      <c r="GG79" s="60">
        <f>SUM(GC79:GF79)</f>
        <v/>
      </c>
      <c r="GH79" s="61" t="n"/>
      <c r="GI79" s="57" t="n"/>
      <c r="GJ79" s="58">
        <f>FZ79</f>
        <v/>
      </c>
      <c r="GK79" s="59" t="n"/>
      <c r="GL79" s="57" t="n"/>
      <c r="GM79" s="57" t="n"/>
      <c r="GN79" s="57" t="n"/>
      <c r="GO79" s="57" t="n"/>
      <c r="GP79" s="60">
        <f>SUM(GL79:GO79)</f>
        <v/>
      </c>
      <c r="GQ79" s="61" t="n"/>
      <c r="GR79" s="57" t="n"/>
      <c r="GS79" s="58">
        <f>GI79</f>
        <v/>
      </c>
      <c r="GT79" s="59" t="n"/>
      <c r="GU79" s="57" t="n"/>
      <c r="GV79" s="57" t="n"/>
      <c r="GW79" s="57" t="n"/>
      <c r="GX79" s="57" t="n"/>
      <c r="GY79" s="60">
        <f>SUM(GU79:GX79)</f>
        <v/>
      </c>
      <c r="GZ79" s="61" t="n"/>
      <c r="HA79" s="57" t="n"/>
      <c r="HB79" s="58">
        <f>GR79</f>
        <v/>
      </c>
      <c r="HC79" s="59" t="n"/>
      <c r="HD79" s="57" t="n"/>
      <c r="HE79" s="57" t="n"/>
      <c r="HF79" s="57" t="n"/>
      <c r="HG79" s="57" t="n"/>
      <c r="HH79" s="60">
        <f>SUM(HD79:HG79)</f>
        <v/>
      </c>
      <c r="HI79" s="61" t="n"/>
      <c r="HJ79" s="57" t="n"/>
      <c r="HK79" s="58">
        <f>HA79</f>
        <v/>
      </c>
      <c r="HL79" s="59" t="n"/>
      <c r="HM79" s="57" t="n"/>
      <c r="HN79" s="57" t="n"/>
      <c r="HO79" s="57" t="n"/>
      <c r="HP79" s="57" t="n"/>
      <c r="HQ79" s="60">
        <f>SUM(HM79:HP79)</f>
        <v/>
      </c>
      <c r="HR79" s="61" t="n"/>
      <c r="HS79" s="57" t="n"/>
      <c r="HT79" s="58">
        <f>HJ79</f>
        <v/>
      </c>
      <c r="HU79" s="59" t="n"/>
      <c r="HV79" s="57" t="n"/>
      <c r="HW79" s="57" t="n"/>
      <c r="HX79" s="57" t="n"/>
      <c r="HY79" s="57" t="n"/>
      <c r="HZ79" s="60">
        <f>SUM(HV79:HY79)</f>
        <v/>
      </c>
      <c r="IA79" s="61" t="n"/>
      <c r="IB79" s="57" t="n"/>
      <c r="IC79" s="58">
        <f>HS79</f>
        <v/>
      </c>
      <c r="ID79" s="59" t="n"/>
      <c r="IE79" s="57" t="n"/>
      <c r="IF79" s="57" t="n"/>
      <c r="IG79" s="57" t="n"/>
      <c r="IH79" s="57" t="n"/>
      <c r="II79" s="60">
        <f>SUM(IE79:IH79)</f>
        <v/>
      </c>
      <c r="IJ79" s="61" t="n"/>
      <c r="IK79" s="57" t="n"/>
      <c r="IL79" s="58">
        <f>IB79</f>
        <v/>
      </c>
      <c r="IM79" s="59" t="n"/>
      <c r="IN79" s="57" t="n"/>
      <c r="IO79" s="57" t="n"/>
      <c r="IP79" s="57" t="n"/>
      <c r="IQ79" s="57" t="n"/>
      <c r="IR79" s="60">
        <f>SUM(IN79:IQ79)</f>
        <v/>
      </c>
      <c r="IS79" s="61" t="n"/>
      <c r="IT79" s="57" t="n"/>
      <c r="IU79" s="58">
        <f>IK79</f>
        <v/>
      </c>
      <c r="IV79" s="59" t="n"/>
      <c r="IW79" s="57" t="n"/>
      <c r="IX79" s="57" t="n"/>
      <c r="IY79" s="57" t="n"/>
      <c r="IZ79" s="57" t="n"/>
      <c r="JA79" s="60">
        <f>SUM(IW79:IZ79)</f>
        <v/>
      </c>
      <c r="JB79" s="61" t="n"/>
      <c r="JC79" s="57" t="n"/>
      <c r="JD79" s="58">
        <f>IT79</f>
        <v/>
      </c>
      <c r="JE79" s="59" t="n"/>
      <c r="JF79" s="57" t="n"/>
      <c r="JG79" s="57" t="n"/>
      <c r="JH79" s="57" t="n"/>
      <c r="JI79" s="57" t="n"/>
      <c r="JJ79" s="60">
        <f>SUM(JF79:JI79)</f>
        <v/>
      </c>
      <c r="JK79" s="61" t="n"/>
      <c r="JL79" s="57" t="n"/>
      <c r="JM79" s="58">
        <f>JC79</f>
        <v/>
      </c>
      <c r="JN79" s="59" t="n"/>
      <c r="JO79" s="57" t="n"/>
      <c r="JP79" s="57" t="n"/>
      <c r="JQ79" s="57" t="n"/>
      <c r="JR79" s="57" t="n"/>
      <c r="JS79" s="60">
        <f>SUM(JO79:JR79)</f>
        <v/>
      </c>
      <c r="JT79" s="61" t="n"/>
      <c r="JU79" s="62">
        <f>I79+R79+AA79+AJ79+AS79+BB79+BK79+BT79+CC79+CL79+CU79+DD79+DM79+DV79+EE79+EN79+EW79+FF79+FO79+FX79+GG79+GP79+GY79+HH79+HQ79+HZ79+II79+IR79+JA79+JJ79+JS79</f>
        <v/>
      </c>
      <c r="JV79" s="63">
        <f>D79+M79+V79+AE79+AN79+AW79+BF79+BO79+BX79+CG79+CP79+CY79+DH79+DQ79+DZ79+EI79+ER79+FA79+FJ79+FS79+GB79+GK79+GT79+HC79+HL79+HU79+ID79+IM79+IV79+JE79+JN79</f>
        <v/>
      </c>
      <c r="JW79" s="62">
        <f>CHOOSE($Z$3,B79, K79, T79, AC79, AL79, AU79, BD79, BM79, BV79, CE79, CN79, CW79, DF79, DO79, DX79, EG79, EP79, EY79, FH79, FQ79, FZ79, GI79, GR79, HA79, HJ79, HS79, IB79, IK79, IT79, JC79, JL79)</f>
        <v/>
      </c>
      <c r="JX79" s="62">
        <f>IFERROR(JU79/$Z$3,0)</f>
        <v/>
      </c>
      <c r="JY79" s="62">
        <f>Configurações!$C$19</f>
        <v/>
      </c>
      <c r="JZ79" s="64">
        <f>IF(JY79=0,"— Sem meta",IF(JU79&gt;=JY79,"✓ Atingida","Em andamento"))</f>
        <v/>
      </c>
      <c r="KA79" s="65">
        <f>JU79+(1*0.0000001)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66:JZ79"/>
  <mergeCells count="65">
    <mergeCell ref="C6:D6"/>
    <mergeCell ref="I6:J6"/>
    <mergeCell ref="G10:I10"/>
    <mergeCell ref="T65:AB65"/>
    <mergeCell ref="CW65:DE65"/>
    <mergeCell ref="IK65:IS65"/>
    <mergeCell ref="FH65:FP65"/>
    <mergeCell ref="JV65:JV66"/>
    <mergeCell ref="C5:D5"/>
    <mergeCell ref="EY65:FG65"/>
    <mergeCell ref="JY65:JY66"/>
    <mergeCell ref="A2:KA2"/>
    <mergeCell ref="E5:F5"/>
    <mergeCell ref="K5:L5"/>
    <mergeCell ref="J9:L9"/>
    <mergeCell ref="AU65:BC65"/>
    <mergeCell ref="GI65:GQ65"/>
    <mergeCell ref="HJ65:HR65"/>
    <mergeCell ref="A6:B6"/>
    <mergeCell ref="A12:L12"/>
    <mergeCell ref="A65:A66"/>
    <mergeCell ref="JL65:JT65"/>
    <mergeCell ref="A8:L8"/>
    <mergeCell ref="FQ65:FY65"/>
    <mergeCell ref="D9:F9"/>
    <mergeCell ref="G6:H6"/>
    <mergeCell ref="B65:J65"/>
    <mergeCell ref="HS65:IA65"/>
    <mergeCell ref="AC65:AK65"/>
    <mergeCell ref="BD65:BL65"/>
    <mergeCell ref="A4:L4"/>
    <mergeCell ref="DO65:DW65"/>
    <mergeCell ref="A10:C10"/>
    <mergeCell ref="CE65:CM65"/>
    <mergeCell ref="DF65:DN65"/>
    <mergeCell ref="E6:F6"/>
    <mergeCell ref="EG65:EO65"/>
    <mergeCell ref="JX65:JX66"/>
    <mergeCell ref="JZ65:JZ66"/>
    <mergeCell ref="K65:S65"/>
    <mergeCell ref="A5:B5"/>
    <mergeCell ref="G5:H5"/>
    <mergeCell ref="A9:C9"/>
    <mergeCell ref="G9:I9"/>
    <mergeCell ref="I5:J5"/>
    <mergeCell ref="A64:KA64"/>
    <mergeCell ref="IT65:JB65"/>
    <mergeCell ref="A1:KA1"/>
    <mergeCell ref="D10:F10"/>
    <mergeCell ref="BV65:CD65"/>
    <mergeCell ref="IB65:IJ65"/>
    <mergeCell ref="CN65:CV65"/>
    <mergeCell ref="BM65:BU65"/>
    <mergeCell ref="DX65:EF65"/>
    <mergeCell ref="JU65:JU66"/>
    <mergeCell ref="J10:L10"/>
    <mergeCell ref="EP65:EX65"/>
    <mergeCell ref="JW65:JW66"/>
    <mergeCell ref="FZ65:GH65"/>
    <mergeCell ref="KA65:KA66"/>
    <mergeCell ref="HA65:HI65"/>
    <mergeCell ref="AL65:AT65"/>
    <mergeCell ref="GR65:GZ65"/>
    <mergeCell ref="JC65:JK65"/>
    <mergeCell ref="K6:L6"/>
  </mergeCells>
  <conditionalFormatting sqref="H14:H26">
    <cfRule type="expression" priority="1" dxfId="0">
      <formula>ISNUMBER(SEARCH("Atingida",H14))</formula>
    </cfRule>
  </conditionalFormatting>
  <conditionalFormatting sqref="B65:JT79">
    <cfRule type="expression" priority="2" dxfId="1">
      <formula>$Z$3&lt;INT((COLUMN()-2)/9)+1</formula>
    </cfRule>
  </conditionalFormatting>
  <conditionalFormatting sqref="D67:D79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I67:I79">
    <cfRule type="colorScale" priority="5">
      <colorScale>
        <cfvo type="min"/>
        <cfvo type="max"/>
        <color rgb="00FFFFFF"/>
        <color rgb="0063BE7B"/>
      </colorScale>
    </cfRule>
  </conditionalFormatting>
  <conditionalFormatting sqref="M67:M79">
    <cfRule type="cellIs" priority="6" operator="greaterThan" dxfId="2">
      <formula>0</formula>
    </cfRule>
    <cfRule type="cellIs" priority="7" operator="lessThan" dxfId="3">
      <formula>0</formula>
    </cfRule>
  </conditionalFormatting>
  <conditionalFormatting sqref="R67:R79">
    <cfRule type="colorScale" priority="8">
      <colorScale>
        <cfvo type="min"/>
        <cfvo type="max"/>
        <color rgb="00FFFFFF"/>
        <color rgb="0063BE7B"/>
      </colorScale>
    </cfRule>
  </conditionalFormatting>
  <conditionalFormatting sqref="V67:V79">
    <cfRule type="cellIs" priority="9" operator="greaterThan" dxfId="2">
      <formula>0</formula>
    </cfRule>
    <cfRule type="cellIs" priority="10" operator="lessThan" dxfId="3">
      <formula>0</formula>
    </cfRule>
  </conditionalFormatting>
  <conditionalFormatting sqref="AA67:AA79">
    <cfRule type="colorScale" priority="11">
      <colorScale>
        <cfvo type="min"/>
        <cfvo type="max"/>
        <color rgb="00FFFFFF"/>
        <color rgb="0063BE7B"/>
      </colorScale>
    </cfRule>
  </conditionalFormatting>
  <conditionalFormatting sqref="AE67:AE79">
    <cfRule type="cellIs" priority="12" operator="greaterThan" dxfId="2">
      <formula>0</formula>
    </cfRule>
    <cfRule type="cellIs" priority="13" operator="lessThan" dxfId="3">
      <formula>0</formula>
    </cfRule>
  </conditionalFormatting>
  <conditionalFormatting sqref="AJ67:AJ79">
    <cfRule type="colorScale" priority="14">
      <colorScale>
        <cfvo type="min"/>
        <cfvo type="max"/>
        <color rgb="00FFFFFF"/>
        <color rgb="0063BE7B"/>
      </colorScale>
    </cfRule>
  </conditionalFormatting>
  <conditionalFormatting sqref="AN67:AN79">
    <cfRule type="cellIs" priority="15" operator="greaterThan" dxfId="2">
      <formula>0</formula>
    </cfRule>
    <cfRule type="cellIs" priority="16" operator="lessThan" dxfId="3">
      <formula>0</formula>
    </cfRule>
  </conditionalFormatting>
  <conditionalFormatting sqref="AS67:AS79">
    <cfRule type="colorScale" priority="17">
      <colorScale>
        <cfvo type="min"/>
        <cfvo type="max"/>
        <color rgb="00FFFFFF"/>
        <color rgb="0063BE7B"/>
      </colorScale>
    </cfRule>
  </conditionalFormatting>
  <conditionalFormatting sqref="AW67:AW79">
    <cfRule type="cellIs" priority="18" operator="greaterThan" dxfId="2">
      <formula>0</formula>
    </cfRule>
    <cfRule type="cellIs" priority="19" operator="lessThan" dxfId="3">
      <formula>0</formula>
    </cfRule>
  </conditionalFormatting>
  <conditionalFormatting sqref="BB67:BB79">
    <cfRule type="colorScale" priority="20">
      <colorScale>
        <cfvo type="min"/>
        <cfvo type="max"/>
        <color rgb="00FFFFFF"/>
        <color rgb="0063BE7B"/>
      </colorScale>
    </cfRule>
  </conditionalFormatting>
  <conditionalFormatting sqref="BF67:BF79">
    <cfRule type="cellIs" priority="21" operator="greaterThan" dxfId="2">
      <formula>0</formula>
    </cfRule>
    <cfRule type="cellIs" priority="22" operator="lessThan" dxfId="3">
      <formula>0</formula>
    </cfRule>
  </conditionalFormatting>
  <conditionalFormatting sqref="BK67:BK79">
    <cfRule type="colorScale" priority="23">
      <colorScale>
        <cfvo type="min"/>
        <cfvo type="max"/>
        <color rgb="00FFFFFF"/>
        <color rgb="0063BE7B"/>
      </colorScale>
    </cfRule>
  </conditionalFormatting>
  <conditionalFormatting sqref="BO67:BO79">
    <cfRule type="cellIs" priority="24" operator="greaterThan" dxfId="2">
      <formula>0</formula>
    </cfRule>
    <cfRule type="cellIs" priority="25" operator="lessThan" dxfId="3">
      <formula>0</formula>
    </cfRule>
  </conditionalFormatting>
  <conditionalFormatting sqref="BT67:BT79">
    <cfRule type="colorScale" priority="26">
      <colorScale>
        <cfvo type="min"/>
        <cfvo type="max"/>
        <color rgb="00FFFFFF"/>
        <color rgb="0063BE7B"/>
      </colorScale>
    </cfRule>
  </conditionalFormatting>
  <conditionalFormatting sqref="BX67:BX79">
    <cfRule type="cellIs" priority="27" operator="greaterThan" dxfId="2">
      <formula>0</formula>
    </cfRule>
    <cfRule type="cellIs" priority="28" operator="lessThan" dxfId="3">
      <formula>0</formula>
    </cfRule>
  </conditionalFormatting>
  <conditionalFormatting sqref="CC67:CC79">
    <cfRule type="colorScale" priority="29">
      <colorScale>
        <cfvo type="min"/>
        <cfvo type="max"/>
        <color rgb="00FFFFFF"/>
        <color rgb="0063BE7B"/>
      </colorScale>
    </cfRule>
  </conditionalFormatting>
  <conditionalFormatting sqref="CG67:CG79">
    <cfRule type="cellIs" priority="30" operator="greaterThan" dxfId="2">
      <formula>0</formula>
    </cfRule>
    <cfRule type="cellIs" priority="31" operator="lessThan" dxfId="3">
      <formula>0</formula>
    </cfRule>
  </conditionalFormatting>
  <conditionalFormatting sqref="CL67:CL79">
    <cfRule type="colorScale" priority="32">
      <colorScale>
        <cfvo type="min"/>
        <cfvo type="max"/>
        <color rgb="00FFFFFF"/>
        <color rgb="0063BE7B"/>
      </colorScale>
    </cfRule>
  </conditionalFormatting>
  <conditionalFormatting sqref="CP67:CP79">
    <cfRule type="cellIs" priority="33" operator="greaterThan" dxfId="2">
      <formula>0</formula>
    </cfRule>
    <cfRule type="cellIs" priority="34" operator="lessThan" dxfId="3">
      <formula>0</formula>
    </cfRule>
  </conditionalFormatting>
  <conditionalFormatting sqref="CU67:CU79">
    <cfRule type="colorScale" priority="35">
      <colorScale>
        <cfvo type="min"/>
        <cfvo type="max"/>
        <color rgb="00FFFFFF"/>
        <color rgb="0063BE7B"/>
      </colorScale>
    </cfRule>
  </conditionalFormatting>
  <conditionalFormatting sqref="CY67:CY79">
    <cfRule type="cellIs" priority="36" operator="greaterThan" dxfId="2">
      <formula>0</formula>
    </cfRule>
    <cfRule type="cellIs" priority="37" operator="lessThan" dxfId="3">
      <formula>0</formula>
    </cfRule>
  </conditionalFormatting>
  <conditionalFormatting sqref="DD67:DD79">
    <cfRule type="colorScale" priority="38">
      <colorScale>
        <cfvo type="min"/>
        <cfvo type="max"/>
        <color rgb="00FFFFFF"/>
        <color rgb="0063BE7B"/>
      </colorScale>
    </cfRule>
  </conditionalFormatting>
  <conditionalFormatting sqref="DH67:DH79">
    <cfRule type="cellIs" priority="39" operator="greaterThan" dxfId="2">
      <formula>0</formula>
    </cfRule>
    <cfRule type="cellIs" priority="40" operator="lessThan" dxfId="3">
      <formula>0</formula>
    </cfRule>
  </conditionalFormatting>
  <conditionalFormatting sqref="DM67:DM79">
    <cfRule type="colorScale" priority="41">
      <colorScale>
        <cfvo type="min"/>
        <cfvo type="max"/>
        <color rgb="00FFFFFF"/>
        <color rgb="0063BE7B"/>
      </colorScale>
    </cfRule>
  </conditionalFormatting>
  <conditionalFormatting sqref="DQ67:DQ79">
    <cfRule type="cellIs" priority="42" operator="greaterThan" dxfId="2">
      <formula>0</formula>
    </cfRule>
    <cfRule type="cellIs" priority="43" operator="lessThan" dxfId="3">
      <formula>0</formula>
    </cfRule>
  </conditionalFormatting>
  <conditionalFormatting sqref="DV67:DV79">
    <cfRule type="colorScale" priority="44">
      <colorScale>
        <cfvo type="min"/>
        <cfvo type="max"/>
        <color rgb="00FFFFFF"/>
        <color rgb="0063BE7B"/>
      </colorScale>
    </cfRule>
  </conditionalFormatting>
  <conditionalFormatting sqref="DZ67:DZ79">
    <cfRule type="cellIs" priority="45" operator="greaterThan" dxfId="2">
      <formula>0</formula>
    </cfRule>
    <cfRule type="cellIs" priority="46" operator="lessThan" dxfId="3">
      <formula>0</formula>
    </cfRule>
  </conditionalFormatting>
  <conditionalFormatting sqref="EE67:EE79">
    <cfRule type="colorScale" priority="47">
      <colorScale>
        <cfvo type="min"/>
        <cfvo type="max"/>
        <color rgb="00FFFFFF"/>
        <color rgb="0063BE7B"/>
      </colorScale>
    </cfRule>
  </conditionalFormatting>
  <conditionalFormatting sqref="EI67:EI79">
    <cfRule type="cellIs" priority="48" operator="greaterThan" dxfId="2">
      <formula>0</formula>
    </cfRule>
    <cfRule type="cellIs" priority="49" operator="lessThan" dxfId="3">
      <formula>0</formula>
    </cfRule>
  </conditionalFormatting>
  <conditionalFormatting sqref="EN67:EN79">
    <cfRule type="colorScale" priority="50">
      <colorScale>
        <cfvo type="min"/>
        <cfvo type="max"/>
        <color rgb="00FFFFFF"/>
        <color rgb="0063BE7B"/>
      </colorScale>
    </cfRule>
  </conditionalFormatting>
  <conditionalFormatting sqref="ER67:ER79">
    <cfRule type="cellIs" priority="51" operator="greaterThan" dxfId="2">
      <formula>0</formula>
    </cfRule>
    <cfRule type="cellIs" priority="52" operator="lessThan" dxfId="3">
      <formula>0</formula>
    </cfRule>
  </conditionalFormatting>
  <conditionalFormatting sqref="EW67:EW79">
    <cfRule type="colorScale" priority="53">
      <colorScale>
        <cfvo type="min"/>
        <cfvo type="max"/>
        <color rgb="00FFFFFF"/>
        <color rgb="0063BE7B"/>
      </colorScale>
    </cfRule>
  </conditionalFormatting>
  <conditionalFormatting sqref="FA67:FA79">
    <cfRule type="cellIs" priority="54" operator="greaterThan" dxfId="2">
      <formula>0</formula>
    </cfRule>
    <cfRule type="cellIs" priority="55" operator="lessThan" dxfId="3">
      <formula>0</formula>
    </cfRule>
  </conditionalFormatting>
  <conditionalFormatting sqref="FF67:FF79">
    <cfRule type="colorScale" priority="56">
      <colorScale>
        <cfvo type="min"/>
        <cfvo type="max"/>
        <color rgb="00FFFFFF"/>
        <color rgb="0063BE7B"/>
      </colorScale>
    </cfRule>
  </conditionalFormatting>
  <conditionalFormatting sqref="FJ67:FJ79">
    <cfRule type="cellIs" priority="57" operator="greaterThan" dxfId="2">
      <formula>0</formula>
    </cfRule>
    <cfRule type="cellIs" priority="58" operator="lessThan" dxfId="3">
      <formula>0</formula>
    </cfRule>
  </conditionalFormatting>
  <conditionalFormatting sqref="FO67:FO79">
    <cfRule type="colorScale" priority="59">
      <colorScale>
        <cfvo type="min"/>
        <cfvo type="max"/>
        <color rgb="00FFFFFF"/>
        <color rgb="0063BE7B"/>
      </colorScale>
    </cfRule>
  </conditionalFormatting>
  <conditionalFormatting sqref="FS67:FS79">
    <cfRule type="cellIs" priority="60" operator="greaterThan" dxfId="2">
      <formula>0</formula>
    </cfRule>
    <cfRule type="cellIs" priority="61" operator="lessThan" dxfId="3">
      <formula>0</formula>
    </cfRule>
  </conditionalFormatting>
  <conditionalFormatting sqref="FX67:FX79">
    <cfRule type="colorScale" priority="62">
      <colorScale>
        <cfvo type="min"/>
        <cfvo type="max"/>
        <color rgb="00FFFFFF"/>
        <color rgb="0063BE7B"/>
      </colorScale>
    </cfRule>
  </conditionalFormatting>
  <conditionalFormatting sqref="GB67:GB79">
    <cfRule type="cellIs" priority="63" operator="greaterThan" dxfId="2">
      <formula>0</formula>
    </cfRule>
    <cfRule type="cellIs" priority="64" operator="lessThan" dxfId="3">
      <formula>0</formula>
    </cfRule>
  </conditionalFormatting>
  <conditionalFormatting sqref="GG67:GG79">
    <cfRule type="colorScale" priority="65">
      <colorScale>
        <cfvo type="min"/>
        <cfvo type="max"/>
        <color rgb="00FFFFFF"/>
        <color rgb="0063BE7B"/>
      </colorScale>
    </cfRule>
  </conditionalFormatting>
  <conditionalFormatting sqref="GK67:GK79">
    <cfRule type="cellIs" priority="66" operator="greaterThan" dxfId="2">
      <formula>0</formula>
    </cfRule>
    <cfRule type="cellIs" priority="67" operator="lessThan" dxfId="3">
      <formula>0</formula>
    </cfRule>
  </conditionalFormatting>
  <conditionalFormatting sqref="GP67:GP79">
    <cfRule type="colorScale" priority="68">
      <colorScale>
        <cfvo type="min"/>
        <cfvo type="max"/>
        <color rgb="00FFFFFF"/>
        <color rgb="0063BE7B"/>
      </colorScale>
    </cfRule>
  </conditionalFormatting>
  <conditionalFormatting sqref="GT67:GT79">
    <cfRule type="cellIs" priority="69" operator="greaterThan" dxfId="2">
      <formula>0</formula>
    </cfRule>
    <cfRule type="cellIs" priority="70" operator="lessThan" dxfId="3">
      <formula>0</formula>
    </cfRule>
  </conditionalFormatting>
  <conditionalFormatting sqref="GY67:GY79">
    <cfRule type="colorScale" priority="71">
      <colorScale>
        <cfvo type="min"/>
        <cfvo type="max"/>
        <color rgb="00FFFFFF"/>
        <color rgb="0063BE7B"/>
      </colorScale>
    </cfRule>
  </conditionalFormatting>
  <conditionalFormatting sqref="HC67:HC79">
    <cfRule type="cellIs" priority="72" operator="greaterThan" dxfId="2">
      <formula>0</formula>
    </cfRule>
    <cfRule type="cellIs" priority="73" operator="lessThan" dxfId="3">
      <formula>0</formula>
    </cfRule>
  </conditionalFormatting>
  <conditionalFormatting sqref="HH67:HH79">
    <cfRule type="colorScale" priority="74">
      <colorScale>
        <cfvo type="min"/>
        <cfvo type="max"/>
        <color rgb="00FFFFFF"/>
        <color rgb="0063BE7B"/>
      </colorScale>
    </cfRule>
  </conditionalFormatting>
  <conditionalFormatting sqref="HL67:HL79">
    <cfRule type="cellIs" priority="75" operator="greaterThan" dxfId="2">
      <formula>0</formula>
    </cfRule>
    <cfRule type="cellIs" priority="76" operator="lessThan" dxfId="3">
      <formula>0</formula>
    </cfRule>
  </conditionalFormatting>
  <conditionalFormatting sqref="HQ67:HQ79">
    <cfRule type="colorScale" priority="77">
      <colorScale>
        <cfvo type="min"/>
        <cfvo type="max"/>
        <color rgb="00FFFFFF"/>
        <color rgb="0063BE7B"/>
      </colorScale>
    </cfRule>
  </conditionalFormatting>
  <conditionalFormatting sqref="HU67:HU79">
    <cfRule type="cellIs" priority="78" operator="greaterThan" dxfId="2">
      <formula>0</formula>
    </cfRule>
    <cfRule type="cellIs" priority="79" operator="lessThan" dxfId="3">
      <formula>0</formula>
    </cfRule>
  </conditionalFormatting>
  <conditionalFormatting sqref="HZ67:HZ79">
    <cfRule type="colorScale" priority="80">
      <colorScale>
        <cfvo type="min"/>
        <cfvo type="max"/>
        <color rgb="00FFFFFF"/>
        <color rgb="0063BE7B"/>
      </colorScale>
    </cfRule>
  </conditionalFormatting>
  <conditionalFormatting sqref="ID67:ID79">
    <cfRule type="cellIs" priority="81" operator="greaterThan" dxfId="2">
      <formula>0</formula>
    </cfRule>
    <cfRule type="cellIs" priority="82" operator="lessThan" dxfId="3">
      <formula>0</formula>
    </cfRule>
  </conditionalFormatting>
  <conditionalFormatting sqref="II67:II79">
    <cfRule type="colorScale" priority="83">
      <colorScale>
        <cfvo type="min"/>
        <cfvo type="max"/>
        <color rgb="00FFFFFF"/>
        <color rgb="0063BE7B"/>
      </colorScale>
    </cfRule>
  </conditionalFormatting>
  <conditionalFormatting sqref="IM67:IM79">
    <cfRule type="cellIs" priority="84" operator="greaterThan" dxfId="2">
      <formula>0</formula>
    </cfRule>
    <cfRule type="cellIs" priority="85" operator="lessThan" dxfId="3">
      <formula>0</formula>
    </cfRule>
  </conditionalFormatting>
  <conditionalFormatting sqref="IR67:IR79">
    <cfRule type="colorScale" priority="86">
      <colorScale>
        <cfvo type="min"/>
        <cfvo type="max"/>
        <color rgb="00FFFFFF"/>
        <color rgb="0063BE7B"/>
      </colorScale>
    </cfRule>
  </conditionalFormatting>
  <conditionalFormatting sqref="IV67:IV79">
    <cfRule type="cellIs" priority="87" operator="greaterThan" dxfId="2">
      <formula>0</formula>
    </cfRule>
    <cfRule type="cellIs" priority="88" operator="lessThan" dxfId="3">
      <formula>0</formula>
    </cfRule>
  </conditionalFormatting>
  <conditionalFormatting sqref="JA67:JA79">
    <cfRule type="colorScale" priority="89">
      <colorScale>
        <cfvo type="min"/>
        <cfvo type="max"/>
        <color rgb="00FFFFFF"/>
        <color rgb="0063BE7B"/>
      </colorScale>
    </cfRule>
  </conditionalFormatting>
  <conditionalFormatting sqref="JE67:JE79">
    <cfRule type="cellIs" priority="90" operator="greaterThan" dxfId="2">
      <formula>0</formula>
    </cfRule>
    <cfRule type="cellIs" priority="91" operator="lessThan" dxfId="3">
      <formula>0</formula>
    </cfRule>
  </conditionalFormatting>
  <conditionalFormatting sqref="JJ67:JJ79">
    <cfRule type="colorScale" priority="92">
      <colorScale>
        <cfvo type="min"/>
        <cfvo type="max"/>
        <color rgb="00FFFFFF"/>
        <color rgb="0063BE7B"/>
      </colorScale>
    </cfRule>
  </conditionalFormatting>
  <conditionalFormatting sqref="JN67:JN79">
    <cfRule type="cellIs" priority="93" operator="greaterThan" dxfId="2">
      <formula>0</formula>
    </cfRule>
    <cfRule type="cellIs" priority="94" operator="lessThan" dxfId="3">
      <formula>0</formula>
    </cfRule>
  </conditionalFormatting>
  <conditionalFormatting sqref="JS67:JS79">
    <cfRule type="colorScale" priority="95">
      <colorScale>
        <cfvo type="min"/>
        <cfvo type="max"/>
        <color rgb="00FFFFFF"/>
        <color rgb="0063BE7B"/>
      </colorScale>
    </cfRule>
  </conditionalFormatting>
  <conditionalFormatting sqref="JZ67:JZ79">
    <cfRule type="expression" priority="96" dxfId="0">
      <formula>ISNUMBER(SEARCH("Atingida",JZ67))</formula>
    </cfRule>
  </conditionalFormatting>
  <dataValidations count="4">
    <dataValidation sqref="B67:B79 K67:K79 T67:T79 AC67:AC79 AL67:AL79 AU67:AU79 BD67:BD79 BM67:BM79 BV67:BV79 CE67:CE79 CN67:CN79 CW67:CW79 DF67:DF79 DO67:DO79 DX67:DX79 EG67:EG79 EP67:EP79 EY67:EY79 FH67:FH79 FQ67:FQ79 FZ67:FZ79 GI67:GI79 GR67:GR79 HA67:HA79 HJ67:HJ79 HS67:HS79 IB67:IB79 IK67:IK79 IT67:IT79 JC67:JC79 JL67:JL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D67:D79 M67:M79 V67:V79 AE67:AE79 AN67:AN79 AW67:AW79 BF67:BF79 BO67:BO79 BX67:BX79 CG67:CG79 CP67:CP79 CY67:CY79 DH67:DH79 DQ67:DQ79 DZ67:DZ79 EI67:EI79 ER67:ER79 FA67:FA79 FJ67:FJ79 FS67:FS79 GB67:GB79 GK67:GK79 GT67:GT79 HC67:HC79 HL67:HL79 HU67:HU79 ID67:ID79 IM67:IM79 IV67:IV79 JE67:JE79 JN67:JN79" showDropDown="0" showInputMessage="0" showErrorMessage="1" allowBlank="1" errorTitle="Valor inválido" error="Informe um valor numérico (positivo ou negativo)." type="decimal" operator="between">
      <formula1>-999999999</formula1>
      <formula2>999999999</formula2>
    </dataValidation>
    <dataValidation sqref="E67:E79 F67:F79 G67:G79 H67:H79 N67:N79 O67:O79 P67:P79 Q67:Q79 W67:W79 X67:X79 Y67:Y79 Z67:Z79 AF67:AF79 AG67:AG79 AH67:AH79 AI67:AI79 AO67:AO79 AP67:AP79 AQ67:AQ79 AR67:AR79 AX67:AX79 AY67:AY79 AZ67:AZ79 BA67:BA79 BG67:BG79 BH67:BH79 BI67:BI79 BJ67:BJ79 BP67:BP79 BQ67:BQ79 BR67:BR79 BS67:BS79 BY67:BY79 BZ67:BZ79 CA67:CA79 CB67:CB79 CH67:CH79 CI67:CI79 CJ67:CJ79 CK67:CK79 CQ67:CQ79 CR67:CR79 CS67:CS79 CT67:CT79 CZ67:CZ79 DA67:DA79 DB67:DB79 DC67:DC79 DI67:DI79 DJ67:DJ79 DK67:DK79 DL67:DL79 DR67:DR79 DS67:DS79 DT67:DT79 DU67:DU79 EA67:EA79 EB67:EB79 EC67:EC79 ED67:ED79 EJ67:EJ79 EK67:EK79 EL67:EL79 EM67:EM79 ES67:ES79 ET67:ET79 EU67:EU79 EV67:EV79 FB67:FB79 FC67:FC79 FD67:FD79 FE67:FE79 FK67:FK79 FL67:FL79 FM67:FM79 FN67:FN79 FT67:FT79 FU67:FU79 FV67:FV79 FW67:FW79 GC67:GC79 GD67:GD79 GE67:GE79 GF67:GF79 GL67:GL79 GM67:GM79 GN67:GN79 GO67:GO79 GU67:GU79 GV67:GV79 GW67:GW79 GX67:GX79 HD67:HD79 HE67:HE79 HF67:HF79 HG67:HG79 HM67:HM79 HN67:HN79 HO67:HO79 HP67:HP79 HV67:HV79 HW67:HW79 HX67:HX79 HY67:HY79 IE67:IE79 IF67:IF79 IG67:IG79 IH67:IH79 IN67:IN79 IO67:IO79 IP67:IP79 IQ67:IQ79 IW67:IW79 IX67:IX79 IY67:IY79 IZ67:IZ79 JF67:JF79 JG67:JG79 JH67:JH79 JI67:JI79 JO67:JO79 JP67:JP79 JQ67:JQ79 JR67:JR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J67:J79 S67:S79 AB67:AB79 AK67:AK79 AT67:AT79 BC67:BC79 BL67:BL79 BU67:BU79 CD67:CD79 CM67:CM79 CV67:CV79 DE67:DE79 DN67:DN79 DW67:DW79 EF67:EF79 EO67:EO79 EX67:EX79 FG67:FG79 FP67:FP79 FY67:FY79 GH67:GH79 GQ67:GQ79 GZ67:GZ79 HI67:HI79 HR67:HR79 IA67:IA79 IJ67:IJ79 IS67:IS79 JB67:JB79 JK67:JK79 JT67:JT79" showDropDown="0" showInputMessage="0" showErrorMessage="1" allowBlank="1" errorTitle="Texto muito longo" error="Limite de 300 caracteres." type="textLength" operator="lessThanOrEqual">
      <formula1>300</formula1>
    </dataValidation>
  </dataValidations>
  <pageMargins left="0.75" right="0.75" top="1" bottom="1" header="0.5" footer="0.5"/>
  <pageSetup orientation="landscape" fitToHeight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I79"/>
  <sheetViews>
    <sheetView showGridLines="0" zoomScale="90" workbookViewId="0">
      <pane xSplit="1" ySplit="66" topLeftCell="B6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11" customWidth="1" min="5" max="5"/>
    <col width="12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4" customWidth="1" min="13" max="13"/>
    <col width="11" customWidth="1" min="14" max="14"/>
    <col width="12" customWidth="1" min="15" max="15"/>
    <col width="13" customWidth="1" min="16" max="16"/>
    <col width="13" customWidth="1" min="17" max="17"/>
    <col width="13" customWidth="1" min="18" max="18"/>
    <col width="20" customWidth="1" min="19" max="19"/>
    <col width="13" customWidth="1" min="20" max="20"/>
    <col width="13" customWidth="1" min="21" max="21"/>
    <col width="14" customWidth="1" min="22" max="22"/>
    <col width="11" customWidth="1" min="23" max="23"/>
    <col width="12" customWidth="1" min="24" max="24"/>
    <col width="13" customWidth="1" min="25" max="25"/>
    <col width="13" customWidth="1" min="26" max="26"/>
    <col width="13" customWidth="1" min="27" max="27"/>
    <col width="20" customWidth="1" min="28" max="28"/>
    <col width="13" customWidth="1" min="29" max="29"/>
    <col width="13" customWidth="1" min="30" max="30"/>
    <col width="14" customWidth="1" min="31" max="31"/>
    <col width="11" customWidth="1" min="32" max="32"/>
    <col width="12" customWidth="1" min="33" max="33"/>
    <col width="13" customWidth="1" min="34" max="34"/>
    <col width="13" customWidth="1" min="35" max="35"/>
    <col width="13" customWidth="1" min="36" max="36"/>
    <col width="20" customWidth="1" min="37" max="37"/>
    <col width="13" customWidth="1" min="38" max="38"/>
    <col width="13" customWidth="1" min="39" max="39"/>
    <col width="14" customWidth="1" min="40" max="40"/>
    <col width="11" customWidth="1" min="41" max="41"/>
    <col width="12" customWidth="1" min="42" max="42"/>
    <col width="13" customWidth="1" min="43" max="43"/>
    <col width="13" customWidth="1" min="44" max="44"/>
    <col width="13" customWidth="1" min="45" max="45"/>
    <col width="20" customWidth="1" min="46" max="46"/>
    <col width="13" customWidth="1" min="47" max="47"/>
    <col width="13" customWidth="1" min="48" max="48"/>
    <col width="14" customWidth="1" min="49" max="49"/>
    <col width="11" customWidth="1" min="50" max="50"/>
    <col width="12" customWidth="1" min="51" max="51"/>
    <col width="13" customWidth="1" min="52" max="52"/>
    <col width="13" customWidth="1" min="53" max="53"/>
    <col width="13" customWidth="1" min="54" max="54"/>
    <col width="20" customWidth="1" min="55" max="55"/>
    <col width="13" customWidth="1" min="56" max="56"/>
    <col width="13" customWidth="1" min="57" max="57"/>
    <col width="14" customWidth="1" min="58" max="58"/>
    <col width="11" customWidth="1" min="59" max="59"/>
    <col width="12" customWidth="1" min="60" max="60"/>
    <col width="13" customWidth="1" min="61" max="61"/>
    <col width="13" customWidth="1" min="62" max="62"/>
    <col width="13" customWidth="1" min="63" max="63"/>
    <col width="20" customWidth="1" min="64" max="64"/>
    <col width="13" customWidth="1" min="65" max="65"/>
    <col width="13" customWidth="1" min="66" max="66"/>
    <col width="14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20" customWidth="1" min="73" max="73"/>
    <col width="13" customWidth="1" min="74" max="74"/>
    <col width="13" customWidth="1" min="75" max="75"/>
    <col width="14" customWidth="1" min="76" max="76"/>
    <col width="11" customWidth="1" min="77" max="77"/>
    <col width="12" customWidth="1" min="78" max="78"/>
    <col width="13" customWidth="1" min="79" max="79"/>
    <col width="13" customWidth="1" min="80" max="80"/>
    <col width="13" customWidth="1" min="81" max="81"/>
    <col width="20" customWidth="1" min="82" max="82"/>
    <col width="13" customWidth="1" min="83" max="83"/>
    <col width="13" customWidth="1" min="84" max="84"/>
    <col width="14" customWidth="1" min="85" max="85"/>
    <col width="11" customWidth="1" min="86" max="86"/>
    <col width="12" customWidth="1" min="87" max="87"/>
    <col width="13" customWidth="1" min="88" max="88"/>
    <col width="13" customWidth="1" min="89" max="89"/>
    <col width="13" customWidth="1" min="90" max="90"/>
    <col width="20" customWidth="1" min="91" max="91"/>
    <col width="13" customWidth="1" min="92" max="92"/>
    <col width="13" customWidth="1" min="93" max="93"/>
    <col width="14" customWidth="1" min="94" max="94"/>
    <col width="11" customWidth="1" min="95" max="95"/>
    <col width="12" customWidth="1" min="96" max="96"/>
    <col width="13" customWidth="1" min="97" max="97"/>
    <col width="13" customWidth="1" min="98" max="98"/>
    <col width="13" customWidth="1" min="99" max="99"/>
    <col width="20" customWidth="1" min="100" max="100"/>
    <col width="13" customWidth="1" min="101" max="101"/>
    <col width="13" customWidth="1" min="102" max="102"/>
    <col width="14" customWidth="1" min="103" max="103"/>
    <col width="11" customWidth="1" min="104" max="104"/>
    <col width="12" customWidth="1" min="105" max="105"/>
    <col width="13" customWidth="1" min="106" max="106"/>
    <col width="13" customWidth="1" min="107" max="107"/>
    <col width="13" customWidth="1" min="108" max="108"/>
    <col width="20" customWidth="1" min="109" max="109"/>
    <col width="13" customWidth="1" min="110" max="110"/>
    <col width="13" customWidth="1" min="111" max="111"/>
    <col width="14" customWidth="1" min="112" max="112"/>
    <col width="11" customWidth="1" min="113" max="113"/>
    <col width="12" customWidth="1" min="114" max="114"/>
    <col width="13" customWidth="1" min="115" max="115"/>
    <col width="13" customWidth="1" min="116" max="116"/>
    <col width="13" customWidth="1" min="117" max="117"/>
    <col width="20" customWidth="1" min="118" max="118"/>
    <col width="13" customWidth="1" min="119" max="119"/>
    <col width="13" customWidth="1" min="120" max="120"/>
    <col width="14" customWidth="1" min="121" max="121"/>
    <col width="11" customWidth="1" min="122" max="122"/>
    <col width="12" customWidth="1" min="123" max="123"/>
    <col width="13" customWidth="1" min="124" max="124"/>
    <col width="13" customWidth="1" min="125" max="125"/>
    <col width="13" customWidth="1" min="126" max="126"/>
    <col width="20" customWidth="1" min="127" max="127"/>
    <col width="13" customWidth="1" min="128" max="128"/>
    <col width="13" customWidth="1" min="129" max="129"/>
    <col width="14" customWidth="1" min="130" max="130"/>
    <col width="11" customWidth="1" min="131" max="131"/>
    <col width="12" customWidth="1" min="132" max="132"/>
    <col width="13" customWidth="1" min="133" max="133"/>
    <col width="13" customWidth="1" min="134" max="134"/>
    <col width="13" customWidth="1" min="135" max="135"/>
    <col width="20" customWidth="1" min="136" max="136"/>
    <col width="13" customWidth="1" min="137" max="137"/>
    <col width="13" customWidth="1" min="138" max="138"/>
    <col width="14" customWidth="1" min="139" max="139"/>
    <col width="11" customWidth="1" min="140" max="140"/>
    <col width="12" customWidth="1" min="141" max="141"/>
    <col width="13" customWidth="1" min="142" max="142"/>
    <col width="13" customWidth="1" min="143" max="143"/>
    <col width="13" customWidth="1" min="144" max="144"/>
    <col width="20" customWidth="1" min="145" max="145"/>
    <col width="13" customWidth="1" min="146" max="146"/>
    <col width="13" customWidth="1" min="147" max="147"/>
    <col width="14" customWidth="1" min="148" max="148"/>
    <col width="11" customWidth="1" min="149" max="149"/>
    <col width="12" customWidth="1" min="150" max="150"/>
    <col width="13" customWidth="1" min="151" max="151"/>
    <col width="13" customWidth="1" min="152" max="152"/>
    <col width="13" customWidth="1" min="153" max="153"/>
    <col width="20" customWidth="1" min="154" max="154"/>
    <col width="13" customWidth="1" min="155" max="155"/>
    <col width="13" customWidth="1" min="156" max="156"/>
    <col width="14" customWidth="1" min="157" max="157"/>
    <col width="11" customWidth="1" min="158" max="158"/>
    <col width="12" customWidth="1" min="159" max="159"/>
    <col width="13" customWidth="1" min="160" max="160"/>
    <col width="13" customWidth="1" min="161" max="161"/>
    <col width="13" customWidth="1" min="162" max="162"/>
    <col width="20" customWidth="1" min="163" max="163"/>
    <col width="13" customWidth="1" min="164" max="164"/>
    <col width="13" customWidth="1" min="165" max="165"/>
    <col width="14" customWidth="1" min="166" max="166"/>
    <col width="11" customWidth="1" min="167" max="167"/>
    <col width="12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13" customWidth="1" min="173" max="173"/>
    <col width="13" customWidth="1" min="174" max="174"/>
    <col width="14" customWidth="1" min="175" max="175"/>
    <col width="11" customWidth="1" min="176" max="176"/>
    <col width="12" customWidth="1" min="177" max="177"/>
    <col width="13" customWidth="1" min="178" max="178"/>
    <col width="13" customWidth="1" min="179" max="179"/>
    <col width="13" customWidth="1" min="180" max="180"/>
    <col width="20" customWidth="1" min="181" max="181"/>
    <col width="13" customWidth="1" min="182" max="182"/>
    <col width="13" customWidth="1" min="183" max="183"/>
    <col width="14" customWidth="1" min="184" max="184"/>
    <col width="11" customWidth="1" min="185" max="185"/>
    <col width="12" customWidth="1" min="186" max="186"/>
    <col width="13" customWidth="1" min="187" max="187"/>
    <col width="13" customWidth="1" min="188" max="188"/>
    <col width="13" customWidth="1" min="189" max="189"/>
    <col width="20" customWidth="1" min="190" max="190"/>
    <col width="13" customWidth="1" min="191" max="191"/>
    <col width="13" customWidth="1" min="192" max="192"/>
    <col width="14" customWidth="1" min="193" max="193"/>
    <col width="11" customWidth="1" min="194" max="194"/>
    <col width="12" customWidth="1" min="195" max="195"/>
    <col width="13" customWidth="1" min="196" max="196"/>
    <col width="13" customWidth="1" min="197" max="197"/>
    <col width="13" customWidth="1" min="198" max="198"/>
    <col width="20" customWidth="1" min="199" max="199"/>
    <col width="13" customWidth="1" min="200" max="200"/>
    <col width="13" customWidth="1" min="201" max="201"/>
    <col width="14" customWidth="1" min="202" max="202"/>
    <col width="11" customWidth="1" min="203" max="203"/>
    <col width="12" customWidth="1" min="204" max="204"/>
    <col width="13" customWidth="1" min="205" max="205"/>
    <col width="13" customWidth="1" min="206" max="206"/>
    <col width="13" customWidth="1" min="207" max="207"/>
    <col width="20" customWidth="1" min="208" max="208"/>
    <col width="13" customWidth="1" min="209" max="209"/>
    <col width="13" customWidth="1" min="210" max="210"/>
    <col width="14" customWidth="1" min="211" max="211"/>
    <col width="11" customWidth="1" min="212" max="212"/>
    <col width="12" customWidth="1" min="213" max="213"/>
    <col width="13" customWidth="1" min="214" max="214"/>
    <col width="13" customWidth="1" min="215" max="215"/>
    <col width="13" customWidth="1" min="216" max="216"/>
    <col width="20" customWidth="1" min="217" max="217"/>
    <col width="13" customWidth="1" min="218" max="218"/>
    <col width="13" customWidth="1" min="219" max="219"/>
    <col width="14" customWidth="1" min="220" max="220"/>
    <col width="11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20" customWidth="1" min="226" max="226"/>
    <col width="13" customWidth="1" min="227" max="227"/>
    <col width="13" customWidth="1" min="228" max="228"/>
    <col width="14" customWidth="1" min="229" max="229"/>
    <col width="11" customWidth="1" min="230" max="230"/>
    <col width="12" customWidth="1" min="231" max="231"/>
    <col width="13" customWidth="1" min="232" max="232"/>
    <col width="13" customWidth="1" min="233" max="233"/>
    <col width="13" customWidth="1" min="234" max="234"/>
    <col width="20" customWidth="1" min="235" max="235"/>
    <col width="13" customWidth="1" min="236" max="236"/>
    <col width="13" customWidth="1" min="237" max="237"/>
    <col width="14" customWidth="1" min="238" max="238"/>
    <col width="11" customWidth="1" min="239" max="239"/>
    <col width="12" customWidth="1" min="240" max="240"/>
    <col width="13" customWidth="1" min="241" max="241"/>
    <col width="13" customWidth="1" min="242" max="242"/>
    <col width="13" customWidth="1" min="243" max="243"/>
    <col width="20" customWidth="1" min="244" max="244"/>
    <col width="13" customWidth="1" min="245" max="245"/>
    <col width="13" customWidth="1" min="246" max="246"/>
    <col width="14" customWidth="1" min="247" max="247"/>
    <col width="11" customWidth="1" min="248" max="248"/>
    <col width="12" customWidth="1" min="249" max="249"/>
    <col width="13" customWidth="1" min="250" max="250"/>
    <col width="13" customWidth="1" min="251" max="251"/>
    <col width="13" customWidth="1" min="252" max="252"/>
    <col width="20" customWidth="1" min="253" max="253"/>
    <col width="13" customWidth="1" min="254" max="254"/>
    <col width="13" customWidth="1" min="255" max="255"/>
    <col width="14" customWidth="1" min="256" max="256"/>
    <col width="11" customWidth="1" min="257" max="257"/>
    <col width="12" customWidth="1" min="258" max="258"/>
    <col width="13" customWidth="1" min="259" max="259"/>
    <col width="13" customWidth="1" min="260" max="260"/>
    <col width="13" customWidth="1" min="261" max="261"/>
    <col width="20" customWidth="1" min="262" max="262"/>
    <col width="13" customWidth="1" min="263" max="263"/>
    <col width="13" customWidth="1" min="264" max="264"/>
    <col width="14" customWidth="1" min="265" max="265"/>
    <col width="11" customWidth="1" min="266" max="266"/>
    <col width="12" customWidth="1" min="267" max="267"/>
    <col width="13" customWidth="1" min="268" max="268"/>
    <col width="13" customWidth="1" min="269" max="269"/>
    <col width="13" customWidth="1" min="270" max="270"/>
    <col width="20" customWidth="1" min="271" max="271"/>
    <col width="13" customWidth="1" min="272" max="272"/>
    <col width="13" customWidth="1" min="273" max="273"/>
    <col width="14" customWidth="1" min="274" max="274"/>
    <col width="11" customWidth="1" min="275" max="275"/>
    <col width="12" customWidth="1" min="276" max="276"/>
    <col width="13" customWidth="1" min="277" max="277"/>
    <col width="13" customWidth="1" min="278" max="278"/>
    <col width="13" customWidth="1" min="279" max="279"/>
    <col width="20" customWidth="1" min="280" max="280"/>
    <col width="16" customWidth="1" min="281" max="281"/>
    <col width="16" customWidth="1" min="282" max="282"/>
    <col width="16" customWidth="1" min="283" max="283"/>
    <col width="14" customWidth="1" min="284" max="284"/>
    <col width="14" customWidth="1" min="285" max="285"/>
    <col width="14" customWidth="1" min="286" max="286"/>
    <col hidden="1" width="10" customWidth="1" min="287" max="287"/>
    <col hidden="1" width="16" customWidth="1" min="289" max="289"/>
    <col hidden="1" width="16" customWidth="1" min="290" max="290"/>
    <col hidden="1" width="16" customWidth="1" min="291" max="291"/>
    <col hidden="1" width="16" customWidth="1" min="292" max="292"/>
    <col hidden="1" width="16" customWidth="1" min="294" max="294"/>
    <col hidden="1" width="16" customWidth="1" min="295" max="295"/>
  </cols>
  <sheetData>
    <row r="1" ht="32" customHeight="1">
      <c r="A1" s="11">
        <f>"ACOMPANHAMENTO DIÁRIO DE ASSESSORES — JUNHO / "&amp;Configurações!$B$3</f>
        <v/>
      </c>
      <c r="KC1" t="inlineStr">
        <is>
          <t>Dia</t>
        </is>
      </c>
      <c r="KD1" t="inlineStr">
        <is>
          <t>Data</t>
        </is>
      </c>
      <c r="KE1" t="inlineStr">
        <is>
          <t>Produção do Dia</t>
        </is>
      </c>
      <c r="KF1" t="inlineStr">
        <is>
          <t>Captação do Dia</t>
        </is>
      </c>
    </row>
    <row r="2" ht="18" customHeight="1">
      <c r="A2" s="12">
        <f>"Dias no mês: "&amp;$Z$3&amp;"   |   Cada assessor ocupa 1 linha. Role para a direita para ver os dias. Apenas as células destacadas em amarelo são editáveis."</f>
        <v/>
      </c>
      <c r="KC2" s="13" t="n">
        <v>1</v>
      </c>
      <c r="KD2" s="14">
        <f>IF(1&lt;=$Z$3,DATE(Configurações!$B$3,6,1),"")</f>
        <v/>
      </c>
      <c r="KE2" s="13">
        <f>SUM($I$67:$I$79)</f>
        <v/>
      </c>
      <c r="KF2" s="13">
        <f>SUM($D$67:$D$79)</f>
        <v/>
      </c>
      <c r="KH2" t="inlineStr">
        <is>
          <t>COE</t>
        </is>
      </c>
      <c r="KI2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</row>
    <row r="3">
      <c r="Y3" s="15" t="inlineStr">
        <is>
          <t>Dias no mês</t>
        </is>
      </c>
      <c r="Z3" s="16">
        <f>DAY(EOMONTH(DATE(Configurações!$B$3,6,1),0))</f>
        <v/>
      </c>
      <c r="KC3" s="13" t="n">
        <v>2</v>
      </c>
      <c r="KD3" s="14">
        <f>IF(2&lt;=$Z$3,DATE(Configurações!$B$3,6,2),"")</f>
        <v/>
      </c>
      <c r="KE3" s="13">
        <f>SUM($R$67:$R$79)</f>
        <v/>
      </c>
      <c r="KF3" s="13">
        <f>SUM($M$67:$M$79)</f>
        <v/>
      </c>
      <c r="KH3" t="inlineStr">
        <is>
          <t>PREVIDÊNCIA</t>
        </is>
      </c>
      <c r="KI3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</row>
    <row r="4" ht="22" customHeight="1">
      <c r="A4" s="17" t="inlineStr">
        <is>
          <t>📊  INDICADORES DO MÊS</t>
        </is>
      </c>
      <c r="KC4" s="13" t="n">
        <v>3</v>
      </c>
      <c r="KD4" s="14">
        <f>IF(3&lt;=$Z$3,DATE(Configurações!$B$3,6,3),"")</f>
        <v/>
      </c>
      <c r="KE4" s="13">
        <f>SUM($AA$67:$AA$79)</f>
        <v/>
      </c>
      <c r="KF4" s="13">
        <f>SUM($V$67:$V$79)</f>
        <v/>
      </c>
      <c r="KH4" t="inlineStr">
        <is>
          <t>CRÉDITO PRIVADO</t>
        </is>
      </c>
      <c r="KI4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</row>
    <row r="5" ht="26" customHeight="1">
      <c r="A5" s="18" t="inlineStr">
        <is>
          <t>PRODUÇÃO TOTAL DO MÊS</t>
        </is>
      </c>
      <c r="C5" s="18" t="inlineStr">
        <is>
          <t>CAPTAÇÃO LÍQUIDA DO MÊS</t>
        </is>
      </c>
      <c r="E5" s="18" t="inlineStr">
        <is>
          <t>SALDO PULSO TOTAL (ATUAL)</t>
        </is>
      </c>
      <c r="G5" s="18" t="inlineStr">
        <is>
          <t>MÉDIA DIÁRIA DA EQUIPE</t>
        </is>
      </c>
      <c r="I5" s="18" t="inlineStr">
        <is>
          <t>MELHOR DIA DE PRODUÇÃO</t>
        </is>
      </c>
      <c r="K5" s="18" t="inlineStr">
        <is>
          <t>MELHOR ASSESSOR DO MÊS</t>
        </is>
      </c>
      <c r="KC5" s="13" t="n">
        <v>4</v>
      </c>
      <c r="KD5" s="14">
        <f>IF(4&lt;=$Z$3,DATE(Configurações!$B$3,6,4),"")</f>
        <v/>
      </c>
      <c r="KE5" s="13">
        <f>SUM($AJ$67:$AJ$79)</f>
        <v/>
      </c>
      <c r="KF5" s="13">
        <f>SUM($AE$67:$AE$79)</f>
        <v/>
      </c>
      <c r="KH5" t="inlineStr">
        <is>
          <t>TÍTULOS PÚBLICOS</t>
        </is>
      </c>
      <c r="KI5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</row>
    <row r="6" ht="30" customHeight="1">
      <c r="A6" s="19">
        <f>SUM($JU$67:$JU$79)</f>
        <v/>
      </c>
      <c r="C6" s="19">
        <f>SUM($JV$67:$JV$79)</f>
        <v/>
      </c>
      <c r="E6" s="19">
        <f>SUM($JW$67:$JW$79)</f>
        <v/>
      </c>
      <c r="G6" s="19">
        <f>IFERROR(SUM($JU$67:$JU$79)/$Z$3,0)</f>
        <v/>
      </c>
      <c r="I6" s="20">
        <f>IFERROR("Dia "&amp;TEXT(INDEX($KD$2:$KD$32,MATCH(MAX($KE$2:$KE$32),$KE$2:$KE$32,0)),"dd/mm")&amp;"  -  "&amp;TEXT(MAX($KE$2:$KE$32),"R$ #,##0"),"—")</f>
        <v/>
      </c>
      <c r="K6" s="20">
        <f>IFERROR($B$14&amp;"  -  "&amp;TEXT($C$14,"R$ #,##0"),"—")</f>
        <v/>
      </c>
      <c r="KC6" s="13" t="n">
        <v>5</v>
      </c>
      <c r="KD6" s="14">
        <f>IF(5&lt;=$Z$3,DATE(Configurações!$B$3,6,5),"")</f>
        <v/>
      </c>
      <c r="KE6" s="13">
        <f>SUM($AS$67:$AS$79)</f>
        <v/>
      </c>
      <c r="KF6" s="13">
        <f>SUM($AN$67:$AN$79)</f>
        <v/>
      </c>
    </row>
    <row r="7">
      <c r="KC7" s="13" t="n">
        <v>6</v>
      </c>
      <c r="KD7" s="14">
        <f>IF(6&lt;=$Z$3,DATE(Configurações!$B$3,6,6),"")</f>
        <v/>
      </c>
      <c r="KE7" s="13">
        <f>SUM($BB$67:$BB$79)</f>
        <v/>
      </c>
      <c r="KF7" s="13">
        <f>SUM($AW$67:$AW$79)</f>
        <v/>
      </c>
    </row>
    <row r="8" ht="22" customHeight="1">
      <c r="A8" s="17" t="inlineStr">
        <is>
          <t>💰  TOTAIS POR PRODUTO</t>
        </is>
      </c>
      <c r="KC8" s="13" t="n">
        <v>7</v>
      </c>
      <c r="KD8" s="14">
        <f>IF(7&lt;=$Z$3,DATE(Configurações!$B$3,6,7),"")</f>
        <v/>
      </c>
      <c r="KE8" s="13">
        <f>SUM($BK$67:$BK$79)</f>
        <v/>
      </c>
      <c r="KF8" s="13">
        <f>SUM($BF$67:$BF$79)</f>
        <v/>
      </c>
    </row>
    <row r="9" ht="20" customHeight="1">
      <c r="A9" s="18" t="inlineStr">
        <is>
          <t>COE</t>
        </is>
      </c>
      <c r="D9" s="18" t="inlineStr">
        <is>
          <t>PREVIDÊNCIA</t>
        </is>
      </c>
      <c r="G9" s="18" t="inlineStr">
        <is>
          <t>CRÉDITO PRIVADO</t>
        </is>
      </c>
      <c r="J9" s="18" t="inlineStr">
        <is>
          <t>TÍTULOS PÚBLICOS</t>
        </is>
      </c>
      <c r="KC9" s="13" t="n">
        <v>8</v>
      </c>
      <c r="KD9" s="14">
        <f>IF(8&lt;=$Z$3,DATE(Configurações!$B$3,6,8),"")</f>
        <v/>
      </c>
      <c r="KE9" s="13">
        <f>SUM($BT$67:$BT$79)</f>
        <v/>
      </c>
      <c r="KF9" s="13">
        <f>SUM($BO$67:$BO$79)</f>
        <v/>
      </c>
    </row>
    <row r="10" ht="26" customHeight="1">
      <c r="A10" s="19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  <c r="D10" s="19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  <c r="G10" s="19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  <c r="J10" s="19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  <c r="KC10" s="13" t="n">
        <v>9</v>
      </c>
      <c r="KD10" s="14">
        <f>IF(9&lt;=$Z$3,DATE(Configurações!$B$3,6,9),"")</f>
        <v/>
      </c>
      <c r="KE10" s="13">
        <f>SUM($CC$67:$CC$79)</f>
        <v/>
      </c>
      <c r="KF10" s="13">
        <f>SUM($BX$67:$BX$79)</f>
        <v/>
      </c>
    </row>
    <row r="11">
      <c r="KC11" s="13" t="n">
        <v>10</v>
      </c>
      <c r="KD11" s="14">
        <f>IF(10&lt;=$Z$3,DATE(Configurações!$B$3,6,10),"")</f>
        <v/>
      </c>
      <c r="KE11" s="13">
        <f>SUM($CL$67:$CL$79)</f>
        <v/>
      </c>
      <c r="KF11" s="13">
        <f>SUM($CG$67:$CG$79)</f>
        <v/>
      </c>
    </row>
    <row r="12" ht="22" customHeight="1">
      <c r="A12" s="17" t="inlineStr">
        <is>
          <t>🏆  RANKING DE ASSESSORES (TOP 5 EM DESTAQUE)</t>
        </is>
      </c>
      <c r="KC12" s="13" t="n">
        <v>11</v>
      </c>
      <c r="KD12" s="14">
        <f>IF(11&lt;=$Z$3,DATE(Configurações!$B$3,6,11),"")</f>
        <v/>
      </c>
      <c r="KE12" s="13">
        <f>SUM($CU$67:$CU$79)</f>
        <v/>
      </c>
      <c r="KF12" s="13">
        <f>SUM($CP$67:$CP$79)</f>
        <v/>
      </c>
    </row>
    <row r="13" ht="22" customHeight="1">
      <c r="A13" s="5" t="inlineStr">
        <is>
          <t>Pos.</t>
        </is>
      </c>
      <c r="B13" s="5" t="inlineStr">
        <is>
          <t>Assessor</t>
        </is>
      </c>
      <c r="C13" s="5" t="inlineStr">
        <is>
          <t>Produção Total</t>
        </is>
      </c>
      <c r="D13" s="5" t="inlineStr">
        <is>
          <t>Captação Líquida</t>
        </is>
      </c>
      <c r="E13" s="5" t="inlineStr">
        <is>
          <t>Saldo Pulso Atual</t>
        </is>
      </c>
      <c r="F13" s="5" t="inlineStr">
        <is>
          <t>Média Diária</t>
        </is>
      </c>
      <c r="G13" s="5" t="inlineStr">
        <is>
          <t>Meta Mensal</t>
        </is>
      </c>
      <c r="H13" s="5" t="inlineStr">
        <is>
          <t>Status</t>
        </is>
      </c>
      <c r="KC13" s="13" t="n">
        <v>12</v>
      </c>
      <c r="KD13" s="14">
        <f>IF(12&lt;=$Z$3,DATE(Configurações!$B$3,6,12),"")</f>
        <v/>
      </c>
      <c r="KE13" s="13">
        <f>SUM($DD$67:$DD$79)</f>
        <v/>
      </c>
      <c r="KF13" s="13">
        <f>SUM($CY$67:$CY$79)</f>
        <v/>
      </c>
    </row>
    <row r="14" ht="18" customHeight="1">
      <c r="A14" s="21" t="n">
        <v>1</v>
      </c>
      <c r="B14" s="22">
        <f>INDEX($A$67:$A$79,MATCH(LARGE($KA$67:$KA$79,1),$KA$67:$KA$79,0))</f>
        <v/>
      </c>
      <c r="C14" s="23">
        <f>INDEX($JU$67:$JU$79,MATCH(LARGE($KA$67:$KA$79,1),$KA$67:$KA$79,0))</f>
        <v/>
      </c>
      <c r="D14" s="24">
        <f>INDEX($JV$67:$JV$79,MATCH(LARGE($KA$67:$KA$79,1),$KA$67:$KA$79,0))</f>
        <v/>
      </c>
      <c r="E14" s="23">
        <f>INDEX($JW$67:$JW$79,MATCH(LARGE($KA$67:$KA$79,1),$KA$67:$KA$79,0))</f>
        <v/>
      </c>
      <c r="F14" s="23">
        <f>INDEX($JX$67:$JX$79,MATCH(LARGE($KA$67:$KA$79,1),$KA$67:$KA$79,0))</f>
        <v/>
      </c>
      <c r="G14" s="23">
        <f>INDEX($JY$67:$JY$79,MATCH(LARGE($KA$67:$KA$79,1),$KA$67:$KA$79,0))</f>
        <v/>
      </c>
      <c r="H14" s="25">
        <f>IF(G14=0,"— Sem meta",IF(C14&gt;=G14,"✓ Meta atingida","Em andamento"))</f>
        <v/>
      </c>
      <c r="KC14" s="13" t="n">
        <v>13</v>
      </c>
      <c r="KD14" s="14">
        <f>IF(13&lt;=$Z$3,DATE(Configurações!$B$3,6,13),"")</f>
        <v/>
      </c>
      <c r="KE14" s="13">
        <f>SUM($DM$67:$DM$79)</f>
        <v/>
      </c>
      <c r="KF14" s="13">
        <f>SUM($DH$67:$DH$79)</f>
        <v/>
      </c>
    </row>
    <row r="15" ht="18" customHeight="1">
      <c r="A15" s="26" t="n">
        <v>2</v>
      </c>
      <c r="B15" s="27">
        <f>INDEX($A$67:$A$79,MATCH(LARGE($KA$67:$KA$79,2),$KA$67:$KA$79,0))</f>
        <v/>
      </c>
      <c r="C15" s="28">
        <f>INDEX($JU$67:$JU$79,MATCH(LARGE($KA$67:$KA$79,2),$KA$67:$KA$79,0))</f>
        <v/>
      </c>
      <c r="D15" s="29">
        <f>INDEX($JV$67:$JV$79,MATCH(LARGE($KA$67:$KA$79,2),$KA$67:$KA$79,0))</f>
        <v/>
      </c>
      <c r="E15" s="28">
        <f>INDEX($JW$67:$JW$79,MATCH(LARGE($KA$67:$KA$79,2),$KA$67:$KA$79,0))</f>
        <v/>
      </c>
      <c r="F15" s="28">
        <f>INDEX($JX$67:$JX$79,MATCH(LARGE($KA$67:$KA$79,2),$KA$67:$KA$79,0))</f>
        <v/>
      </c>
      <c r="G15" s="28">
        <f>INDEX($JY$67:$JY$79,MATCH(LARGE($KA$67:$KA$79,2),$KA$67:$KA$79,0))</f>
        <v/>
      </c>
      <c r="H15" s="30">
        <f>IF(G15=0,"— Sem meta",IF(C15&gt;=G15,"✓ Meta atingida","Em andamento"))</f>
        <v/>
      </c>
      <c r="KC15" s="13" t="n">
        <v>14</v>
      </c>
      <c r="KD15" s="14">
        <f>IF(14&lt;=$Z$3,DATE(Configurações!$B$3,6,14),"")</f>
        <v/>
      </c>
      <c r="KE15" s="13">
        <f>SUM($DV$67:$DV$79)</f>
        <v/>
      </c>
      <c r="KF15" s="13">
        <f>SUM($DQ$67:$DQ$79)</f>
        <v/>
      </c>
    </row>
    <row r="16" ht="18" customHeight="1">
      <c r="A16" s="31" t="n">
        <v>3</v>
      </c>
      <c r="B16" s="32">
        <f>INDEX($A$67:$A$79,MATCH(LARGE($KA$67:$KA$79,3),$KA$67:$KA$79,0))</f>
        <v/>
      </c>
      <c r="C16" s="33">
        <f>INDEX($JU$67:$JU$79,MATCH(LARGE($KA$67:$KA$79,3),$KA$67:$KA$79,0))</f>
        <v/>
      </c>
      <c r="D16" s="34">
        <f>INDEX($JV$67:$JV$79,MATCH(LARGE($KA$67:$KA$79,3),$KA$67:$KA$79,0))</f>
        <v/>
      </c>
      <c r="E16" s="33">
        <f>INDEX($JW$67:$JW$79,MATCH(LARGE($KA$67:$KA$79,3),$KA$67:$KA$79,0))</f>
        <v/>
      </c>
      <c r="F16" s="33">
        <f>INDEX($JX$67:$JX$79,MATCH(LARGE($KA$67:$KA$79,3),$KA$67:$KA$79,0))</f>
        <v/>
      </c>
      <c r="G16" s="33">
        <f>INDEX($JY$67:$JY$79,MATCH(LARGE($KA$67:$KA$79,3),$KA$67:$KA$79,0))</f>
        <v/>
      </c>
      <c r="H16" s="35">
        <f>IF(G16=0,"— Sem meta",IF(C16&gt;=G16,"✓ Meta atingida","Em andamento"))</f>
        <v/>
      </c>
      <c r="KC16" s="13" t="n">
        <v>15</v>
      </c>
      <c r="KD16" s="14">
        <f>IF(15&lt;=$Z$3,DATE(Configurações!$B$3,6,15),"")</f>
        <v/>
      </c>
      <c r="KE16" s="13">
        <f>SUM($EE$67:$EE$79)</f>
        <v/>
      </c>
      <c r="KF16" s="13">
        <f>SUM($DZ$67:$DZ$79)</f>
        <v/>
      </c>
    </row>
    <row r="17" ht="18" customHeight="1">
      <c r="A17" s="36" t="n">
        <v>4</v>
      </c>
      <c r="B17" s="37">
        <f>INDEX($A$67:$A$79,MATCH(LARGE($KA$67:$KA$79,4),$KA$67:$KA$79,0))</f>
        <v/>
      </c>
      <c r="C17" s="38">
        <f>INDEX($JU$67:$JU$79,MATCH(LARGE($KA$67:$KA$79,4),$KA$67:$KA$79,0))</f>
        <v/>
      </c>
      <c r="D17" s="39">
        <f>INDEX($JV$67:$JV$79,MATCH(LARGE($KA$67:$KA$79,4),$KA$67:$KA$79,0))</f>
        <v/>
      </c>
      <c r="E17" s="38">
        <f>INDEX($JW$67:$JW$79,MATCH(LARGE($KA$67:$KA$79,4),$KA$67:$KA$79,0))</f>
        <v/>
      </c>
      <c r="F17" s="38">
        <f>INDEX($JX$67:$JX$79,MATCH(LARGE($KA$67:$KA$79,4),$KA$67:$KA$79,0))</f>
        <v/>
      </c>
      <c r="G17" s="38">
        <f>INDEX($JY$67:$JY$79,MATCH(LARGE($KA$67:$KA$79,4),$KA$67:$KA$79,0))</f>
        <v/>
      </c>
      <c r="H17" s="40">
        <f>IF(G17=0,"— Sem meta",IF(C17&gt;=G17,"✓ Meta atingida","Em andamento"))</f>
        <v/>
      </c>
      <c r="KC17" s="13" t="n">
        <v>16</v>
      </c>
      <c r="KD17" s="14">
        <f>IF(16&lt;=$Z$3,DATE(Configurações!$B$3,6,16),"")</f>
        <v/>
      </c>
      <c r="KE17" s="13">
        <f>SUM($EN$67:$EN$79)</f>
        <v/>
      </c>
      <c r="KF17" s="13">
        <f>SUM($EI$67:$EI$79)</f>
        <v/>
      </c>
    </row>
    <row r="18" ht="18" customHeight="1">
      <c r="A18" s="36" t="n">
        <v>5</v>
      </c>
      <c r="B18" s="37">
        <f>INDEX($A$67:$A$79,MATCH(LARGE($KA$67:$KA$79,5),$KA$67:$KA$79,0))</f>
        <v/>
      </c>
      <c r="C18" s="38">
        <f>INDEX($JU$67:$JU$79,MATCH(LARGE($KA$67:$KA$79,5),$KA$67:$KA$79,0))</f>
        <v/>
      </c>
      <c r="D18" s="39">
        <f>INDEX($JV$67:$JV$79,MATCH(LARGE($KA$67:$KA$79,5),$KA$67:$KA$79,0))</f>
        <v/>
      </c>
      <c r="E18" s="38">
        <f>INDEX($JW$67:$JW$79,MATCH(LARGE($KA$67:$KA$79,5),$KA$67:$KA$79,0))</f>
        <v/>
      </c>
      <c r="F18" s="38">
        <f>INDEX($JX$67:$JX$79,MATCH(LARGE($KA$67:$KA$79,5),$KA$67:$KA$79,0))</f>
        <v/>
      </c>
      <c r="G18" s="38">
        <f>INDEX($JY$67:$JY$79,MATCH(LARGE($KA$67:$KA$79,5),$KA$67:$KA$79,0))</f>
        <v/>
      </c>
      <c r="H18" s="40">
        <f>IF(G18=0,"— Sem meta",IF(C18&gt;=G18,"✓ Meta atingida","Em andamento"))</f>
        <v/>
      </c>
      <c r="KC18" s="13" t="n">
        <v>17</v>
      </c>
      <c r="KD18" s="14">
        <f>IF(17&lt;=$Z$3,DATE(Configurações!$B$3,6,17),"")</f>
        <v/>
      </c>
      <c r="KE18" s="13">
        <f>SUM($EW$67:$EW$79)</f>
        <v/>
      </c>
      <c r="KF18" s="13">
        <f>SUM($ER$67:$ER$79)</f>
        <v/>
      </c>
    </row>
    <row r="19" ht="18" customHeight="1">
      <c r="A19" s="41" t="n">
        <v>6</v>
      </c>
      <c r="B19" s="42">
        <f>INDEX($A$67:$A$79,MATCH(LARGE($KA$67:$KA$79,6),$KA$67:$KA$79,0))</f>
        <v/>
      </c>
      <c r="C19" s="43">
        <f>INDEX($JU$67:$JU$79,MATCH(LARGE($KA$67:$KA$79,6),$KA$67:$KA$79,0))</f>
        <v/>
      </c>
      <c r="D19" s="44">
        <f>INDEX($JV$67:$JV$79,MATCH(LARGE($KA$67:$KA$79,6),$KA$67:$KA$79,0))</f>
        <v/>
      </c>
      <c r="E19" s="43">
        <f>INDEX($JW$67:$JW$79,MATCH(LARGE($KA$67:$KA$79,6),$KA$67:$KA$79,0))</f>
        <v/>
      </c>
      <c r="F19" s="43">
        <f>INDEX($JX$67:$JX$79,MATCH(LARGE($KA$67:$KA$79,6),$KA$67:$KA$79,0))</f>
        <v/>
      </c>
      <c r="G19" s="43">
        <f>INDEX($JY$67:$JY$79,MATCH(LARGE($KA$67:$KA$79,6),$KA$67:$KA$79,0))</f>
        <v/>
      </c>
      <c r="H19" s="45">
        <f>IF(G19=0,"— Sem meta",IF(C19&gt;=G19,"✓ Meta atingida","Em andamento"))</f>
        <v/>
      </c>
      <c r="KC19" s="13" t="n">
        <v>18</v>
      </c>
      <c r="KD19" s="14">
        <f>IF(18&lt;=$Z$3,DATE(Configurações!$B$3,6,18),"")</f>
        <v/>
      </c>
      <c r="KE19" s="13">
        <f>SUM($FF$67:$FF$79)</f>
        <v/>
      </c>
      <c r="KF19" s="13">
        <f>SUM($FA$67:$FA$79)</f>
        <v/>
      </c>
    </row>
    <row r="20" ht="18" customHeight="1">
      <c r="A20" s="46" t="n">
        <v>7</v>
      </c>
      <c r="B20" s="47">
        <f>INDEX($A$67:$A$79,MATCH(LARGE($KA$67:$KA$79,7),$KA$67:$KA$79,0))</f>
        <v/>
      </c>
      <c r="C20" s="48">
        <f>INDEX($JU$67:$JU$79,MATCH(LARGE($KA$67:$KA$79,7),$KA$67:$KA$79,0))</f>
        <v/>
      </c>
      <c r="D20" s="49">
        <f>INDEX($JV$67:$JV$79,MATCH(LARGE($KA$67:$KA$79,7),$KA$67:$KA$79,0))</f>
        <v/>
      </c>
      <c r="E20" s="48">
        <f>INDEX($JW$67:$JW$79,MATCH(LARGE($KA$67:$KA$79,7),$KA$67:$KA$79,0))</f>
        <v/>
      </c>
      <c r="F20" s="48">
        <f>INDEX($JX$67:$JX$79,MATCH(LARGE($KA$67:$KA$79,7),$KA$67:$KA$79,0))</f>
        <v/>
      </c>
      <c r="G20" s="48">
        <f>INDEX($JY$67:$JY$79,MATCH(LARGE($KA$67:$KA$79,7),$KA$67:$KA$79,0))</f>
        <v/>
      </c>
      <c r="H20" s="50">
        <f>IF(G20=0,"— Sem meta",IF(C20&gt;=G20,"✓ Meta atingida","Em andamento"))</f>
        <v/>
      </c>
      <c r="KC20" s="13" t="n">
        <v>19</v>
      </c>
      <c r="KD20" s="14">
        <f>IF(19&lt;=$Z$3,DATE(Configurações!$B$3,6,19),"")</f>
        <v/>
      </c>
      <c r="KE20" s="13">
        <f>SUM($FO$67:$FO$79)</f>
        <v/>
      </c>
      <c r="KF20" s="13">
        <f>SUM($FJ$67:$FJ$79)</f>
        <v/>
      </c>
    </row>
    <row r="21" ht="18" customHeight="1">
      <c r="A21" s="41" t="n">
        <v>8</v>
      </c>
      <c r="B21" s="42">
        <f>INDEX($A$67:$A$79,MATCH(LARGE($KA$67:$KA$79,8),$KA$67:$KA$79,0))</f>
        <v/>
      </c>
      <c r="C21" s="43">
        <f>INDEX($JU$67:$JU$79,MATCH(LARGE($KA$67:$KA$79,8),$KA$67:$KA$79,0))</f>
        <v/>
      </c>
      <c r="D21" s="44">
        <f>INDEX($JV$67:$JV$79,MATCH(LARGE($KA$67:$KA$79,8),$KA$67:$KA$79,0))</f>
        <v/>
      </c>
      <c r="E21" s="43">
        <f>INDEX($JW$67:$JW$79,MATCH(LARGE($KA$67:$KA$79,8),$KA$67:$KA$79,0))</f>
        <v/>
      </c>
      <c r="F21" s="43">
        <f>INDEX($JX$67:$JX$79,MATCH(LARGE($KA$67:$KA$79,8),$KA$67:$KA$79,0))</f>
        <v/>
      </c>
      <c r="G21" s="43">
        <f>INDEX($JY$67:$JY$79,MATCH(LARGE($KA$67:$KA$79,8),$KA$67:$KA$79,0))</f>
        <v/>
      </c>
      <c r="H21" s="45">
        <f>IF(G21=0,"— Sem meta",IF(C21&gt;=G21,"✓ Meta atingida","Em andamento"))</f>
        <v/>
      </c>
      <c r="KC21" s="13" t="n">
        <v>20</v>
      </c>
      <c r="KD21" s="14">
        <f>IF(20&lt;=$Z$3,DATE(Configurações!$B$3,6,20),"")</f>
        <v/>
      </c>
      <c r="KE21" s="13">
        <f>SUM($FX$67:$FX$79)</f>
        <v/>
      </c>
      <c r="KF21" s="13">
        <f>SUM($FS$67:$FS$79)</f>
        <v/>
      </c>
    </row>
    <row r="22" ht="18" customHeight="1">
      <c r="A22" s="46" t="n">
        <v>9</v>
      </c>
      <c r="B22" s="47">
        <f>INDEX($A$67:$A$79,MATCH(LARGE($KA$67:$KA$79,9),$KA$67:$KA$79,0))</f>
        <v/>
      </c>
      <c r="C22" s="48">
        <f>INDEX($JU$67:$JU$79,MATCH(LARGE($KA$67:$KA$79,9),$KA$67:$KA$79,0))</f>
        <v/>
      </c>
      <c r="D22" s="49">
        <f>INDEX($JV$67:$JV$79,MATCH(LARGE($KA$67:$KA$79,9),$KA$67:$KA$79,0))</f>
        <v/>
      </c>
      <c r="E22" s="48">
        <f>INDEX($JW$67:$JW$79,MATCH(LARGE($KA$67:$KA$79,9),$KA$67:$KA$79,0))</f>
        <v/>
      </c>
      <c r="F22" s="48">
        <f>INDEX($JX$67:$JX$79,MATCH(LARGE($KA$67:$KA$79,9),$KA$67:$KA$79,0))</f>
        <v/>
      </c>
      <c r="G22" s="48">
        <f>INDEX($JY$67:$JY$79,MATCH(LARGE($KA$67:$KA$79,9),$KA$67:$KA$79,0))</f>
        <v/>
      </c>
      <c r="H22" s="50">
        <f>IF(G22=0,"— Sem meta",IF(C22&gt;=G22,"✓ Meta atingida","Em andamento"))</f>
        <v/>
      </c>
      <c r="KC22" s="13" t="n">
        <v>21</v>
      </c>
      <c r="KD22" s="14">
        <f>IF(21&lt;=$Z$3,DATE(Configurações!$B$3,6,21),"")</f>
        <v/>
      </c>
      <c r="KE22" s="13">
        <f>SUM($GG$67:$GG$79)</f>
        <v/>
      </c>
      <c r="KF22" s="13">
        <f>SUM($GB$67:$GB$79)</f>
        <v/>
      </c>
    </row>
    <row r="23" ht="18" customHeight="1">
      <c r="A23" s="41" t="n">
        <v>10</v>
      </c>
      <c r="B23" s="42">
        <f>INDEX($A$67:$A$79,MATCH(LARGE($KA$67:$KA$79,10),$KA$67:$KA$79,0))</f>
        <v/>
      </c>
      <c r="C23" s="43">
        <f>INDEX($JU$67:$JU$79,MATCH(LARGE($KA$67:$KA$79,10),$KA$67:$KA$79,0))</f>
        <v/>
      </c>
      <c r="D23" s="44">
        <f>INDEX($JV$67:$JV$79,MATCH(LARGE($KA$67:$KA$79,10),$KA$67:$KA$79,0))</f>
        <v/>
      </c>
      <c r="E23" s="43">
        <f>INDEX($JW$67:$JW$79,MATCH(LARGE($KA$67:$KA$79,10),$KA$67:$KA$79,0))</f>
        <v/>
      </c>
      <c r="F23" s="43">
        <f>INDEX($JX$67:$JX$79,MATCH(LARGE($KA$67:$KA$79,10),$KA$67:$KA$79,0))</f>
        <v/>
      </c>
      <c r="G23" s="43">
        <f>INDEX($JY$67:$JY$79,MATCH(LARGE($KA$67:$KA$79,10),$KA$67:$KA$79,0))</f>
        <v/>
      </c>
      <c r="H23" s="45">
        <f>IF(G23=0,"— Sem meta",IF(C23&gt;=G23,"✓ Meta atingida","Em andamento"))</f>
        <v/>
      </c>
      <c r="KC23" s="13" t="n">
        <v>22</v>
      </c>
      <c r="KD23" s="14">
        <f>IF(22&lt;=$Z$3,DATE(Configurações!$B$3,6,22),"")</f>
        <v/>
      </c>
      <c r="KE23" s="13">
        <f>SUM($GP$67:$GP$79)</f>
        <v/>
      </c>
      <c r="KF23" s="13">
        <f>SUM($GK$67:$GK$79)</f>
        <v/>
      </c>
    </row>
    <row r="24" ht="18" customHeight="1">
      <c r="A24" s="46" t="n">
        <v>11</v>
      </c>
      <c r="B24" s="47">
        <f>INDEX($A$67:$A$79,MATCH(LARGE($KA$67:$KA$79,11),$KA$67:$KA$79,0))</f>
        <v/>
      </c>
      <c r="C24" s="48">
        <f>INDEX($JU$67:$JU$79,MATCH(LARGE($KA$67:$KA$79,11),$KA$67:$KA$79,0))</f>
        <v/>
      </c>
      <c r="D24" s="49">
        <f>INDEX($JV$67:$JV$79,MATCH(LARGE($KA$67:$KA$79,11),$KA$67:$KA$79,0))</f>
        <v/>
      </c>
      <c r="E24" s="48">
        <f>INDEX($JW$67:$JW$79,MATCH(LARGE($KA$67:$KA$79,11),$KA$67:$KA$79,0))</f>
        <v/>
      </c>
      <c r="F24" s="48">
        <f>INDEX($JX$67:$JX$79,MATCH(LARGE($KA$67:$KA$79,11),$KA$67:$KA$79,0))</f>
        <v/>
      </c>
      <c r="G24" s="48">
        <f>INDEX($JY$67:$JY$79,MATCH(LARGE($KA$67:$KA$79,11),$KA$67:$KA$79,0))</f>
        <v/>
      </c>
      <c r="H24" s="50">
        <f>IF(G24=0,"— Sem meta",IF(C24&gt;=G24,"✓ Meta atingida","Em andamento"))</f>
        <v/>
      </c>
      <c r="KC24" s="13" t="n">
        <v>23</v>
      </c>
      <c r="KD24" s="14">
        <f>IF(23&lt;=$Z$3,DATE(Configurações!$B$3,6,23),"")</f>
        <v/>
      </c>
      <c r="KE24" s="13">
        <f>SUM($GY$67:$GY$79)</f>
        <v/>
      </c>
      <c r="KF24" s="13">
        <f>SUM($GT$67:$GT$79)</f>
        <v/>
      </c>
    </row>
    <row r="25" ht="18" customHeight="1">
      <c r="A25" s="41" t="n">
        <v>12</v>
      </c>
      <c r="B25" s="42">
        <f>INDEX($A$67:$A$79,MATCH(LARGE($KA$67:$KA$79,12),$KA$67:$KA$79,0))</f>
        <v/>
      </c>
      <c r="C25" s="43">
        <f>INDEX($JU$67:$JU$79,MATCH(LARGE($KA$67:$KA$79,12),$KA$67:$KA$79,0))</f>
        <v/>
      </c>
      <c r="D25" s="44">
        <f>INDEX($JV$67:$JV$79,MATCH(LARGE($KA$67:$KA$79,12),$KA$67:$KA$79,0))</f>
        <v/>
      </c>
      <c r="E25" s="43">
        <f>INDEX($JW$67:$JW$79,MATCH(LARGE($KA$67:$KA$79,12),$KA$67:$KA$79,0))</f>
        <v/>
      </c>
      <c r="F25" s="43">
        <f>INDEX($JX$67:$JX$79,MATCH(LARGE($KA$67:$KA$79,12),$KA$67:$KA$79,0))</f>
        <v/>
      </c>
      <c r="G25" s="43">
        <f>INDEX($JY$67:$JY$79,MATCH(LARGE($KA$67:$KA$79,12),$KA$67:$KA$79,0))</f>
        <v/>
      </c>
      <c r="H25" s="45">
        <f>IF(G25=0,"— Sem meta",IF(C25&gt;=G25,"✓ Meta atingida","Em andamento"))</f>
        <v/>
      </c>
      <c r="KC25" s="13" t="n">
        <v>24</v>
      </c>
      <c r="KD25" s="14">
        <f>IF(24&lt;=$Z$3,DATE(Configurações!$B$3,6,24),"")</f>
        <v/>
      </c>
      <c r="KE25" s="13">
        <f>SUM($HH$67:$HH$79)</f>
        <v/>
      </c>
      <c r="KF25" s="13">
        <f>SUM($HC$67:$HC$79)</f>
        <v/>
      </c>
    </row>
    <row r="26" ht="18" customHeight="1">
      <c r="A26" s="46" t="n">
        <v>13</v>
      </c>
      <c r="B26" s="47">
        <f>INDEX($A$67:$A$79,MATCH(LARGE($KA$67:$KA$79,13),$KA$67:$KA$79,0))</f>
        <v/>
      </c>
      <c r="C26" s="48">
        <f>INDEX($JU$67:$JU$79,MATCH(LARGE($KA$67:$KA$79,13),$KA$67:$KA$79,0))</f>
        <v/>
      </c>
      <c r="D26" s="49">
        <f>INDEX($JV$67:$JV$79,MATCH(LARGE($KA$67:$KA$79,13),$KA$67:$KA$79,0))</f>
        <v/>
      </c>
      <c r="E26" s="48">
        <f>INDEX($JW$67:$JW$79,MATCH(LARGE($KA$67:$KA$79,13),$KA$67:$KA$79,0))</f>
        <v/>
      </c>
      <c r="F26" s="48">
        <f>INDEX($JX$67:$JX$79,MATCH(LARGE($KA$67:$KA$79,13),$KA$67:$KA$79,0))</f>
        <v/>
      </c>
      <c r="G26" s="48">
        <f>INDEX($JY$67:$JY$79,MATCH(LARGE($KA$67:$KA$79,13),$KA$67:$KA$79,0))</f>
        <v/>
      </c>
      <c r="H26" s="50">
        <f>IF(G26=0,"— Sem meta",IF(C26&gt;=G26,"✓ Meta atingida","Em andamento"))</f>
        <v/>
      </c>
      <c r="KC26" s="13" t="n">
        <v>25</v>
      </c>
      <c r="KD26" s="14">
        <f>IF(25&lt;=$Z$3,DATE(Configurações!$B$3,6,25),"")</f>
        <v/>
      </c>
      <c r="KE26" s="13">
        <f>SUM($HQ$67:$HQ$79)</f>
        <v/>
      </c>
      <c r="KF26" s="13">
        <f>SUM($HL$67:$HL$79)</f>
        <v/>
      </c>
    </row>
    <row r="27">
      <c r="KC27" s="13" t="n">
        <v>26</v>
      </c>
      <c r="KD27" s="14">
        <f>IF(26&lt;=$Z$3,DATE(Configurações!$B$3,6,26),"")</f>
        <v/>
      </c>
      <c r="KE27" s="13">
        <f>SUM($HZ$67:$HZ$79)</f>
        <v/>
      </c>
      <c r="KF27" s="13">
        <f>SUM($HU$67:$HU$79)</f>
        <v/>
      </c>
    </row>
    <row r="28">
      <c r="KC28" s="13" t="n">
        <v>27</v>
      </c>
      <c r="KD28" s="14">
        <f>IF(27&lt;=$Z$3,DATE(Configurações!$B$3,6,27),"")</f>
        <v/>
      </c>
      <c r="KE28" s="13">
        <f>SUM($II$67:$II$79)</f>
        <v/>
      </c>
      <c r="KF28" s="13">
        <f>SUM($ID$67:$ID$79)</f>
        <v/>
      </c>
    </row>
    <row r="29">
      <c r="KC29" s="13" t="n">
        <v>28</v>
      </c>
      <c r="KD29" s="14">
        <f>IF(28&lt;=$Z$3,DATE(Configurações!$B$3,6,28),"")</f>
        <v/>
      </c>
      <c r="KE29" s="13">
        <f>SUM($IR$67:$IR$79)</f>
        <v/>
      </c>
      <c r="KF29" s="13">
        <f>SUM($IM$67:$IM$79)</f>
        <v/>
      </c>
    </row>
    <row r="30">
      <c r="KC30" s="13" t="n">
        <v>29</v>
      </c>
      <c r="KD30" s="14">
        <f>IF(29&lt;=$Z$3,DATE(Configurações!$B$3,6,29),"")</f>
        <v/>
      </c>
      <c r="KE30" s="13">
        <f>SUM($JA$67:$JA$79)</f>
        <v/>
      </c>
      <c r="KF30" s="13">
        <f>SUM($IV$67:$IV$79)</f>
        <v/>
      </c>
    </row>
    <row r="31">
      <c r="KC31" s="13" t="n">
        <v>30</v>
      </c>
      <c r="KD31" s="14">
        <f>IF(30&lt;=$Z$3,DATE(Configurações!$B$3,6,30),"")</f>
        <v/>
      </c>
      <c r="KE31" s="13">
        <f>SUM($JJ$67:$JJ$79)</f>
        <v/>
      </c>
      <c r="KF31" s="13">
        <f>SUM($JE$67:$JE$79)</f>
        <v/>
      </c>
    </row>
    <row r="32">
      <c r="KC32" s="13" t="n">
        <v>31</v>
      </c>
      <c r="KD32" s="14">
        <f>IF(31&lt;=$Z$3,DATE(Configurações!$B$3,6,31),"")</f>
        <v/>
      </c>
      <c r="KE32" s="13">
        <f>SUM($JS$67:$JS$79)</f>
        <v/>
      </c>
      <c r="KF32" s="13">
        <f>SUM($JN$67:$JN$79)</f>
        <v/>
      </c>
    </row>
    <row r="64" ht="22" customHeight="1">
      <c r="A64" s="51" t="inlineStr">
        <is>
          <t>📋  LANÇAMENTOS DIÁRIOS POR ASSESSOR (role para a direita)</t>
        </is>
      </c>
    </row>
    <row r="65" ht="20" customHeight="1">
      <c r="A65" s="52" t="inlineStr">
        <is>
          <t>Assessor</t>
        </is>
      </c>
      <c r="B65" s="18">
        <f>"Dia 1 — "&amp;IF(1&lt;=$Z$3,TEXT(DATE(Configurações!$B$3,6,1),"dd/mm")&amp;" ("&amp;CHOOSE(WEEKDAY(DATE(Configurações!$B$3,6,1)),"Dom","Seg","Ter","Qua","Qui","Sex","Sáb")&amp;")","—")</f>
        <v/>
      </c>
      <c r="K65" s="18">
        <f>"Dia 2 — "&amp;IF(2&lt;=$Z$3,TEXT(DATE(Configurações!$B$3,6,2),"dd/mm")&amp;" ("&amp;CHOOSE(WEEKDAY(DATE(Configurações!$B$3,6,2)),"Dom","Seg","Ter","Qua","Qui","Sex","Sáb")&amp;")","—")</f>
        <v/>
      </c>
      <c r="T65" s="18">
        <f>"Dia 3 — "&amp;IF(3&lt;=$Z$3,TEXT(DATE(Configurações!$B$3,6,3),"dd/mm")&amp;" ("&amp;CHOOSE(WEEKDAY(DATE(Configurações!$B$3,6,3)),"Dom","Seg","Ter","Qua","Qui","Sex","Sáb")&amp;")","—")</f>
        <v/>
      </c>
      <c r="AC65" s="18">
        <f>"Dia 4 — "&amp;IF(4&lt;=$Z$3,TEXT(DATE(Configurações!$B$3,6,4),"dd/mm")&amp;" ("&amp;CHOOSE(WEEKDAY(DATE(Configurações!$B$3,6,4)),"Dom","Seg","Ter","Qua","Qui","Sex","Sáb")&amp;")","—")</f>
        <v/>
      </c>
      <c r="AL65" s="18">
        <f>"Dia 5 — "&amp;IF(5&lt;=$Z$3,TEXT(DATE(Configurações!$B$3,6,5),"dd/mm")&amp;" ("&amp;CHOOSE(WEEKDAY(DATE(Configurações!$B$3,6,5)),"Dom","Seg","Ter","Qua","Qui","Sex","Sáb")&amp;")","—")</f>
        <v/>
      </c>
      <c r="AU65" s="18">
        <f>"Dia 6 — "&amp;IF(6&lt;=$Z$3,TEXT(DATE(Configurações!$B$3,6,6),"dd/mm")&amp;" ("&amp;CHOOSE(WEEKDAY(DATE(Configurações!$B$3,6,6)),"Dom","Seg","Ter","Qua","Qui","Sex","Sáb")&amp;")","—")</f>
        <v/>
      </c>
      <c r="BD65" s="18">
        <f>"Dia 7 — "&amp;IF(7&lt;=$Z$3,TEXT(DATE(Configurações!$B$3,6,7),"dd/mm")&amp;" ("&amp;CHOOSE(WEEKDAY(DATE(Configurações!$B$3,6,7)),"Dom","Seg","Ter","Qua","Qui","Sex","Sáb")&amp;")","—")</f>
        <v/>
      </c>
      <c r="BM65" s="18">
        <f>"Dia 8 — "&amp;IF(8&lt;=$Z$3,TEXT(DATE(Configurações!$B$3,6,8),"dd/mm")&amp;" ("&amp;CHOOSE(WEEKDAY(DATE(Configurações!$B$3,6,8)),"Dom","Seg","Ter","Qua","Qui","Sex","Sáb")&amp;")","—")</f>
        <v/>
      </c>
      <c r="BV65" s="18">
        <f>"Dia 9 — "&amp;IF(9&lt;=$Z$3,TEXT(DATE(Configurações!$B$3,6,9),"dd/mm")&amp;" ("&amp;CHOOSE(WEEKDAY(DATE(Configurações!$B$3,6,9)),"Dom","Seg","Ter","Qua","Qui","Sex","Sáb")&amp;")","—")</f>
        <v/>
      </c>
      <c r="CE65" s="18">
        <f>"Dia 10 — "&amp;IF(10&lt;=$Z$3,TEXT(DATE(Configurações!$B$3,6,10),"dd/mm")&amp;" ("&amp;CHOOSE(WEEKDAY(DATE(Configurações!$B$3,6,10)),"Dom","Seg","Ter","Qua","Qui","Sex","Sáb")&amp;")","—")</f>
        <v/>
      </c>
      <c r="CN65" s="18">
        <f>"Dia 11 — "&amp;IF(11&lt;=$Z$3,TEXT(DATE(Configurações!$B$3,6,11),"dd/mm")&amp;" ("&amp;CHOOSE(WEEKDAY(DATE(Configurações!$B$3,6,11)),"Dom","Seg","Ter","Qua","Qui","Sex","Sáb")&amp;")","—")</f>
        <v/>
      </c>
      <c r="CW65" s="18">
        <f>"Dia 12 — "&amp;IF(12&lt;=$Z$3,TEXT(DATE(Configurações!$B$3,6,12),"dd/mm")&amp;" ("&amp;CHOOSE(WEEKDAY(DATE(Configurações!$B$3,6,12)),"Dom","Seg","Ter","Qua","Qui","Sex","Sáb")&amp;")","—")</f>
        <v/>
      </c>
      <c r="DF65" s="18">
        <f>"Dia 13 — "&amp;IF(13&lt;=$Z$3,TEXT(DATE(Configurações!$B$3,6,13),"dd/mm")&amp;" ("&amp;CHOOSE(WEEKDAY(DATE(Configurações!$B$3,6,13)),"Dom","Seg","Ter","Qua","Qui","Sex","Sáb")&amp;")","—")</f>
        <v/>
      </c>
      <c r="DO65" s="18">
        <f>"Dia 14 — "&amp;IF(14&lt;=$Z$3,TEXT(DATE(Configurações!$B$3,6,14),"dd/mm")&amp;" ("&amp;CHOOSE(WEEKDAY(DATE(Configurações!$B$3,6,14)),"Dom","Seg","Ter","Qua","Qui","Sex","Sáb")&amp;")","—")</f>
        <v/>
      </c>
      <c r="DX65" s="18">
        <f>"Dia 15 — "&amp;IF(15&lt;=$Z$3,TEXT(DATE(Configurações!$B$3,6,15),"dd/mm")&amp;" ("&amp;CHOOSE(WEEKDAY(DATE(Configurações!$B$3,6,15)),"Dom","Seg","Ter","Qua","Qui","Sex","Sáb")&amp;")","—")</f>
        <v/>
      </c>
      <c r="EG65" s="18">
        <f>"Dia 16 — "&amp;IF(16&lt;=$Z$3,TEXT(DATE(Configurações!$B$3,6,16),"dd/mm")&amp;" ("&amp;CHOOSE(WEEKDAY(DATE(Configurações!$B$3,6,16)),"Dom","Seg","Ter","Qua","Qui","Sex","Sáb")&amp;")","—")</f>
        <v/>
      </c>
      <c r="EP65" s="18">
        <f>"Dia 17 — "&amp;IF(17&lt;=$Z$3,TEXT(DATE(Configurações!$B$3,6,17),"dd/mm")&amp;" ("&amp;CHOOSE(WEEKDAY(DATE(Configurações!$B$3,6,17)),"Dom","Seg","Ter","Qua","Qui","Sex","Sáb")&amp;")","—")</f>
        <v/>
      </c>
      <c r="EY65" s="18">
        <f>"Dia 18 — "&amp;IF(18&lt;=$Z$3,TEXT(DATE(Configurações!$B$3,6,18),"dd/mm")&amp;" ("&amp;CHOOSE(WEEKDAY(DATE(Configurações!$B$3,6,18)),"Dom","Seg","Ter","Qua","Qui","Sex","Sáb")&amp;")","—")</f>
        <v/>
      </c>
      <c r="FH65" s="18">
        <f>"Dia 19 — "&amp;IF(19&lt;=$Z$3,TEXT(DATE(Configurações!$B$3,6,19),"dd/mm")&amp;" ("&amp;CHOOSE(WEEKDAY(DATE(Configurações!$B$3,6,19)),"Dom","Seg","Ter","Qua","Qui","Sex","Sáb")&amp;")","—")</f>
        <v/>
      </c>
      <c r="FQ65" s="18">
        <f>"Dia 20 — "&amp;IF(20&lt;=$Z$3,TEXT(DATE(Configurações!$B$3,6,20),"dd/mm")&amp;" ("&amp;CHOOSE(WEEKDAY(DATE(Configurações!$B$3,6,20)),"Dom","Seg","Ter","Qua","Qui","Sex","Sáb")&amp;")","—")</f>
        <v/>
      </c>
      <c r="FZ65" s="18">
        <f>"Dia 21 — "&amp;IF(21&lt;=$Z$3,TEXT(DATE(Configurações!$B$3,6,21),"dd/mm")&amp;" ("&amp;CHOOSE(WEEKDAY(DATE(Configurações!$B$3,6,21)),"Dom","Seg","Ter","Qua","Qui","Sex","Sáb")&amp;")","—")</f>
        <v/>
      </c>
      <c r="GI65" s="18">
        <f>"Dia 22 — "&amp;IF(22&lt;=$Z$3,TEXT(DATE(Configurações!$B$3,6,22),"dd/mm")&amp;" ("&amp;CHOOSE(WEEKDAY(DATE(Configurações!$B$3,6,22)),"Dom","Seg","Ter","Qua","Qui","Sex","Sáb")&amp;")","—")</f>
        <v/>
      </c>
      <c r="GR65" s="18">
        <f>"Dia 23 — "&amp;IF(23&lt;=$Z$3,TEXT(DATE(Configurações!$B$3,6,23),"dd/mm")&amp;" ("&amp;CHOOSE(WEEKDAY(DATE(Configurações!$B$3,6,23)),"Dom","Seg","Ter","Qua","Qui","Sex","Sáb")&amp;")","—")</f>
        <v/>
      </c>
      <c r="HA65" s="18">
        <f>"Dia 24 — "&amp;IF(24&lt;=$Z$3,TEXT(DATE(Configurações!$B$3,6,24),"dd/mm")&amp;" ("&amp;CHOOSE(WEEKDAY(DATE(Configurações!$B$3,6,24)),"Dom","Seg","Ter","Qua","Qui","Sex","Sáb")&amp;")","—")</f>
        <v/>
      </c>
      <c r="HJ65" s="18">
        <f>"Dia 25 — "&amp;IF(25&lt;=$Z$3,TEXT(DATE(Configurações!$B$3,6,25),"dd/mm")&amp;" ("&amp;CHOOSE(WEEKDAY(DATE(Configurações!$B$3,6,25)),"Dom","Seg","Ter","Qua","Qui","Sex","Sáb")&amp;")","—")</f>
        <v/>
      </c>
      <c r="HS65" s="18">
        <f>"Dia 26 — "&amp;IF(26&lt;=$Z$3,TEXT(DATE(Configurações!$B$3,6,26),"dd/mm")&amp;" ("&amp;CHOOSE(WEEKDAY(DATE(Configurações!$B$3,6,26)),"Dom","Seg","Ter","Qua","Qui","Sex","Sáb")&amp;")","—")</f>
        <v/>
      </c>
      <c r="IB65" s="18">
        <f>"Dia 27 — "&amp;IF(27&lt;=$Z$3,TEXT(DATE(Configurações!$B$3,6,27),"dd/mm")&amp;" ("&amp;CHOOSE(WEEKDAY(DATE(Configurações!$B$3,6,27)),"Dom","Seg","Ter","Qua","Qui","Sex","Sáb")&amp;")","—")</f>
        <v/>
      </c>
      <c r="IK65" s="18">
        <f>"Dia 28 — "&amp;IF(28&lt;=$Z$3,TEXT(DATE(Configurações!$B$3,6,28),"dd/mm")&amp;" ("&amp;CHOOSE(WEEKDAY(DATE(Configurações!$B$3,6,28)),"Dom","Seg","Ter","Qua","Qui","Sex","Sáb")&amp;")","—")</f>
        <v/>
      </c>
      <c r="IT65" s="18">
        <f>"Dia 29 — "&amp;IF(29&lt;=$Z$3,TEXT(DATE(Configurações!$B$3,6,29),"dd/mm")&amp;" ("&amp;CHOOSE(WEEKDAY(DATE(Configurações!$B$3,6,29)),"Dom","Seg","Ter","Qua","Qui","Sex","Sáb")&amp;")","—")</f>
        <v/>
      </c>
      <c r="JC65" s="18">
        <f>"Dia 30 — "&amp;IF(30&lt;=$Z$3,TEXT(DATE(Configurações!$B$3,6,30),"dd/mm")&amp;" ("&amp;CHOOSE(WEEKDAY(DATE(Configurações!$B$3,6,30)),"Dom","Seg","Ter","Qua","Qui","Sex","Sáb")&amp;")","—")</f>
        <v/>
      </c>
      <c r="JL65" s="18">
        <f>"Dia 31 — "&amp;IF(31&lt;=$Z$3,TEXT(DATE(Configurações!$B$3,6,31),"dd/mm")&amp;" ("&amp;CHOOSE(WEEKDAY(DATE(Configurações!$B$3,6,31)),"Dom","Seg","Ter","Qua","Qui","Sex","Sáb")&amp;")","—")</f>
        <v/>
      </c>
      <c r="JU65" s="53" t="inlineStr">
        <is>
          <t>Produção Total (Mês)</t>
        </is>
      </c>
      <c r="JV65" s="53" t="inlineStr">
        <is>
          <t>Captação Líquida (Mês)</t>
        </is>
      </c>
      <c r="JW65" s="53" t="inlineStr">
        <is>
          <t>Saldo Pulso Atual</t>
        </is>
      </c>
      <c r="JX65" s="53" t="inlineStr">
        <is>
          <t>Média Diária</t>
        </is>
      </c>
      <c r="JY65" s="53" t="inlineStr">
        <is>
          <t>Meta Mensal</t>
        </is>
      </c>
      <c r="JZ65" s="53" t="inlineStr">
        <is>
          <t>Status Meta</t>
        </is>
      </c>
      <c r="KA65" s="53" t="inlineStr"/>
    </row>
    <row r="66" ht="26" customHeight="1">
      <c r="B66" s="54" t="inlineStr">
        <is>
          <t>Saldo Pulso</t>
        </is>
      </c>
      <c r="C66" s="54" t="inlineStr">
        <is>
          <t>Saldo Anterior</t>
        </is>
      </c>
      <c r="D66" s="54" t="inlineStr">
        <is>
          <t>Captação Líq.</t>
        </is>
      </c>
      <c r="E66" s="54" t="inlineStr">
        <is>
          <t>COE</t>
        </is>
      </c>
      <c r="F66" s="54" t="inlineStr">
        <is>
          <t>Previdência</t>
        </is>
      </c>
      <c r="G66" s="54" t="inlineStr">
        <is>
          <t>Créd. Privado</t>
        </is>
      </c>
      <c r="H66" s="54" t="inlineStr">
        <is>
          <t>Tít. Públicos</t>
        </is>
      </c>
      <c r="I66" s="54" t="inlineStr">
        <is>
          <t>Produção Tot.</t>
        </is>
      </c>
      <c r="J66" s="54" t="inlineStr">
        <is>
          <t>Obs.</t>
        </is>
      </c>
      <c r="K66" s="54" t="inlineStr">
        <is>
          <t>Saldo Pulso</t>
        </is>
      </c>
      <c r="L66" s="54" t="inlineStr">
        <is>
          <t>Saldo Anterior</t>
        </is>
      </c>
      <c r="M66" s="54" t="inlineStr">
        <is>
          <t>Captação Líq.</t>
        </is>
      </c>
      <c r="N66" s="54" t="inlineStr">
        <is>
          <t>COE</t>
        </is>
      </c>
      <c r="O66" s="54" t="inlineStr">
        <is>
          <t>Previdência</t>
        </is>
      </c>
      <c r="P66" s="54" t="inlineStr">
        <is>
          <t>Créd. Privado</t>
        </is>
      </c>
      <c r="Q66" s="54" t="inlineStr">
        <is>
          <t>Tít. Públicos</t>
        </is>
      </c>
      <c r="R66" s="54" t="inlineStr">
        <is>
          <t>Produção Tot.</t>
        </is>
      </c>
      <c r="S66" s="54" t="inlineStr">
        <is>
          <t>Obs.</t>
        </is>
      </c>
      <c r="T66" s="54" t="inlineStr">
        <is>
          <t>Saldo Pulso</t>
        </is>
      </c>
      <c r="U66" s="54" t="inlineStr">
        <is>
          <t>Saldo Anterior</t>
        </is>
      </c>
      <c r="V66" s="54" t="inlineStr">
        <is>
          <t>Captação Líq.</t>
        </is>
      </c>
      <c r="W66" s="54" t="inlineStr">
        <is>
          <t>COE</t>
        </is>
      </c>
      <c r="X66" s="54" t="inlineStr">
        <is>
          <t>Previdência</t>
        </is>
      </c>
      <c r="Y66" s="54" t="inlineStr">
        <is>
          <t>Créd. Privado</t>
        </is>
      </c>
      <c r="Z66" s="54" t="inlineStr">
        <is>
          <t>Tít. Públicos</t>
        </is>
      </c>
      <c r="AA66" s="54" t="inlineStr">
        <is>
          <t>Produção Tot.</t>
        </is>
      </c>
      <c r="AB66" s="54" t="inlineStr">
        <is>
          <t>Obs.</t>
        </is>
      </c>
      <c r="AC66" s="54" t="inlineStr">
        <is>
          <t>Saldo Pulso</t>
        </is>
      </c>
      <c r="AD66" s="54" t="inlineStr">
        <is>
          <t>Saldo Anterior</t>
        </is>
      </c>
      <c r="AE66" s="54" t="inlineStr">
        <is>
          <t>Captação Líq.</t>
        </is>
      </c>
      <c r="AF66" s="54" t="inlineStr">
        <is>
          <t>COE</t>
        </is>
      </c>
      <c r="AG66" s="54" t="inlineStr">
        <is>
          <t>Previdência</t>
        </is>
      </c>
      <c r="AH66" s="54" t="inlineStr">
        <is>
          <t>Créd. Privado</t>
        </is>
      </c>
      <c r="AI66" s="54" t="inlineStr">
        <is>
          <t>Tít. Públicos</t>
        </is>
      </c>
      <c r="AJ66" s="54" t="inlineStr">
        <is>
          <t>Produção Tot.</t>
        </is>
      </c>
      <c r="AK66" s="54" t="inlineStr">
        <is>
          <t>Obs.</t>
        </is>
      </c>
      <c r="AL66" s="54" t="inlineStr">
        <is>
          <t>Saldo Pulso</t>
        </is>
      </c>
      <c r="AM66" s="54" t="inlineStr">
        <is>
          <t>Saldo Anterior</t>
        </is>
      </c>
      <c r="AN66" s="54" t="inlineStr">
        <is>
          <t>Captação Líq.</t>
        </is>
      </c>
      <c r="AO66" s="54" t="inlineStr">
        <is>
          <t>COE</t>
        </is>
      </c>
      <c r="AP66" s="54" t="inlineStr">
        <is>
          <t>Previdência</t>
        </is>
      </c>
      <c r="AQ66" s="54" t="inlineStr">
        <is>
          <t>Créd. Privado</t>
        </is>
      </c>
      <c r="AR66" s="54" t="inlineStr">
        <is>
          <t>Tít. Públicos</t>
        </is>
      </c>
      <c r="AS66" s="54" t="inlineStr">
        <is>
          <t>Produção Tot.</t>
        </is>
      </c>
      <c r="AT66" s="54" t="inlineStr">
        <is>
          <t>Obs.</t>
        </is>
      </c>
      <c r="AU66" s="54" t="inlineStr">
        <is>
          <t>Saldo Pulso</t>
        </is>
      </c>
      <c r="AV66" s="54" t="inlineStr">
        <is>
          <t>Saldo Anterior</t>
        </is>
      </c>
      <c r="AW66" s="54" t="inlineStr">
        <is>
          <t>Captação Líq.</t>
        </is>
      </c>
      <c r="AX66" s="54" t="inlineStr">
        <is>
          <t>COE</t>
        </is>
      </c>
      <c r="AY66" s="54" t="inlineStr">
        <is>
          <t>Previdência</t>
        </is>
      </c>
      <c r="AZ66" s="54" t="inlineStr">
        <is>
          <t>Créd. Privado</t>
        </is>
      </c>
      <c r="BA66" s="54" t="inlineStr">
        <is>
          <t>Tít. Públicos</t>
        </is>
      </c>
      <c r="BB66" s="54" t="inlineStr">
        <is>
          <t>Produção Tot.</t>
        </is>
      </c>
      <c r="BC66" s="54" t="inlineStr">
        <is>
          <t>Obs.</t>
        </is>
      </c>
      <c r="BD66" s="54" t="inlineStr">
        <is>
          <t>Saldo Pulso</t>
        </is>
      </c>
      <c r="BE66" s="54" t="inlineStr">
        <is>
          <t>Saldo Anterior</t>
        </is>
      </c>
      <c r="BF66" s="54" t="inlineStr">
        <is>
          <t>Captação Líq.</t>
        </is>
      </c>
      <c r="BG66" s="54" t="inlineStr">
        <is>
          <t>COE</t>
        </is>
      </c>
      <c r="BH66" s="54" t="inlineStr">
        <is>
          <t>Previdência</t>
        </is>
      </c>
      <c r="BI66" s="54" t="inlineStr">
        <is>
          <t>Créd. Privado</t>
        </is>
      </c>
      <c r="BJ66" s="54" t="inlineStr">
        <is>
          <t>Tít. Públicos</t>
        </is>
      </c>
      <c r="BK66" s="54" t="inlineStr">
        <is>
          <t>Produção Tot.</t>
        </is>
      </c>
      <c r="BL66" s="54" t="inlineStr">
        <is>
          <t>Obs.</t>
        </is>
      </c>
      <c r="BM66" s="54" t="inlineStr">
        <is>
          <t>Saldo Pulso</t>
        </is>
      </c>
      <c r="BN66" s="54" t="inlineStr">
        <is>
          <t>Saldo Anterior</t>
        </is>
      </c>
      <c r="BO66" s="54" t="inlineStr">
        <is>
          <t>Captação Líq.</t>
        </is>
      </c>
      <c r="BP66" s="54" t="inlineStr">
        <is>
          <t>COE</t>
        </is>
      </c>
      <c r="BQ66" s="54" t="inlineStr">
        <is>
          <t>Previdência</t>
        </is>
      </c>
      <c r="BR66" s="54" t="inlineStr">
        <is>
          <t>Créd. Privado</t>
        </is>
      </c>
      <c r="BS66" s="54" t="inlineStr">
        <is>
          <t>Tít. Públicos</t>
        </is>
      </c>
      <c r="BT66" s="54" t="inlineStr">
        <is>
          <t>Produção Tot.</t>
        </is>
      </c>
      <c r="BU66" s="54" t="inlineStr">
        <is>
          <t>Obs.</t>
        </is>
      </c>
      <c r="BV66" s="54" t="inlineStr">
        <is>
          <t>Saldo Pulso</t>
        </is>
      </c>
      <c r="BW66" s="54" t="inlineStr">
        <is>
          <t>Saldo Anterior</t>
        </is>
      </c>
      <c r="BX66" s="54" t="inlineStr">
        <is>
          <t>Captação Líq.</t>
        </is>
      </c>
      <c r="BY66" s="54" t="inlineStr">
        <is>
          <t>COE</t>
        </is>
      </c>
      <c r="BZ66" s="54" t="inlineStr">
        <is>
          <t>Previdência</t>
        </is>
      </c>
      <c r="CA66" s="54" t="inlineStr">
        <is>
          <t>Créd. Privado</t>
        </is>
      </c>
      <c r="CB66" s="54" t="inlineStr">
        <is>
          <t>Tít. Públicos</t>
        </is>
      </c>
      <c r="CC66" s="54" t="inlineStr">
        <is>
          <t>Produção Tot.</t>
        </is>
      </c>
      <c r="CD66" s="54" t="inlineStr">
        <is>
          <t>Obs.</t>
        </is>
      </c>
      <c r="CE66" s="54" t="inlineStr">
        <is>
          <t>Saldo Pulso</t>
        </is>
      </c>
      <c r="CF66" s="54" t="inlineStr">
        <is>
          <t>Saldo Anterior</t>
        </is>
      </c>
      <c r="CG66" s="54" t="inlineStr">
        <is>
          <t>Captação Líq.</t>
        </is>
      </c>
      <c r="CH66" s="54" t="inlineStr">
        <is>
          <t>COE</t>
        </is>
      </c>
      <c r="CI66" s="54" t="inlineStr">
        <is>
          <t>Previdência</t>
        </is>
      </c>
      <c r="CJ66" s="54" t="inlineStr">
        <is>
          <t>Créd. Privado</t>
        </is>
      </c>
      <c r="CK66" s="54" t="inlineStr">
        <is>
          <t>Tít. Públicos</t>
        </is>
      </c>
      <c r="CL66" s="54" t="inlineStr">
        <is>
          <t>Produção Tot.</t>
        </is>
      </c>
      <c r="CM66" s="54" t="inlineStr">
        <is>
          <t>Obs.</t>
        </is>
      </c>
      <c r="CN66" s="54" t="inlineStr">
        <is>
          <t>Saldo Pulso</t>
        </is>
      </c>
      <c r="CO66" s="54" t="inlineStr">
        <is>
          <t>Saldo Anterior</t>
        </is>
      </c>
      <c r="CP66" s="54" t="inlineStr">
        <is>
          <t>Captação Líq.</t>
        </is>
      </c>
      <c r="CQ66" s="54" t="inlineStr">
        <is>
          <t>COE</t>
        </is>
      </c>
      <c r="CR66" s="54" t="inlineStr">
        <is>
          <t>Previdência</t>
        </is>
      </c>
      <c r="CS66" s="54" t="inlineStr">
        <is>
          <t>Créd. Privado</t>
        </is>
      </c>
      <c r="CT66" s="54" t="inlineStr">
        <is>
          <t>Tít. Públicos</t>
        </is>
      </c>
      <c r="CU66" s="54" t="inlineStr">
        <is>
          <t>Produção Tot.</t>
        </is>
      </c>
      <c r="CV66" s="54" t="inlineStr">
        <is>
          <t>Obs.</t>
        </is>
      </c>
      <c r="CW66" s="54" t="inlineStr">
        <is>
          <t>Saldo Pulso</t>
        </is>
      </c>
      <c r="CX66" s="54" t="inlineStr">
        <is>
          <t>Saldo Anterior</t>
        </is>
      </c>
      <c r="CY66" s="54" t="inlineStr">
        <is>
          <t>Captação Líq.</t>
        </is>
      </c>
      <c r="CZ66" s="54" t="inlineStr">
        <is>
          <t>COE</t>
        </is>
      </c>
      <c r="DA66" s="54" t="inlineStr">
        <is>
          <t>Previdência</t>
        </is>
      </c>
      <c r="DB66" s="54" t="inlineStr">
        <is>
          <t>Créd. Privado</t>
        </is>
      </c>
      <c r="DC66" s="54" t="inlineStr">
        <is>
          <t>Tít. Públicos</t>
        </is>
      </c>
      <c r="DD66" s="54" t="inlineStr">
        <is>
          <t>Produção Tot.</t>
        </is>
      </c>
      <c r="DE66" s="54" t="inlineStr">
        <is>
          <t>Obs.</t>
        </is>
      </c>
      <c r="DF66" s="54" t="inlineStr">
        <is>
          <t>Saldo Pulso</t>
        </is>
      </c>
      <c r="DG66" s="54" t="inlineStr">
        <is>
          <t>Saldo Anterior</t>
        </is>
      </c>
      <c r="DH66" s="54" t="inlineStr">
        <is>
          <t>Captação Líq.</t>
        </is>
      </c>
      <c r="DI66" s="54" t="inlineStr">
        <is>
          <t>COE</t>
        </is>
      </c>
      <c r="DJ66" s="54" t="inlineStr">
        <is>
          <t>Previdência</t>
        </is>
      </c>
      <c r="DK66" s="54" t="inlineStr">
        <is>
          <t>Créd. Privado</t>
        </is>
      </c>
      <c r="DL66" s="54" t="inlineStr">
        <is>
          <t>Tít. Públicos</t>
        </is>
      </c>
      <c r="DM66" s="54" t="inlineStr">
        <is>
          <t>Produção Tot.</t>
        </is>
      </c>
      <c r="DN66" s="54" t="inlineStr">
        <is>
          <t>Obs.</t>
        </is>
      </c>
      <c r="DO66" s="54" t="inlineStr">
        <is>
          <t>Saldo Pulso</t>
        </is>
      </c>
      <c r="DP66" s="54" t="inlineStr">
        <is>
          <t>Saldo Anterior</t>
        </is>
      </c>
      <c r="DQ66" s="54" t="inlineStr">
        <is>
          <t>Captação Líq.</t>
        </is>
      </c>
      <c r="DR66" s="54" t="inlineStr">
        <is>
          <t>COE</t>
        </is>
      </c>
      <c r="DS66" s="54" t="inlineStr">
        <is>
          <t>Previdência</t>
        </is>
      </c>
      <c r="DT66" s="54" t="inlineStr">
        <is>
          <t>Créd. Privado</t>
        </is>
      </c>
      <c r="DU66" s="54" t="inlineStr">
        <is>
          <t>Tít. Públicos</t>
        </is>
      </c>
      <c r="DV66" s="54" t="inlineStr">
        <is>
          <t>Produção Tot.</t>
        </is>
      </c>
      <c r="DW66" s="54" t="inlineStr">
        <is>
          <t>Obs.</t>
        </is>
      </c>
      <c r="DX66" s="54" t="inlineStr">
        <is>
          <t>Saldo Pulso</t>
        </is>
      </c>
      <c r="DY66" s="54" t="inlineStr">
        <is>
          <t>Saldo Anterior</t>
        </is>
      </c>
      <c r="DZ66" s="54" t="inlineStr">
        <is>
          <t>Captação Líq.</t>
        </is>
      </c>
      <c r="EA66" s="54" t="inlineStr">
        <is>
          <t>COE</t>
        </is>
      </c>
      <c r="EB66" s="54" t="inlineStr">
        <is>
          <t>Previdência</t>
        </is>
      </c>
      <c r="EC66" s="54" t="inlineStr">
        <is>
          <t>Créd. Privado</t>
        </is>
      </c>
      <c r="ED66" s="54" t="inlineStr">
        <is>
          <t>Tít. Públicos</t>
        </is>
      </c>
      <c r="EE66" s="54" t="inlineStr">
        <is>
          <t>Produção Tot.</t>
        </is>
      </c>
      <c r="EF66" s="54" t="inlineStr">
        <is>
          <t>Obs.</t>
        </is>
      </c>
      <c r="EG66" s="54" t="inlineStr">
        <is>
          <t>Saldo Pulso</t>
        </is>
      </c>
      <c r="EH66" s="54" t="inlineStr">
        <is>
          <t>Saldo Anterior</t>
        </is>
      </c>
      <c r="EI66" s="54" t="inlineStr">
        <is>
          <t>Captação Líq.</t>
        </is>
      </c>
      <c r="EJ66" s="54" t="inlineStr">
        <is>
          <t>COE</t>
        </is>
      </c>
      <c r="EK66" s="54" t="inlineStr">
        <is>
          <t>Previdência</t>
        </is>
      </c>
      <c r="EL66" s="54" t="inlineStr">
        <is>
          <t>Créd. Privado</t>
        </is>
      </c>
      <c r="EM66" s="54" t="inlineStr">
        <is>
          <t>Tít. Públicos</t>
        </is>
      </c>
      <c r="EN66" s="54" t="inlineStr">
        <is>
          <t>Produção Tot.</t>
        </is>
      </c>
      <c r="EO66" s="54" t="inlineStr">
        <is>
          <t>Obs.</t>
        </is>
      </c>
      <c r="EP66" s="54" t="inlineStr">
        <is>
          <t>Saldo Pulso</t>
        </is>
      </c>
      <c r="EQ66" s="54" t="inlineStr">
        <is>
          <t>Saldo Anterior</t>
        </is>
      </c>
      <c r="ER66" s="54" t="inlineStr">
        <is>
          <t>Captação Líq.</t>
        </is>
      </c>
      <c r="ES66" s="54" t="inlineStr">
        <is>
          <t>COE</t>
        </is>
      </c>
      <c r="ET66" s="54" t="inlineStr">
        <is>
          <t>Previdência</t>
        </is>
      </c>
      <c r="EU66" s="54" t="inlineStr">
        <is>
          <t>Créd. Privado</t>
        </is>
      </c>
      <c r="EV66" s="54" t="inlineStr">
        <is>
          <t>Tít. Públicos</t>
        </is>
      </c>
      <c r="EW66" s="54" t="inlineStr">
        <is>
          <t>Produção Tot.</t>
        </is>
      </c>
      <c r="EX66" s="54" t="inlineStr">
        <is>
          <t>Obs.</t>
        </is>
      </c>
      <c r="EY66" s="54" t="inlineStr">
        <is>
          <t>Saldo Pulso</t>
        </is>
      </c>
      <c r="EZ66" s="54" t="inlineStr">
        <is>
          <t>Saldo Anterior</t>
        </is>
      </c>
      <c r="FA66" s="54" t="inlineStr">
        <is>
          <t>Captação Líq.</t>
        </is>
      </c>
      <c r="FB66" s="54" t="inlineStr">
        <is>
          <t>COE</t>
        </is>
      </c>
      <c r="FC66" s="54" t="inlineStr">
        <is>
          <t>Previdência</t>
        </is>
      </c>
      <c r="FD66" s="54" t="inlineStr">
        <is>
          <t>Créd. Privado</t>
        </is>
      </c>
      <c r="FE66" s="54" t="inlineStr">
        <is>
          <t>Tít. Públicos</t>
        </is>
      </c>
      <c r="FF66" s="54" t="inlineStr">
        <is>
          <t>Produção Tot.</t>
        </is>
      </c>
      <c r="FG66" s="54" t="inlineStr">
        <is>
          <t>Obs.</t>
        </is>
      </c>
      <c r="FH66" s="54" t="inlineStr">
        <is>
          <t>Saldo Pulso</t>
        </is>
      </c>
      <c r="FI66" s="54" t="inlineStr">
        <is>
          <t>Saldo Anterior</t>
        </is>
      </c>
      <c r="FJ66" s="54" t="inlineStr">
        <is>
          <t>Captação Líq.</t>
        </is>
      </c>
      <c r="FK66" s="54" t="inlineStr">
        <is>
          <t>COE</t>
        </is>
      </c>
      <c r="FL66" s="54" t="inlineStr">
        <is>
          <t>Previdência</t>
        </is>
      </c>
      <c r="FM66" s="54" t="inlineStr">
        <is>
          <t>Créd. Privado</t>
        </is>
      </c>
      <c r="FN66" s="54" t="inlineStr">
        <is>
          <t>Tít. Públicos</t>
        </is>
      </c>
      <c r="FO66" s="54" t="inlineStr">
        <is>
          <t>Produção Tot.</t>
        </is>
      </c>
      <c r="FP66" s="54" t="inlineStr">
        <is>
          <t>Obs.</t>
        </is>
      </c>
      <c r="FQ66" s="54" t="inlineStr">
        <is>
          <t>Saldo Pulso</t>
        </is>
      </c>
      <c r="FR66" s="54" t="inlineStr">
        <is>
          <t>Saldo Anterior</t>
        </is>
      </c>
      <c r="FS66" s="54" t="inlineStr">
        <is>
          <t>Captação Líq.</t>
        </is>
      </c>
      <c r="FT66" s="54" t="inlineStr">
        <is>
          <t>COE</t>
        </is>
      </c>
      <c r="FU66" s="54" t="inlineStr">
        <is>
          <t>Previdência</t>
        </is>
      </c>
      <c r="FV66" s="54" t="inlineStr">
        <is>
          <t>Créd. Privado</t>
        </is>
      </c>
      <c r="FW66" s="54" t="inlineStr">
        <is>
          <t>Tít. Públicos</t>
        </is>
      </c>
      <c r="FX66" s="54" t="inlineStr">
        <is>
          <t>Produção Tot.</t>
        </is>
      </c>
      <c r="FY66" s="54" t="inlineStr">
        <is>
          <t>Obs.</t>
        </is>
      </c>
      <c r="FZ66" s="54" t="inlineStr">
        <is>
          <t>Saldo Pulso</t>
        </is>
      </c>
      <c r="GA66" s="54" t="inlineStr">
        <is>
          <t>Saldo Anterior</t>
        </is>
      </c>
      <c r="GB66" s="54" t="inlineStr">
        <is>
          <t>Captação Líq.</t>
        </is>
      </c>
      <c r="GC66" s="54" t="inlineStr">
        <is>
          <t>COE</t>
        </is>
      </c>
      <c r="GD66" s="54" t="inlineStr">
        <is>
          <t>Previdência</t>
        </is>
      </c>
      <c r="GE66" s="54" t="inlineStr">
        <is>
          <t>Créd. Privado</t>
        </is>
      </c>
      <c r="GF66" s="54" t="inlineStr">
        <is>
          <t>Tít. Públicos</t>
        </is>
      </c>
      <c r="GG66" s="54" t="inlineStr">
        <is>
          <t>Produção Tot.</t>
        </is>
      </c>
      <c r="GH66" s="54" t="inlineStr">
        <is>
          <t>Obs.</t>
        </is>
      </c>
      <c r="GI66" s="54" t="inlineStr">
        <is>
          <t>Saldo Pulso</t>
        </is>
      </c>
      <c r="GJ66" s="54" t="inlineStr">
        <is>
          <t>Saldo Anterior</t>
        </is>
      </c>
      <c r="GK66" s="54" t="inlineStr">
        <is>
          <t>Captação Líq.</t>
        </is>
      </c>
      <c r="GL66" s="54" t="inlineStr">
        <is>
          <t>COE</t>
        </is>
      </c>
      <c r="GM66" s="54" t="inlineStr">
        <is>
          <t>Previdência</t>
        </is>
      </c>
      <c r="GN66" s="54" t="inlineStr">
        <is>
          <t>Créd. Privado</t>
        </is>
      </c>
      <c r="GO66" s="54" t="inlineStr">
        <is>
          <t>Tít. Públicos</t>
        </is>
      </c>
      <c r="GP66" s="54" t="inlineStr">
        <is>
          <t>Produção Tot.</t>
        </is>
      </c>
      <c r="GQ66" s="54" t="inlineStr">
        <is>
          <t>Obs.</t>
        </is>
      </c>
      <c r="GR66" s="54" t="inlineStr">
        <is>
          <t>Saldo Pulso</t>
        </is>
      </c>
      <c r="GS66" s="54" t="inlineStr">
        <is>
          <t>Saldo Anterior</t>
        </is>
      </c>
      <c r="GT66" s="54" t="inlineStr">
        <is>
          <t>Captação Líq.</t>
        </is>
      </c>
      <c r="GU66" s="54" t="inlineStr">
        <is>
          <t>COE</t>
        </is>
      </c>
      <c r="GV66" s="54" t="inlineStr">
        <is>
          <t>Previdência</t>
        </is>
      </c>
      <c r="GW66" s="54" t="inlineStr">
        <is>
          <t>Créd. Privado</t>
        </is>
      </c>
      <c r="GX66" s="54" t="inlineStr">
        <is>
          <t>Tít. Públicos</t>
        </is>
      </c>
      <c r="GY66" s="54" t="inlineStr">
        <is>
          <t>Produção Tot.</t>
        </is>
      </c>
      <c r="GZ66" s="54" t="inlineStr">
        <is>
          <t>Obs.</t>
        </is>
      </c>
      <c r="HA66" s="54" t="inlineStr">
        <is>
          <t>Saldo Pulso</t>
        </is>
      </c>
      <c r="HB66" s="54" t="inlineStr">
        <is>
          <t>Saldo Anterior</t>
        </is>
      </c>
      <c r="HC66" s="54" t="inlineStr">
        <is>
          <t>Captação Líq.</t>
        </is>
      </c>
      <c r="HD66" s="54" t="inlineStr">
        <is>
          <t>COE</t>
        </is>
      </c>
      <c r="HE66" s="54" t="inlineStr">
        <is>
          <t>Previdência</t>
        </is>
      </c>
      <c r="HF66" s="54" t="inlineStr">
        <is>
          <t>Créd. Privado</t>
        </is>
      </c>
      <c r="HG66" s="54" t="inlineStr">
        <is>
          <t>Tít. Públicos</t>
        </is>
      </c>
      <c r="HH66" s="54" t="inlineStr">
        <is>
          <t>Produção Tot.</t>
        </is>
      </c>
      <c r="HI66" s="54" t="inlineStr">
        <is>
          <t>Obs.</t>
        </is>
      </c>
      <c r="HJ66" s="54" t="inlineStr">
        <is>
          <t>Saldo Pulso</t>
        </is>
      </c>
      <c r="HK66" s="54" t="inlineStr">
        <is>
          <t>Saldo Anterior</t>
        </is>
      </c>
      <c r="HL66" s="54" t="inlineStr">
        <is>
          <t>Captação Líq.</t>
        </is>
      </c>
      <c r="HM66" s="54" t="inlineStr">
        <is>
          <t>COE</t>
        </is>
      </c>
      <c r="HN66" s="54" t="inlineStr">
        <is>
          <t>Previdência</t>
        </is>
      </c>
      <c r="HO66" s="54" t="inlineStr">
        <is>
          <t>Créd. Privado</t>
        </is>
      </c>
      <c r="HP66" s="54" t="inlineStr">
        <is>
          <t>Tít. Públicos</t>
        </is>
      </c>
      <c r="HQ66" s="54" t="inlineStr">
        <is>
          <t>Produção Tot.</t>
        </is>
      </c>
      <c r="HR66" s="54" t="inlineStr">
        <is>
          <t>Obs.</t>
        </is>
      </c>
      <c r="HS66" s="54" t="inlineStr">
        <is>
          <t>Saldo Pulso</t>
        </is>
      </c>
      <c r="HT66" s="54" t="inlineStr">
        <is>
          <t>Saldo Anterior</t>
        </is>
      </c>
      <c r="HU66" s="54" t="inlineStr">
        <is>
          <t>Captação Líq.</t>
        </is>
      </c>
      <c r="HV66" s="54" t="inlineStr">
        <is>
          <t>COE</t>
        </is>
      </c>
      <c r="HW66" s="54" t="inlineStr">
        <is>
          <t>Previdência</t>
        </is>
      </c>
      <c r="HX66" s="54" t="inlineStr">
        <is>
          <t>Créd. Privado</t>
        </is>
      </c>
      <c r="HY66" s="54" t="inlineStr">
        <is>
          <t>Tít. Públicos</t>
        </is>
      </c>
      <c r="HZ66" s="54" t="inlineStr">
        <is>
          <t>Produção Tot.</t>
        </is>
      </c>
      <c r="IA66" s="54" t="inlineStr">
        <is>
          <t>Obs.</t>
        </is>
      </c>
      <c r="IB66" s="54" t="inlineStr">
        <is>
          <t>Saldo Pulso</t>
        </is>
      </c>
      <c r="IC66" s="54" t="inlineStr">
        <is>
          <t>Saldo Anterior</t>
        </is>
      </c>
      <c r="ID66" s="54" t="inlineStr">
        <is>
          <t>Captação Líq.</t>
        </is>
      </c>
      <c r="IE66" s="54" t="inlineStr">
        <is>
          <t>COE</t>
        </is>
      </c>
      <c r="IF66" s="54" t="inlineStr">
        <is>
          <t>Previdência</t>
        </is>
      </c>
      <c r="IG66" s="54" t="inlineStr">
        <is>
          <t>Créd. Privado</t>
        </is>
      </c>
      <c r="IH66" s="54" t="inlineStr">
        <is>
          <t>Tít. Públicos</t>
        </is>
      </c>
      <c r="II66" s="54" t="inlineStr">
        <is>
          <t>Produção Tot.</t>
        </is>
      </c>
      <c r="IJ66" s="54" t="inlineStr">
        <is>
          <t>Obs.</t>
        </is>
      </c>
      <c r="IK66" s="54" t="inlineStr">
        <is>
          <t>Saldo Pulso</t>
        </is>
      </c>
      <c r="IL66" s="54" t="inlineStr">
        <is>
          <t>Saldo Anterior</t>
        </is>
      </c>
      <c r="IM66" s="54" t="inlineStr">
        <is>
          <t>Captação Líq.</t>
        </is>
      </c>
      <c r="IN66" s="54" t="inlineStr">
        <is>
          <t>COE</t>
        </is>
      </c>
      <c r="IO66" s="54" t="inlineStr">
        <is>
          <t>Previdência</t>
        </is>
      </c>
      <c r="IP66" s="54" t="inlineStr">
        <is>
          <t>Créd. Privado</t>
        </is>
      </c>
      <c r="IQ66" s="54" t="inlineStr">
        <is>
          <t>Tít. Públicos</t>
        </is>
      </c>
      <c r="IR66" s="54" t="inlineStr">
        <is>
          <t>Produção Tot.</t>
        </is>
      </c>
      <c r="IS66" s="54" t="inlineStr">
        <is>
          <t>Obs.</t>
        </is>
      </c>
      <c r="IT66" s="54" t="inlineStr">
        <is>
          <t>Saldo Pulso</t>
        </is>
      </c>
      <c r="IU66" s="54" t="inlineStr">
        <is>
          <t>Saldo Anterior</t>
        </is>
      </c>
      <c r="IV66" s="54" t="inlineStr">
        <is>
          <t>Captação Líq.</t>
        </is>
      </c>
      <c r="IW66" s="54" t="inlineStr">
        <is>
          <t>COE</t>
        </is>
      </c>
      <c r="IX66" s="54" t="inlineStr">
        <is>
          <t>Previdência</t>
        </is>
      </c>
      <c r="IY66" s="54" t="inlineStr">
        <is>
          <t>Créd. Privado</t>
        </is>
      </c>
      <c r="IZ66" s="54" t="inlineStr">
        <is>
          <t>Tít. Públicos</t>
        </is>
      </c>
      <c r="JA66" s="54" t="inlineStr">
        <is>
          <t>Produção Tot.</t>
        </is>
      </c>
      <c r="JB66" s="54" t="inlineStr">
        <is>
          <t>Obs.</t>
        </is>
      </c>
      <c r="JC66" s="54" t="inlineStr">
        <is>
          <t>Saldo Pulso</t>
        </is>
      </c>
      <c r="JD66" s="54" t="inlineStr">
        <is>
          <t>Saldo Anterior</t>
        </is>
      </c>
      <c r="JE66" s="54" t="inlineStr">
        <is>
          <t>Captação Líq.</t>
        </is>
      </c>
      <c r="JF66" s="54" t="inlineStr">
        <is>
          <t>COE</t>
        </is>
      </c>
      <c r="JG66" s="54" t="inlineStr">
        <is>
          <t>Previdência</t>
        </is>
      </c>
      <c r="JH66" s="54" t="inlineStr">
        <is>
          <t>Créd. Privado</t>
        </is>
      </c>
      <c r="JI66" s="54" t="inlineStr">
        <is>
          <t>Tít. Públicos</t>
        </is>
      </c>
      <c r="JJ66" s="54" t="inlineStr">
        <is>
          <t>Produção Tot.</t>
        </is>
      </c>
      <c r="JK66" s="54" t="inlineStr">
        <is>
          <t>Obs.</t>
        </is>
      </c>
      <c r="JL66" s="54" t="inlineStr">
        <is>
          <t>Saldo Pulso</t>
        </is>
      </c>
      <c r="JM66" s="54" t="inlineStr">
        <is>
          <t>Saldo Anterior</t>
        </is>
      </c>
      <c r="JN66" s="54" t="inlineStr">
        <is>
          <t>Captação Líq.</t>
        </is>
      </c>
      <c r="JO66" s="54" t="inlineStr">
        <is>
          <t>COE</t>
        </is>
      </c>
      <c r="JP66" s="54" t="inlineStr">
        <is>
          <t>Previdência</t>
        </is>
      </c>
      <c r="JQ66" s="54" t="inlineStr">
        <is>
          <t>Créd. Privado</t>
        </is>
      </c>
      <c r="JR66" s="54" t="inlineStr">
        <is>
          <t>Tít. Públicos</t>
        </is>
      </c>
      <c r="JS66" s="54" t="inlineStr">
        <is>
          <t>Produção Tot.</t>
        </is>
      </c>
      <c r="JT66" s="54" t="inlineStr">
        <is>
          <t>Obs.</t>
        </is>
      </c>
      <c r="JU66" s="55" t="n"/>
      <c r="JV66" s="55" t="n"/>
      <c r="JW66" s="55" t="n"/>
      <c r="JX66" s="55" t="n"/>
      <c r="JY66" s="55" t="n"/>
      <c r="JZ66" s="55" t="n"/>
      <c r="KA66" s="55" t="n"/>
    </row>
    <row r="67" ht="20" customHeight="1">
      <c r="A67" s="56">
        <f>IF(Configurações!$B$7="","Assessor 1",Configurações!$B$7)</f>
        <v/>
      </c>
      <c r="B67" s="57" t="n"/>
      <c r="C67" s="58">
        <f>'Maio'!$JW67</f>
        <v/>
      </c>
      <c r="D67" s="59" t="n"/>
      <c r="E67" s="57" t="n"/>
      <c r="F67" s="57" t="n"/>
      <c r="G67" s="57" t="n"/>
      <c r="H67" s="57" t="n"/>
      <c r="I67" s="60">
        <f>SUM(E67:H67)</f>
        <v/>
      </c>
      <c r="J67" s="61" t="n"/>
      <c r="K67" s="57" t="n"/>
      <c r="L67" s="58">
        <f>B67</f>
        <v/>
      </c>
      <c r="M67" s="59" t="n"/>
      <c r="N67" s="57" t="n"/>
      <c r="O67" s="57" t="n"/>
      <c r="P67" s="57" t="n"/>
      <c r="Q67" s="57" t="n"/>
      <c r="R67" s="60">
        <f>SUM(N67:Q67)</f>
        <v/>
      </c>
      <c r="S67" s="61" t="n"/>
      <c r="T67" s="57" t="n"/>
      <c r="U67" s="58">
        <f>K67</f>
        <v/>
      </c>
      <c r="V67" s="59" t="n"/>
      <c r="W67" s="57" t="n"/>
      <c r="X67" s="57" t="n"/>
      <c r="Y67" s="57" t="n"/>
      <c r="Z67" s="57" t="n"/>
      <c r="AA67" s="60">
        <f>SUM(W67:Z67)</f>
        <v/>
      </c>
      <c r="AB67" s="61" t="n"/>
      <c r="AC67" s="57" t="n"/>
      <c r="AD67" s="58">
        <f>T67</f>
        <v/>
      </c>
      <c r="AE67" s="59" t="n"/>
      <c r="AF67" s="57" t="n"/>
      <c r="AG67" s="57" t="n"/>
      <c r="AH67" s="57" t="n"/>
      <c r="AI67" s="57" t="n"/>
      <c r="AJ67" s="60">
        <f>SUM(AF67:AI67)</f>
        <v/>
      </c>
      <c r="AK67" s="61" t="n"/>
      <c r="AL67" s="57" t="n"/>
      <c r="AM67" s="58">
        <f>AC67</f>
        <v/>
      </c>
      <c r="AN67" s="59" t="n"/>
      <c r="AO67" s="57" t="n"/>
      <c r="AP67" s="57" t="n"/>
      <c r="AQ67" s="57" t="n"/>
      <c r="AR67" s="57" t="n"/>
      <c r="AS67" s="60">
        <f>SUM(AO67:AR67)</f>
        <v/>
      </c>
      <c r="AT67" s="61" t="n"/>
      <c r="AU67" s="57" t="n"/>
      <c r="AV67" s="58">
        <f>AL67</f>
        <v/>
      </c>
      <c r="AW67" s="59" t="n"/>
      <c r="AX67" s="57" t="n"/>
      <c r="AY67" s="57" t="n"/>
      <c r="AZ67" s="57" t="n"/>
      <c r="BA67" s="57" t="n"/>
      <c r="BB67" s="60">
        <f>SUM(AX67:BA67)</f>
        <v/>
      </c>
      <c r="BC67" s="61" t="n"/>
      <c r="BD67" s="57" t="n"/>
      <c r="BE67" s="58">
        <f>AU67</f>
        <v/>
      </c>
      <c r="BF67" s="59" t="n"/>
      <c r="BG67" s="57" t="n"/>
      <c r="BH67" s="57" t="n"/>
      <c r="BI67" s="57" t="n"/>
      <c r="BJ67" s="57" t="n"/>
      <c r="BK67" s="60">
        <f>SUM(BG67:BJ67)</f>
        <v/>
      </c>
      <c r="BL67" s="61" t="n"/>
      <c r="BM67" s="57" t="n"/>
      <c r="BN67" s="58">
        <f>BD67</f>
        <v/>
      </c>
      <c r="BO67" s="59" t="n"/>
      <c r="BP67" s="57" t="n"/>
      <c r="BQ67" s="57" t="n"/>
      <c r="BR67" s="57" t="n"/>
      <c r="BS67" s="57" t="n"/>
      <c r="BT67" s="60">
        <f>SUM(BP67:BS67)</f>
        <v/>
      </c>
      <c r="BU67" s="61" t="n"/>
      <c r="BV67" s="57" t="n"/>
      <c r="BW67" s="58">
        <f>BM67</f>
        <v/>
      </c>
      <c r="BX67" s="59" t="n"/>
      <c r="BY67" s="57" t="n"/>
      <c r="BZ67" s="57" t="n"/>
      <c r="CA67" s="57" t="n"/>
      <c r="CB67" s="57" t="n"/>
      <c r="CC67" s="60">
        <f>SUM(BY67:CB67)</f>
        <v/>
      </c>
      <c r="CD67" s="61" t="n"/>
      <c r="CE67" s="57" t="n"/>
      <c r="CF67" s="58">
        <f>BV67</f>
        <v/>
      </c>
      <c r="CG67" s="59" t="n"/>
      <c r="CH67" s="57" t="n"/>
      <c r="CI67" s="57" t="n"/>
      <c r="CJ67" s="57" t="n"/>
      <c r="CK67" s="57" t="n"/>
      <c r="CL67" s="60">
        <f>SUM(CH67:CK67)</f>
        <v/>
      </c>
      <c r="CM67" s="61" t="n"/>
      <c r="CN67" s="57" t="n"/>
      <c r="CO67" s="58">
        <f>CE67</f>
        <v/>
      </c>
      <c r="CP67" s="59" t="n"/>
      <c r="CQ67" s="57" t="n"/>
      <c r="CR67" s="57" t="n"/>
      <c r="CS67" s="57" t="n"/>
      <c r="CT67" s="57" t="n"/>
      <c r="CU67" s="60">
        <f>SUM(CQ67:CT67)</f>
        <v/>
      </c>
      <c r="CV67" s="61" t="n"/>
      <c r="CW67" s="57" t="n"/>
      <c r="CX67" s="58">
        <f>CN67</f>
        <v/>
      </c>
      <c r="CY67" s="59" t="n"/>
      <c r="CZ67" s="57" t="n"/>
      <c r="DA67" s="57" t="n"/>
      <c r="DB67" s="57" t="n"/>
      <c r="DC67" s="57" t="n"/>
      <c r="DD67" s="60">
        <f>SUM(CZ67:DC67)</f>
        <v/>
      </c>
      <c r="DE67" s="61" t="n"/>
      <c r="DF67" s="57" t="n"/>
      <c r="DG67" s="58">
        <f>CW67</f>
        <v/>
      </c>
      <c r="DH67" s="59" t="n"/>
      <c r="DI67" s="57" t="n"/>
      <c r="DJ67" s="57" t="n"/>
      <c r="DK67" s="57" t="n"/>
      <c r="DL67" s="57" t="n"/>
      <c r="DM67" s="60">
        <f>SUM(DI67:DL67)</f>
        <v/>
      </c>
      <c r="DN67" s="61" t="n"/>
      <c r="DO67" s="57" t="n"/>
      <c r="DP67" s="58">
        <f>DF67</f>
        <v/>
      </c>
      <c r="DQ67" s="59" t="n"/>
      <c r="DR67" s="57" t="n"/>
      <c r="DS67" s="57" t="n"/>
      <c r="DT67" s="57" t="n"/>
      <c r="DU67" s="57" t="n"/>
      <c r="DV67" s="60">
        <f>SUM(DR67:DU67)</f>
        <v/>
      </c>
      <c r="DW67" s="61" t="n"/>
      <c r="DX67" s="57" t="n"/>
      <c r="DY67" s="58">
        <f>DO67</f>
        <v/>
      </c>
      <c r="DZ67" s="59" t="n"/>
      <c r="EA67" s="57" t="n"/>
      <c r="EB67" s="57" t="n"/>
      <c r="EC67" s="57" t="n"/>
      <c r="ED67" s="57" t="n"/>
      <c r="EE67" s="60">
        <f>SUM(EA67:ED67)</f>
        <v/>
      </c>
      <c r="EF67" s="61" t="n"/>
      <c r="EG67" s="57" t="n"/>
      <c r="EH67" s="58">
        <f>DX67</f>
        <v/>
      </c>
      <c r="EI67" s="59" t="n"/>
      <c r="EJ67" s="57" t="n"/>
      <c r="EK67" s="57" t="n"/>
      <c r="EL67" s="57" t="n"/>
      <c r="EM67" s="57" t="n"/>
      <c r="EN67" s="60">
        <f>SUM(EJ67:EM67)</f>
        <v/>
      </c>
      <c r="EO67" s="61" t="n"/>
      <c r="EP67" s="57" t="n"/>
      <c r="EQ67" s="58">
        <f>EG67</f>
        <v/>
      </c>
      <c r="ER67" s="59" t="n"/>
      <c r="ES67" s="57" t="n"/>
      <c r="ET67" s="57" t="n"/>
      <c r="EU67" s="57" t="n"/>
      <c r="EV67" s="57" t="n"/>
      <c r="EW67" s="60">
        <f>SUM(ES67:EV67)</f>
        <v/>
      </c>
      <c r="EX67" s="61" t="n"/>
      <c r="EY67" s="57" t="n"/>
      <c r="EZ67" s="58">
        <f>EP67</f>
        <v/>
      </c>
      <c r="FA67" s="59" t="n"/>
      <c r="FB67" s="57" t="n"/>
      <c r="FC67" s="57" t="n"/>
      <c r="FD67" s="57" t="n"/>
      <c r="FE67" s="57" t="n"/>
      <c r="FF67" s="60">
        <f>SUM(FB67:FE67)</f>
        <v/>
      </c>
      <c r="FG67" s="61" t="n"/>
      <c r="FH67" s="57" t="n"/>
      <c r="FI67" s="58">
        <f>EY67</f>
        <v/>
      </c>
      <c r="FJ67" s="59" t="n"/>
      <c r="FK67" s="57" t="n"/>
      <c r="FL67" s="57" t="n"/>
      <c r="FM67" s="57" t="n"/>
      <c r="FN67" s="57" t="n"/>
      <c r="FO67" s="60">
        <f>SUM(FK67:FN67)</f>
        <v/>
      </c>
      <c r="FP67" s="61" t="n"/>
      <c r="FQ67" s="57" t="n"/>
      <c r="FR67" s="58">
        <f>FH67</f>
        <v/>
      </c>
      <c r="FS67" s="59" t="n"/>
      <c r="FT67" s="57" t="n"/>
      <c r="FU67" s="57" t="n"/>
      <c r="FV67" s="57" t="n"/>
      <c r="FW67" s="57" t="n"/>
      <c r="FX67" s="60">
        <f>SUM(FT67:FW67)</f>
        <v/>
      </c>
      <c r="FY67" s="61" t="n"/>
      <c r="FZ67" s="57" t="n"/>
      <c r="GA67" s="58">
        <f>FQ67</f>
        <v/>
      </c>
      <c r="GB67" s="59" t="n"/>
      <c r="GC67" s="57" t="n"/>
      <c r="GD67" s="57" t="n"/>
      <c r="GE67" s="57" t="n"/>
      <c r="GF67" s="57" t="n"/>
      <c r="GG67" s="60">
        <f>SUM(GC67:GF67)</f>
        <v/>
      </c>
      <c r="GH67" s="61" t="n"/>
      <c r="GI67" s="57" t="n"/>
      <c r="GJ67" s="58">
        <f>FZ67</f>
        <v/>
      </c>
      <c r="GK67" s="59" t="n"/>
      <c r="GL67" s="57" t="n"/>
      <c r="GM67" s="57" t="n"/>
      <c r="GN67" s="57" t="n"/>
      <c r="GO67" s="57" t="n"/>
      <c r="GP67" s="60">
        <f>SUM(GL67:GO67)</f>
        <v/>
      </c>
      <c r="GQ67" s="61" t="n"/>
      <c r="GR67" s="57" t="n"/>
      <c r="GS67" s="58">
        <f>GI67</f>
        <v/>
      </c>
      <c r="GT67" s="59" t="n"/>
      <c r="GU67" s="57" t="n"/>
      <c r="GV67" s="57" t="n"/>
      <c r="GW67" s="57" t="n"/>
      <c r="GX67" s="57" t="n"/>
      <c r="GY67" s="60">
        <f>SUM(GU67:GX67)</f>
        <v/>
      </c>
      <c r="GZ67" s="61" t="n"/>
      <c r="HA67" s="57" t="n"/>
      <c r="HB67" s="58">
        <f>GR67</f>
        <v/>
      </c>
      <c r="HC67" s="59" t="n"/>
      <c r="HD67" s="57" t="n"/>
      <c r="HE67" s="57" t="n"/>
      <c r="HF67" s="57" t="n"/>
      <c r="HG67" s="57" t="n"/>
      <c r="HH67" s="60">
        <f>SUM(HD67:HG67)</f>
        <v/>
      </c>
      <c r="HI67" s="61" t="n"/>
      <c r="HJ67" s="57" t="n"/>
      <c r="HK67" s="58">
        <f>HA67</f>
        <v/>
      </c>
      <c r="HL67" s="59" t="n"/>
      <c r="HM67" s="57" t="n"/>
      <c r="HN67" s="57" t="n"/>
      <c r="HO67" s="57" t="n"/>
      <c r="HP67" s="57" t="n"/>
      <c r="HQ67" s="60">
        <f>SUM(HM67:HP67)</f>
        <v/>
      </c>
      <c r="HR67" s="61" t="n"/>
      <c r="HS67" s="57" t="n"/>
      <c r="HT67" s="58">
        <f>HJ67</f>
        <v/>
      </c>
      <c r="HU67" s="59" t="n"/>
      <c r="HV67" s="57" t="n"/>
      <c r="HW67" s="57" t="n"/>
      <c r="HX67" s="57" t="n"/>
      <c r="HY67" s="57" t="n"/>
      <c r="HZ67" s="60">
        <f>SUM(HV67:HY67)</f>
        <v/>
      </c>
      <c r="IA67" s="61" t="n"/>
      <c r="IB67" s="57" t="n"/>
      <c r="IC67" s="58">
        <f>HS67</f>
        <v/>
      </c>
      <c r="ID67" s="59" t="n"/>
      <c r="IE67" s="57" t="n"/>
      <c r="IF67" s="57" t="n"/>
      <c r="IG67" s="57" t="n"/>
      <c r="IH67" s="57" t="n"/>
      <c r="II67" s="60">
        <f>SUM(IE67:IH67)</f>
        <v/>
      </c>
      <c r="IJ67" s="61" t="n"/>
      <c r="IK67" s="57" t="n"/>
      <c r="IL67" s="58">
        <f>IB67</f>
        <v/>
      </c>
      <c r="IM67" s="59" t="n"/>
      <c r="IN67" s="57" t="n"/>
      <c r="IO67" s="57" t="n"/>
      <c r="IP67" s="57" t="n"/>
      <c r="IQ67" s="57" t="n"/>
      <c r="IR67" s="60">
        <f>SUM(IN67:IQ67)</f>
        <v/>
      </c>
      <c r="IS67" s="61" t="n"/>
      <c r="IT67" s="57" t="n"/>
      <c r="IU67" s="58">
        <f>IK67</f>
        <v/>
      </c>
      <c r="IV67" s="59" t="n"/>
      <c r="IW67" s="57" t="n"/>
      <c r="IX67" s="57" t="n"/>
      <c r="IY67" s="57" t="n"/>
      <c r="IZ67" s="57" t="n"/>
      <c r="JA67" s="60">
        <f>SUM(IW67:IZ67)</f>
        <v/>
      </c>
      <c r="JB67" s="61" t="n"/>
      <c r="JC67" s="57" t="n"/>
      <c r="JD67" s="58">
        <f>IT67</f>
        <v/>
      </c>
      <c r="JE67" s="59" t="n"/>
      <c r="JF67" s="57" t="n"/>
      <c r="JG67" s="57" t="n"/>
      <c r="JH67" s="57" t="n"/>
      <c r="JI67" s="57" t="n"/>
      <c r="JJ67" s="60">
        <f>SUM(JF67:JI67)</f>
        <v/>
      </c>
      <c r="JK67" s="61" t="n"/>
      <c r="JL67" s="57" t="n"/>
      <c r="JM67" s="58">
        <f>JC67</f>
        <v/>
      </c>
      <c r="JN67" s="59" t="n"/>
      <c r="JO67" s="57" t="n"/>
      <c r="JP67" s="57" t="n"/>
      <c r="JQ67" s="57" t="n"/>
      <c r="JR67" s="57" t="n"/>
      <c r="JS67" s="60">
        <f>SUM(JO67:JR67)</f>
        <v/>
      </c>
      <c r="JT67" s="61" t="n"/>
      <c r="JU67" s="62">
        <f>I67+R67+AA67+AJ67+AS67+BB67+BK67+BT67+CC67+CL67+CU67+DD67+DM67+DV67+EE67+EN67+EW67+FF67+FO67+FX67+GG67+GP67+GY67+HH67+HQ67+HZ67+II67+IR67+JA67+JJ67+JS67</f>
        <v/>
      </c>
      <c r="JV67" s="63">
        <f>D67+M67+V67+AE67+AN67+AW67+BF67+BO67+BX67+CG67+CP67+CY67+DH67+DQ67+DZ67+EI67+ER67+FA67+FJ67+FS67+GB67+GK67+GT67+HC67+HL67+HU67+ID67+IM67+IV67+JE67+JN67</f>
        <v/>
      </c>
      <c r="JW67" s="62">
        <f>CHOOSE($Z$3,B67, K67, T67, AC67, AL67, AU67, BD67, BM67, BV67, CE67, CN67, CW67, DF67, DO67, DX67, EG67, EP67, EY67, FH67, FQ67, FZ67, GI67, GR67, HA67, HJ67, HS67, IB67, IK67, IT67, JC67, JL67)</f>
        <v/>
      </c>
      <c r="JX67" s="62">
        <f>IFERROR(JU67/$Z$3,0)</f>
        <v/>
      </c>
      <c r="JY67" s="62">
        <f>Configurações!$C$7</f>
        <v/>
      </c>
      <c r="JZ67" s="64">
        <f>IF(JY67=0,"— Sem meta",IF(JU67&gt;=JY67,"✓ Atingida","Em andamento"))</f>
        <v/>
      </c>
      <c r="KA67" s="65">
        <f>JU67+(13*0.0000001)</f>
        <v/>
      </c>
    </row>
    <row r="68" ht="20" customHeight="1">
      <c r="A68" s="56">
        <f>IF(Configurações!$B$8="","Assessor 2",Configurações!$B$8)</f>
        <v/>
      </c>
      <c r="B68" s="57" t="n"/>
      <c r="C68" s="66">
        <f>'Maio'!$JW68</f>
        <v/>
      </c>
      <c r="D68" s="59" t="n"/>
      <c r="E68" s="57" t="n"/>
      <c r="F68" s="57" t="n"/>
      <c r="G68" s="57" t="n"/>
      <c r="H68" s="57" t="n"/>
      <c r="I68" s="67">
        <f>SUM(E68:H68)</f>
        <v/>
      </c>
      <c r="J68" s="61" t="n"/>
      <c r="K68" s="57" t="n"/>
      <c r="L68" s="66">
        <f>B68</f>
        <v/>
      </c>
      <c r="M68" s="59" t="n"/>
      <c r="N68" s="57" t="n"/>
      <c r="O68" s="57" t="n"/>
      <c r="P68" s="57" t="n"/>
      <c r="Q68" s="57" t="n"/>
      <c r="R68" s="67">
        <f>SUM(N68:Q68)</f>
        <v/>
      </c>
      <c r="S68" s="61" t="n"/>
      <c r="T68" s="57" t="n"/>
      <c r="U68" s="66">
        <f>K68</f>
        <v/>
      </c>
      <c r="V68" s="59" t="n"/>
      <c r="W68" s="57" t="n"/>
      <c r="X68" s="57" t="n"/>
      <c r="Y68" s="57" t="n"/>
      <c r="Z68" s="57" t="n"/>
      <c r="AA68" s="67">
        <f>SUM(W68:Z68)</f>
        <v/>
      </c>
      <c r="AB68" s="61" t="n"/>
      <c r="AC68" s="57" t="n"/>
      <c r="AD68" s="66">
        <f>T68</f>
        <v/>
      </c>
      <c r="AE68" s="59" t="n"/>
      <c r="AF68" s="57" t="n"/>
      <c r="AG68" s="57" t="n"/>
      <c r="AH68" s="57" t="n"/>
      <c r="AI68" s="57" t="n"/>
      <c r="AJ68" s="67">
        <f>SUM(AF68:AI68)</f>
        <v/>
      </c>
      <c r="AK68" s="61" t="n"/>
      <c r="AL68" s="57" t="n"/>
      <c r="AM68" s="66">
        <f>AC68</f>
        <v/>
      </c>
      <c r="AN68" s="59" t="n"/>
      <c r="AO68" s="57" t="n"/>
      <c r="AP68" s="57" t="n"/>
      <c r="AQ68" s="57" t="n"/>
      <c r="AR68" s="57" t="n"/>
      <c r="AS68" s="67">
        <f>SUM(AO68:AR68)</f>
        <v/>
      </c>
      <c r="AT68" s="61" t="n"/>
      <c r="AU68" s="57" t="n"/>
      <c r="AV68" s="66">
        <f>AL68</f>
        <v/>
      </c>
      <c r="AW68" s="59" t="n"/>
      <c r="AX68" s="57" t="n"/>
      <c r="AY68" s="57" t="n"/>
      <c r="AZ68" s="57" t="n"/>
      <c r="BA68" s="57" t="n"/>
      <c r="BB68" s="67">
        <f>SUM(AX68:BA68)</f>
        <v/>
      </c>
      <c r="BC68" s="61" t="n"/>
      <c r="BD68" s="57" t="n"/>
      <c r="BE68" s="66">
        <f>AU68</f>
        <v/>
      </c>
      <c r="BF68" s="59" t="n"/>
      <c r="BG68" s="57" t="n"/>
      <c r="BH68" s="57" t="n"/>
      <c r="BI68" s="57" t="n"/>
      <c r="BJ68" s="57" t="n"/>
      <c r="BK68" s="67">
        <f>SUM(BG68:BJ68)</f>
        <v/>
      </c>
      <c r="BL68" s="61" t="n"/>
      <c r="BM68" s="57" t="n"/>
      <c r="BN68" s="66">
        <f>BD68</f>
        <v/>
      </c>
      <c r="BO68" s="59" t="n"/>
      <c r="BP68" s="57" t="n"/>
      <c r="BQ68" s="57" t="n"/>
      <c r="BR68" s="57" t="n"/>
      <c r="BS68" s="57" t="n"/>
      <c r="BT68" s="67">
        <f>SUM(BP68:BS68)</f>
        <v/>
      </c>
      <c r="BU68" s="61" t="n"/>
      <c r="BV68" s="57" t="n"/>
      <c r="BW68" s="66">
        <f>BM68</f>
        <v/>
      </c>
      <c r="BX68" s="59" t="n"/>
      <c r="BY68" s="57" t="n"/>
      <c r="BZ68" s="57" t="n"/>
      <c r="CA68" s="57" t="n"/>
      <c r="CB68" s="57" t="n"/>
      <c r="CC68" s="67">
        <f>SUM(BY68:CB68)</f>
        <v/>
      </c>
      <c r="CD68" s="61" t="n"/>
      <c r="CE68" s="57" t="n"/>
      <c r="CF68" s="66">
        <f>BV68</f>
        <v/>
      </c>
      <c r="CG68" s="59" t="n"/>
      <c r="CH68" s="57" t="n"/>
      <c r="CI68" s="57" t="n"/>
      <c r="CJ68" s="57" t="n"/>
      <c r="CK68" s="57" t="n"/>
      <c r="CL68" s="67">
        <f>SUM(CH68:CK68)</f>
        <v/>
      </c>
      <c r="CM68" s="61" t="n"/>
      <c r="CN68" s="57" t="n"/>
      <c r="CO68" s="66">
        <f>CE68</f>
        <v/>
      </c>
      <c r="CP68" s="59" t="n"/>
      <c r="CQ68" s="57" t="n"/>
      <c r="CR68" s="57" t="n"/>
      <c r="CS68" s="57" t="n"/>
      <c r="CT68" s="57" t="n"/>
      <c r="CU68" s="67">
        <f>SUM(CQ68:CT68)</f>
        <v/>
      </c>
      <c r="CV68" s="61" t="n"/>
      <c r="CW68" s="57" t="n"/>
      <c r="CX68" s="66">
        <f>CN68</f>
        <v/>
      </c>
      <c r="CY68" s="59" t="n"/>
      <c r="CZ68" s="57" t="n"/>
      <c r="DA68" s="57" t="n"/>
      <c r="DB68" s="57" t="n"/>
      <c r="DC68" s="57" t="n"/>
      <c r="DD68" s="67">
        <f>SUM(CZ68:DC68)</f>
        <v/>
      </c>
      <c r="DE68" s="61" t="n"/>
      <c r="DF68" s="57" t="n"/>
      <c r="DG68" s="66">
        <f>CW68</f>
        <v/>
      </c>
      <c r="DH68" s="59" t="n"/>
      <c r="DI68" s="57" t="n"/>
      <c r="DJ68" s="57" t="n"/>
      <c r="DK68" s="57" t="n"/>
      <c r="DL68" s="57" t="n"/>
      <c r="DM68" s="67">
        <f>SUM(DI68:DL68)</f>
        <v/>
      </c>
      <c r="DN68" s="61" t="n"/>
      <c r="DO68" s="57" t="n"/>
      <c r="DP68" s="66">
        <f>DF68</f>
        <v/>
      </c>
      <c r="DQ68" s="59" t="n"/>
      <c r="DR68" s="57" t="n"/>
      <c r="DS68" s="57" t="n"/>
      <c r="DT68" s="57" t="n"/>
      <c r="DU68" s="57" t="n"/>
      <c r="DV68" s="67">
        <f>SUM(DR68:DU68)</f>
        <v/>
      </c>
      <c r="DW68" s="61" t="n"/>
      <c r="DX68" s="57" t="n"/>
      <c r="DY68" s="66">
        <f>DO68</f>
        <v/>
      </c>
      <c r="DZ68" s="59" t="n"/>
      <c r="EA68" s="57" t="n"/>
      <c r="EB68" s="57" t="n"/>
      <c r="EC68" s="57" t="n"/>
      <c r="ED68" s="57" t="n"/>
      <c r="EE68" s="67">
        <f>SUM(EA68:ED68)</f>
        <v/>
      </c>
      <c r="EF68" s="61" t="n"/>
      <c r="EG68" s="57" t="n"/>
      <c r="EH68" s="66">
        <f>DX68</f>
        <v/>
      </c>
      <c r="EI68" s="59" t="n"/>
      <c r="EJ68" s="57" t="n"/>
      <c r="EK68" s="57" t="n"/>
      <c r="EL68" s="57" t="n"/>
      <c r="EM68" s="57" t="n"/>
      <c r="EN68" s="67">
        <f>SUM(EJ68:EM68)</f>
        <v/>
      </c>
      <c r="EO68" s="61" t="n"/>
      <c r="EP68" s="57" t="n"/>
      <c r="EQ68" s="66">
        <f>EG68</f>
        <v/>
      </c>
      <c r="ER68" s="59" t="n"/>
      <c r="ES68" s="57" t="n"/>
      <c r="ET68" s="57" t="n"/>
      <c r="EU68" s="57" t="n"/>
      <c r="EV68" s="57" t="n"/>
      <c r="EW68" s="67">
        <f>SUM(ES68:EV68)</f>
        <v/>
      </c>
      <c r="EX68" s="61" t="n"/>
      <c r="EY68" s="57" t="n"/>
      <c r="EZ68" s="66">
        <f>EP68</f>
        <v/>
      </c>
      <c r="FA68" s="59" t="n"/>
      <c r="FB68" s="57" t="n"/>
      <c r="FC68" s="57" t="n"/>
      <c r="FD68" s="57" t="n"/>
      <c r="FE68" s="57" t="n"/>
      <c r="FF68" s="67">
        <f>SUM(FB68:FE68)</f>
        <v/>
      </c>
      <c r="FG68" s="61" t="n"/>
      <c r="FH68" s="57" t="n"/>
      <c r="FI68" s="66">
        <f>EY68</f>
        <v/>
      </c>
      <c r="FJ68" s="59" t="n"/>
      <c r="FK68" s="57" t="n"/>
      <c r="FL68" s="57" t="n"/>
      <c r="FM68" s="57" t="n"/>
      <c r="FN68" s="57" t="n"/>
      <c r="FO68" s="67">
        <f>SUM(FK68:FN68)</f>
        <v/>
      </c>
      <c r="FP68" s="61" t="n"/>
      <c r="FQ68" s="57" t="n"/>
      <c r="FR68" s="66">
        <f>FH68</f>
        <v/>
      </c>
      <c r="FS68" s="59" t="n"/>
      <c r="FT68" s="57" t="n"/>
      <c r="FU68" s="57" t="n"/>
      <c r="FV68" s="57" t="n"/>
      <c r="FW68" s="57" t="n"/>
      <c r="FX68" s="67">
        <f>SUM(FT68:FW68)</f>
        <v/>
      </c>
      <c r="FY68" s="61" t="n"/>
      <c r="FZ68" s="57" t="n"/>
      <c r="GA68" s="66">
        <f>FQ68</f>
        <v/>
      </c>
      <c r="GB68" s="59" t="n"/>
      <c r="GC68" s="57" t="n"/>
      <c r="GD68" s="57" t="n"/>
      <c r="GE68" s="57" t="n"/>
      <c r="GF68" s="57" t="n"/>
      <c r="GG68" s="67">
        <f>SUM(GC68:GF68)</f>
        <v/>
      </c>
      <c r="GH68" s="61" t="n"/>
      <c r="GI68" s="57" t="n"/>
      <c r="GJ68" s="66">
        <f>FZ68</f>
        <v/>
      </c>
      <c r="GK68" s="59" t="n"/>
      <c r="GL68" s="57" t="n"/>
      <c r="GM68" s="57" t="n"/>
      <c r="GN68" s="57" t="n"/>
      <c r="GO68" s="57" t="n"/>
      <c r="GP68" s="67">
        <f>SUM(GL68:GO68)</f>
        <v/>
      </c>
      <c r="GQ68" s="61" t="n"/>
      <c r="GR68" s="57" t="n"/>
      <c r="GS68" s="66">
        <f>GI68</f>
        <v/>
      </c>
      <c r="GT68" s="59" t="n"/>
      <c r="GU68" s="57" t="n"/>
      <c r="GV68" s="57" t="n"/>
      <c r="GW68" s="57" t="n"/>
      <c r="GX68" s="57" t="n"/>
      <c r="GY68" s="67">
        <f>SUM(GU68:GX68)</f>
        <v/>
      </c>
      <c r="GZ68" s="61" t="n"/>
      <c r="HA68" s="57" t="n"/>
      <c r="HB68" s="66">
        <f>GR68</f>
        <v/>
      </c>
      <c r="HC68" s="59" t="n"/>
      <c r="HD68" s="57" t="n"/>
      <c r="HE68" s="57" t="n"/>
      <c r="HF68" s="57" t="n"/>
      <c r="HG68" s="57" t="n"/>
      <c r="HH68" s="67">
        <f>SUM(HD68:HG68)</f>
        <v/>
      </c>
      <c r="HI68" s="61" t="n"/>
      <c r="HJ68" s="57" t="n"/>
      <c r="HK68" s="66">
        <f>HA68</f>
        <v/>
      </c>
      <c r="HL68" s="59" t="n"/>
      <c r="HM68" s="57" t="n"/>
      <c r="HN68" s="57" t="n"/>
      <c r="HO68" s="57" t="n"/>
      <c r="HP68" s="57" t="n"/>
      <c r="HQ68" s="67">
        <f>SUM(HM68:HP68)</f>
        <v/>
      </c>
      <c r="HR68" s="61" t="n"/>
      <c r="HS68" s="57" t="n"/>
      <c r="HT68" s="66">
        <f>HJ68</f>
        <v/>
      </c>
      <c r="HU68" s="59" t="n"/>
      <c r="HV68" s="57" t="n"/>
      <c r="HW68" s="57" t="n"/>
      <c r="HX68" s="57" t="n"/>
      <c r="HY68" s="57" t="n"/>
      <c r="HZ68" s="67">
        <f>SUM(HV68:HY68)</f>
        <v/>
      </c>
      <c r="IA68" s="61" t="n"/>
      <c r="IB68" s="57" t="n"/>
      <c r="IC68" s="66">
        <f>HS68</f>
        <v/>
      </c>
      <c r="ID68" s="59" t="n"/>
      <c r="IE68" s="57" t="n"/>
      <c r="IF68" s="57" t="n"/>
      <c r="IG68" s="57" t="n"/>
      <c r="IH68" s="57" t="n"/>
      <c r="II68" s="67">
        <f>SUM(IE68:IH68)</f>
        <v/>
      </c>
      <c r="IJ68" s="61" t="n"/>
      <c r="IK68" s="57" t="n"/>
      <c r="IL68" s="66">
        <f>IB68</f>
        <v/>
      </c>
      <c r="IM68" s="59" t="n"/>
      <c r="IN68" s="57" t="n"/>
      <c r="IO68" s="57" t="n"/>
      <c r="IP68" s="57" t="n"/>
      <c r="IQ68" s="57" t="n"/>
      <c r="IR68" s="67">
        <f>SUM(IN68:IQ68)</f>
        <v/>
      </c>
      <c r="IS68" s="61" t="n"/>
      <c r="IT68" s="57" t="n"/>
      <c r="IU68" s="66">
        <f>IK68</f>
        <v/>
      </c>
      <c r="IV68" s="59" t="n"/>
      <c r="IW68" s="57" t="n"/>
      <c r="IX68" s="57" t="n"/>
      <c r="IY68" s="57" t="n"/>
      <c r="IZ68" s="57" t="n"/>
      <c r="JA68" s="67">
        <f>SUM(IW68:IZ68)</f>
        <v/>
      </c>
      <c r="JB68" s="61" t="n"/>
      <c r="JC68" s="57" t="n"/>
      <c r="JD68" s="66">
        <f>IT68</f>
        <v/>
      </c>
      <c r="JE68" s="59" t="n"/>
      <c r="JF68" s="57" t="n"/>
      <c r="JG68" s="57" t="n"/>
      <c r="JH68" s="57" t="n"/>
      <c r="JI68" s="57" t="n"/>
      <c r="JJ68" s="67">
        <f>SUM(JF68:JI68)</f>
        <v/>
      </c>
      <c r="JK68" s="61" t="n"/>
      <c r="JL68" s="57" t="n"/>
      <c r="JM68" s="66">
        <f>JC68</f>
        <v/>
      </c>
      <c r="JN68" s="59" t="n"/>
      <c r="JO68" s="57" t="n"/>
      <c r="JP68" s="57" t="n"/>
      <c r="JQ68" s="57" t="n"/>
      <c r="JR68" s="57" t="n"/>
      <c r="JS68" s="67">
        <f>SUM(JO68:JR68)</f>
        <v/>
      </c>
      <c r="JT68" s="61" t="n"/>
      <c r="JU68" s="62">
        <f>I68+R68+AA68+AJ68+AS68+BB68+BK68+BT68+CC68+CL68+CU68+DD68+DM68+DV68+EE68+EN68+EW68+FF68+FO68+FX68+GG68+GP68+GY68+HH68+HQ68+HZ68+II68+IR68+JA68+JJ68+JS68</f>
        <v/>
      </c>
      <c r="JV68" s="63">
        <f>D68+M68+V68+AE68+AN68+AW68+BF68+BO68+BX68+CG68+CP68+CY68+DH68+DQ68+DZ68+EI68+ER68+FA68+FJ68+FS68+GB68+GK68+GT68+HC68+HL68+HU68+ID68+IM68+IV68+JE68+JN68</f>
        <v/>
      </c>
      <c r="JW68" s="62">
        <f>CHOOSE($Z$3,B68, K68, T68, AC68, AL68, AU68, BD68, BM68, BV68, CE68, CN68, CW68, DF68, DO68, DX68, EG68, EP68, EY68, FH68, FQ68, FZ68, GI68, GR68, HA68, HJ68, HS68, IB68, IK68, IT68, JC68, JL68)</f>
        <v/>
      </c>
      <c r="JX68" s="62">
        <f>IFERROR(JU68/$Z$3,0)</f>
        <v/>
      </c>
      <c r="JY68" s="62">
        <f>Configurações!$C$8</f>
        <v/>
      </c>
      <c r="JZ68" s="64">
        <f>IF(JY68=0,"— Sem meta",IF(JU68&gt;=JY68,"✓ Atingida","Em andamento"))</f>
        <v/>
      </c>
      <c r="KA68" s="65">
        <f>JU68+(12*0.0000001)</f>
        <v/>
      </c>
    </row>
    <row r="69" ht="20" customHeight="1">
      <c r="A69" s="56">
        <f>IF(Configurações!$B$9="","Assessor 3",Configurações!$B$9)</f>
        <v/>
      </c>
      <c r="B69" s="57" t="n"/>
      <c r="C69" s="58">
        <f>'Maio'!$JW69</f>
        <v/>
      </c>
      <c r="D69" s="59" t="n"/>
      <c r="E69" s="57" t="n"/>
      <c r="F69" s="57" t="n"/>
      <c r="G69" s="57" t="n"/>
      <c r="H69" s="57" t="n"/>
      <c r="I69" s="60">
        <f>SUM(E69:H69)</f>
        <v/>
      </c>
      <c r="J69" s="61" t="n"/>
      <c r="K69" s="57" t="n"/>
      <c r="L69" s="58">
        <f>B69</f>
        <v/>
      </c>
      <c r="M69" s="59" t="n"/>
      <c r="N69" s="57" t="n"/>
      <c r="O69" s="57" t="n"/>
      <c r="P69" s="57" t="n"/>
      <c r="Q69" s="57" t="n"/>
      <c r="R69" s="60">
        <f>SUM(N69:Q69)</f>
        <v/>
      </c>
      <c r="S69" s="61" t="n"/>
      <c r="T69" s="57" t="n"/>
      <c r="U69" s="58">
        <f>K69</f>
        <v/>
      </c>
      <c r="V69" s="59" t="n"/>
      <c r="W69" s="57" t="n"/>
      <c r="X69" s="57" t="n"/>
      <c r="Y69" s="57" t="n"/>
      <c r="Z69" s="57" t="n"/>
      <c r="AA69" s="60">
        <f>SUM(W69:Z69)</f>
        <v/>
      </c>
      <c r="AB69" s="61" t="n"/>
      <c r="AC69" s="57" t="n"/>
      <c r="AD69" s="58">
        <f>T69</f>
        <v/>
      </c>
      <c r="AE69" s="59" t="n"/>
      <c r="AF69" s="57" t="n"/>
      <c r="AG69" s="57" t="n"/>
      <c r="AH69" s="57" t="n"/>
      <c r="AI69" s="57" t="n"/>
      <c r="AJ69" s="60">
        <f>SUM(AF69:AI69)</f>
        <v/>
      </c>
      <c r="AK69" s="61" t="n"/>
      <c r="AL69" s="57" t="n"/>
      <c r="AM69" s="58">
        <f>AC69</f>
        <v/>
      </c>
      <c r="AN69" s="59" t="n"/>
      <c r="AO69" s="57" t="n"/>
      <c r="AP69" s="57" t="n"/>
      <c r="AQ69" s="57" t="n"/>
      <c r="AR69" s="57" t="n"/>
      <c r="AS69" s="60">
        <f>SUM(AO69:AR69)</f>
        <v/>
      </c>
      <c r="AT69" s="61" t="n"/>
      <c r="AU69" s="57" t="n"/>
      <c r="AV69" s="58">
        <f>AL69</f>
        <v/>
      </c>
      <c r="AW69" s="59" t="n"/>
      <c r="AX69" s="57" t="n"/>
      <c r="AY69" s="57" t="n"/>
      <c r="AZ69" s="57" t="n"/>
      <c r="BA69" s="57" t="n"/>
      <c r="BB69" s="60">
        <f>SUM(AX69:BA69)</f>
        <v/>
      </c>
      <c r="BC69" s="61" t="n"/>
      <c r="BD69" s="57" t="n"/>
      <c r="BE69" s="58">
        <f>AU69</f>
        <v/>
      </c>
      <c r="BF69" s="59" t="n"/>
      <c r="BG69" s="57" t="n"/>
      <c r="BH69" s="57" t="n"/>
      <c r="BI69" s="57" t="n"/>
      <c r="BJ69" s="57" t="n"/>
      <c r="BK69" s="60">
        <f>SUM(BG69:BJ69)</f>
        <v/>
      </c>
      <c r="BL69" s="61" t="n"/>
      <c r="BM69" s="57" t="n"/>
      <c r="BN69" s="58">
        <f>BD69</f>
        <v/>
      </c>
      <c r="BO69" s="59" t="n"/>
      <c r="BP69" s="57" t="n"/>
      <c r="BQ69" s="57" t="n"/>
      <c r="BR69" s="57" t="n"/>
      <c r="BS69" s="57" t="n"/>
      <c r="BT69" s="60">
        <f>SUM(BP69:BS69)</f>
        <v/>
      </c>
      <c r="BU69" s="61" t="n"/>
      <c r="BV69" s="57" t="n"/>
      <c r="BW69" s="58">
        <f>BM69</f>
        <v/>
      </c>
      <c r="BX69" s="59" t="n"/>
      <c r="BY69" s="57" t="n"/>
      <c r="BZ69" s="57" t="n"/>
      <c r="CA69" s="57" t="n"/>
      <c r="CB69" s="57" t="n"/>
      <c r="CC69" s="60">
        <f>SUM(BY69:CB69)</f>
        <v/>
      </c>
      <c r="CD69" s="61" t="n"/>
      <c r="CE69" s="57" t="n"/>
      <c r="CF69" s="58">
        <f>BV69</f>
        <v/>
      </c>
      <c r="CG69" s="59" t="n"/>
      <c r="CH69" s="57" t="n"/>
      <c r="CI69" s="57" t="n"/>
      <c r="CJ69" s="57" t="n"/>
      <c r="CK69" s="57" t="n"/>
      <c r="CL69" s="60">
        <f>SUM(CH69:CK69)</f>
        <v/>
      </c>
      <c r="CM69" s="61" t="n"/>
      <c r="CN69" s="57" t="n"/>
      <c r="CO69" s="58">
        <f>CE69</f>
        <v/>
      </c>
      <c r="CP69" s="59" t="n"/>
      <c r="CQ69" s="57" t="n"/>
      <c r="CR69" s="57" t="n"/>
      <c r="CS69" s="57" t="n"/>
      <c r="CT69" s="57" t="n"/>
      <c r="CU69" s="60">
        <f>SUM(CQ69:CT69)</f>
        <v/>
      </c>
      <c r="CV69" s="61" t="n"/>
      <c r="CW69" s="57" t="n"/>
      <c r="CX69" s="58">
        <f>CN69</f>
        <v/>
      </c>
      <c r="CY69" s="59" t="n"/>
      <c r="CZ69" s="57" t="n"/>
      <c r="DA69" s="57" t="n"/>
      <c r="DB69" s="57" t="n"/>
      <c r="DC69" s="57" t="n"/>
      <c r="DD69" s="60">
        <f>SUM(CZ69:DC69)</f>
        <v/>
      </c>
      <c r="DE69" s="61" t="n"/>
      <c r="DF69" s="57" t="n"/>
      <c r="DG69" s="58">
        <f>CW69</f>
        <v/>
      </c>
      <c r="DH69" s="59" t="n"/>
      <c r="DI69" s="57" t="n"/>
      <c r="DJ69" s="57" t="n"/>
      <c r="DK69" s="57" t="n"/>
      <c r="DL69" s="57" t="n"/>
      <c r="DM69" s="60">
        <f>SUM(DI69:DL69)</f>
        <v/>
      </c>
      <c r="DN69" s="61" t="n"/>
      <c r="DO69" s="57" t="n"/>
      <c r="DP69" s="58">
        <f>DF69</f>
        <v/>
      </c>
      <c r="DQ69" s="59" t="n"/>
      <c r="DR69" s="57" t="n"/>
      <c r="DS69" s="57" t="n"/>
      <c r="DT69" s="57" t="n"/>
      <c r="DU69" s="57" t="n"/>
      <c r="DV69" s="60">
        <f>SUM(DR69:DU69)</f>
        <v/>
      </c>
      <c r="DW69" s="61" t="n"/>
      <c r="DX69" s="57" t="n"/>
      <c r="DY69" s="58">
        <f>DO69</f>
        <v/>
      </c>
      <c r="DZ69" s="59" t="n"/>
      <c r="EA69" s="57" t="n"/>
      <c r="EB69" s="57" t="n"/>
      <c r="EC69" s="57" t="n"/>
      <c r="ED69" s="57" t="n"/>
      <c r="EE69" s="60">
        <f>SUM(EA69:ED69)</f>
        <v/>
      </c>
      <c r="EF69" s="61" t="n"/>
      <c r="EG69" s="57" t="n"/>
      <c r="EH69" s="58">
        <f>DX69</f>
        <v/>
      </c>
      <c r="EI69" s="59" t="n"/>
      <c r="EJ69" s="57" t="n"/>
      <c r="EK69" s="57" t="n"/>
      <c r="EL69" s="57" t="n"/>
      <c r="EM69" s="57" t="n"/>
      <c r="EN69" s="60">
        <f>SUM(EJ69:EM69)</f>
        <v/>
      </c>
      <c r="EO69" s="61" t="n"/>
      <c r="EP69" s="57" t="n"/>
      <c r="EQ69" s="58">
        <f>EG69</f>
        <v/>
      </c>
      <c r="ER69" s="59" t="n"/>
      <c r="ES69" s="57" t="n"/>
      <c r="ET69" s="57" t="n"/>
      <c r="EU69" s="57" t="n"/>
      <c r="EV69" s="57" t="n"/>
      <c r="EW69" s="60">
        <f>SUM(ES69:EV69)</f>
        <v/>
      </c>
      <c r="EX69" s="61" t="n"/>
      <c r="EY69" s="57" t="n"/>
      <c r="EZ69" s="58">
        <f>EP69</f>
        <v/>
      </c>
      <c r="FA69" s="59" t="n"/>
      <c r="FB69" s="57" t="n"/>
      <c r="FC69" s="57" t="n"/>
      <c r="FD69" s="57" t="n"/>
      <c r="FE69" s="57" t="n"/>
      <c r="FF69" s="60">
        <f>SUM(FB69:FE69)</f>
        <v/>
      </c>
      <c r="FG69" s="61" t="n"/>
      <c r="FH69" s="57" t="n"/>
      <c r="FI69" s="58">
        <f>EY69</f>
        <v/>
      </c>
      <c r="FJ69" s="59" t="n"/>
      <c r="FK69" s="57" t="n"/>
      <c r="FL69" s="57" t="n"/>
      <c r="FM69" s="57" t="n"/>
      <c r="FN69" s="57" t="n"/>
      <c r="FO69" s="60">
        <f>SUM(FK69:FN69)</f>
        <v/>
      </c>
      <c r="FP69" s="61" t="n"/>
      <c r="FQ69" s="57" t="n"/>
      <c r="FR69" s="58">
        <f>FH69</f>
        <v/>
      </c>
      <c r="FS69" s="59" t="n"/>
      <c r="FT69" s="57" t="n"/>
      <c r="FU69" s="57" t="n"/>
      <c r="FV69" s="57" t="n"/>
      <c r="FW69" s="57" t="n"/>
      <c r="FX69" s="60">
        <f>SUM(FT69:FW69)</f>
        <v/>
      </c>
      <c r="FY69" s="61" t="n"/>
      <c r="FZ69" s="57" t="n"/>
      <c r="GA69" s="58">
        <f>FQ69</f>
        <v/>
      </c>
      <c r="GB69" s="59" t="n"/>
      <c r="GC69" s="57" t="n"/>
      <c r="GD69" s="57" t="n"/>
      <c r="GE69" s="57" t="n"/>
      <c r="GF69" s="57" t="n"/>
      <c r="GG69" s="60">
        <f>SUM(GC69:GF69)</f>
        <v/>
      </c>
      <c r="GH69" s="61" t="n"/>
      <c r="GI69" s="57" t="n"/>
      <c r="GJ69" s="58">
        <f>FZ69</f>
        <v/>
      </c>
      <c r="GK69" s="59" t="n"/>
      <c r="GL69" s="57" t="n"/>
      <c r="GM69" s="57" t="n"/>
      <c r="GN69" s="57" t="n"/>
      <c r="GO69" s="57" t="n"/>
      <c r="GP69" s="60">
        <f>SUM(GL69:GO69)</f>
        <v/>
      </c>
      <c r="GQ69" s="61" t="n"/>
      <c r="GR69" s="57" t="n"/>
      <c r="GS69" s="58">
        <f>GI69</f>
        <v/>
      </c>
      <c r="GT69" s="59" t="n"/>
      <c r="GU69" s="57" t="n"/>
      <c r="GV69" s="57" t="n"/>
      <c r="GW69" s="57" t="n"/>
      <c r="GX69" s="57" t="n"/>
      <c r="GY69" s="60">
        <f>SUM(GU69:GX69)</f>
        <v/>
      </c>
      <c r="GZ69" s="61" t="n"/>
      <c r="HA69" s="57" t="n"/>
      <c r="HB69" s="58">
        <f>GR69</f>
        <v/>
      </c>
      <c r="HC69" s="59" t="n"/>
      <c r="HD69" s="57" t="n"/>
      <c r="HE69" s="57" t="n"/>
      <c r="HF69" s="57" t="n"/>
      <c r="HG69" s="57" t="n"/>
      <c r="HH69" s="60">
        <f>SUM(HD69:HG69)</f>
        <v/>
      </c>
      <c r="HI69" s="61" t="n"/>
      <c r="HJ69" s="57" t="n"/>
      <c r="HK69" s="58">
        <f>HA69</f>
        <v/>
      </c>
      <c r="HL69" s="59" t="n"/>
      <c r="HM69" s="57" t="n"/>
      <c r="HN69" s="57" t="n"/>
      <c r="HO69" s="57" t="n"/>
      <c r="HP69" s="57" t="n"/>
      <c r="HQ69" s="60">
        <f>SUM(HM69:HP69)</f>
        <v/>
      </c>
      <c r="HR69" s="61" t="n"/>
      <c r="HS69" s="57" t="n"/>
      <c r="HT69" s="58">
        <f>HJ69</f>
        <v/>
      </c>
      <c r="HU69" s="59" t="n"/>
      <c r="HV69" s="57" t="n"/>
      <c r="HW69" s="57" t="n"/>
      <c r="HX69" s="57" t="n"/>
      <c r="HY69" s="57" t="n"/>
      <c r="HZ69" s="60">
        <f>SUM(HV69:HY69)</f>
        <v/>
      </c>
      <c r="IA69" s="61" t="n"/>
      <c r="IB69" s="57" t="n"/>
      <c r="IC69" s="58">
        <f>HS69</f>
        <v/>
      </c>
      <c r="ID69" s="59" t="n"/>
      <c r="IE69" s="57" t="n"/>
      <c r="IF69" s="57" t="n"/>
      <c r="IG69" s="57" t="n"/>
      <c r="IH69" s="57" t="n"/>
      <c r="II69" s="60">
        <f>SUM(IE69:IH69)</f>
        <v/>
      </c>
      <c r="IJ69" s="61" t="n"/>
      <c r="IK69" s="57" t="n"/>
      <c r="IL69" s="58">
        <f>IB69</f>
        <v/>
      </c>
      <c r="IM69" s="59" t="n"/>
      <c r="IN69" s="57" t="n"/>
      <c r="IO69" s="57" t="n"/>
      <c r="IP69" s="57" t="n"/>
      <c r="IQ69" s="57" t="n"/>
      <c r="IR69" s="60">
        <f>SUM(IN69:IQ69)</f>
        <v/>
      </c>
      <c r="IS69" s="61" t="n"/>
      <c r="IT69" s="57" t="n"/>
      <c r="IU69" s="58">
        <f>IK69</f>
        <v/>
      </c>
      <c r="IV69" s="59" t="n"/>
      <c r="IW69" s="57" t="n"/>
      <c r="IX69" s="57" t="n"/>
      <c r="IY69" s="57" t="n"/>
      <c r="IZ69" s="57" t="n"/>
      <c r="JA69" s="60">
        <f>SUM(IW69:IZ69)</f>
        <v/>
      </c>
      <c r="JB69" s="61" t="n"/>
      <c r="JC69" s="57" t="n"/>
      <c r="JD69" s="58">
        <f>IT69</f>
        <v/>
      </c>
      <c r="JE69" s="59" t="n"/>
      <c r="JF69" s="57" t="n"/>
      <c r="JG69" s="57" t="n"/>
      <c r="JH69" s="57" t="n"/>
      <c r="JI69" s="57" t="n"/>
      <c r="JJ69" s="60">
        <f>SUM(JF69:JI69)</f>
        <v/>
      </c>
      <c r="JK69" s="61" t="n"/>
      <c r="JL69" s="57" t="n"/>
      <c r="JM69" s="58">
        <f>JC69</f>
        <v/>
      </c>
      <c r="JN69" s="59" t="n"/>
      <c r="JO69" s="57" t="n"/>
      <c r="JP69" s="57" t="n"/>
      <c r="JQ69" s="57" t="n"/>
      <c r="JR69" s="57" t="n"/>
      <c r="JS69" s="60">
        <f>SUM(JO69:JR69)</f>
        <v/>
      </c>
      <c r="JT69" s="61" t="n"/>
      <c r="JU69" s="62">
        <f>I69+R69+AA69+AJ69+AS69+BB69+BK69+BT69+CC69+CL69+CU69+DD69+DM69+DV69+EE69+EN69+EW69+FF69+FO69+FX69+GG69+GP69+GY69+HH69+HQ69+HZ69+II69+IR69+JA69+JJ69+JS69</f>
        <v/>
      </c>
      <c r="JV69" s="63">
        <f>D69+M69+V69+AE69+AN69+AW69+BF69+BO69+BX69+CG69+CP69+CY69+DH69+DQ69+DZ69+EI69+ER69+FA69+FJ69+FS69+GB69+GK69+GT69+HC69+HL69+HU69+ID69+IM69+IV69+JE69+JN69</f>
        <v/>
      </c>
      <c r="JW69" s="62">
        <f>CHOOSE($Z$3,B69, K69, T69, AC69, AL69, AU69, BD69, BM69, BV69, CE69, CN69, CW69, DF69, DO69, DX69, EG69, EP69, EY69, FH69, FQ69, FZ69, GI69, GR69, HA69, HJ69, HS69, IB69, IK69, IT69, JC69, JL69)</f>
        <v/>
      </c>
      <c r="JX69" s="62">
        <f>IFERROR(JU69/$Z$3,0)</f>
        <v/>
      </c>
      <c r="JY69" s="62">
        <f>Configurações!$C$9</f>
        <v/>
      </c>
      <c r="JZ69" s="64">
        <f>IF(JY69=0,"— Sem meta",IF(JU69&gt;=JY69,"✓ Atingida","Em andamento"))</f>
        <v/>
      </c>
      <c r="KA69" s="65">
        <f>JU69+(11*0.0000001)</f>
        <v/>
      </c>
    </row>
    <row r="70" ht="20" customHeight="1">
      <c r="A70" s="56">
        <f>IF(Configurações!$B$10="","Assessor 4",Configurações!$B$10)</f>
        <v/>
      </c>
      <c r="B70" s="57" t="n"/>
      <c r="C70" s="66">
        <f>'Maio'!$JW70</f>
        <v/>
      </c>
      <c r="D70" s="59" t="n"/>
      <c r="E70" s="57" t="n"/>
      <c r="F70" s="57" t="n"/>
      <c r="G70" s="57" t="n"/>
      <c r="H70" s="57" t="n"/>
      <c r="I70" s="67">
        <f>SUM(E70:H70)</f>
        <v/>
      </c>
      <c r="J70" s="61" t="n"/>
      <c r="K70" s="57" t="n"/>
      <c r="L70" s="66">
        <f>B70</f>
        <v/>
      </c>
      <c r="M70" s="59" t="n"/>
      <c r="N70" s="57" t="n"/>
      <c r="O70" s="57" t="n"/>
      <c r="P70" s="57" t="n"/>
      <c r="Q70" s="57" t="n"/>
      <c r="R70" s="67">
        <f>SUM(N70:Q70)</f>
        <v/>
      </c>
      <c r="S70" s="61" t="n"/>
      <c r="T70" s="57" t="n"/>
      <c r="U70" s="66">
        <f>K70</f>
        <v/>
      </c>
      <c r="V70" s="59" t="n"/>
      <c r="W70" s="57" t="n"/>
      <c r="X70" s="57" t="n"/>
      <c r="Y70" s="57" t="n"/>
      <c r="Z70" s="57" t="n"/>
      <c r="AA70" s="67">
        <f>SUM(W70:Z70)</f>
        <v/>
      </c>
      <c r="AB70" s="61" t="n"/>
      <c r="AC70" s="57" t="n"/>
      <c r="AD70" s="66">
        <f>T70</f>
        <v/>
      </c>
      <c r="AE70" s="59" t="n"/>
      <c r="AF70" s="57" t="n"/>
      <c r="AG70" s="57" t="n"/>
      <c r="AH70" s="57" t="n"/>
      <c r="AI70" s="57" t="n"/>
      <c r="AJ70" s="67">
        <f>SUM(AF70:AI70)</f>
        <v/>
      </c>
      <c r="AK70" s="61" t="n"/>
      <c r="AL70" s="57" t="n"/>
      <c r="AM70" s="66">
        <f>AC70</f>
        <v/>
      </c>
      <c r="AN70" s="59" t="n"/>
      <c r="AO70" s="57" t="n"/>
      <c r="AP70" s="57" t="n"/>
      <c r="AQ70" s="57" t="n"/>
      <c r="AR70" s="57" t="n"/>
      <c r="AS70" s="67">
        <f>SUM(AO70:AR70)</f>
        <v/>
      </c>
      <c r="AT70" s="61" t="n"/>
      <c r="AU70" s="57" t="n"/>
      <c r="AV70" s="66">
        <f>AL70</f>
        <v/>
      </c>
      <c r="AW70" s="59" t="n"/>
      <c r="AX70" s="57" t="n"/>
      <c r="AY70" s="57" t="n"/>
      <c r="AZ70" s="57" t="n"/>
      <c r="BA70" s="57" t="n"/>
      <c r="BB70" s="67">
        <f>SUM(AX70:BA70)</f>
        <v/>
      </c>
      <c r="BC70" s="61" t="n"/>
      <c r="BD70" s="57" t="n"/>
      <c r="BE70" s="66">
        <f>AU70</f>
        <v/>
      </c>
      <c r="BF70" s="59" t="n"/>
      <c r="BG70" s="57" t="n"/>
      <c r="BH70" s="57" t="n"/>
      <c r="BI70" s="57" t="n"/>
      <c r="BJ70" s="57" t="n"/>
      <c r="BK70" s="67">
        <f>SUM(BG70:BJ70)</f>
        <v/>
      </c>
      <c r="BL70" s="61" t="n"/>
      <c r="BM70" s="57" t="n"/>
      <c r="BN70" s="66">
        <f>BD70</f>
        <v/>
      </c>
      <c r="BO70" s="59" t="n"/>
      <c r="BP70" s="57" t="n"/>
      <c r="BQ70" s="57" t="n"/>
      <c r="BR70" s="57" t="n"/>
      <c r="BS70" s="57" t="n"/>
      <c r="BT70" s="67">
        <f>SUM(BP70:BS70)</f>
        <v/>
      </c>
      <c r="BU70" s="61" t="n"/>
      <c r="BV70" s="57" t="n"/>
      <c r="BW70" s="66">
        <f>BM70</f>
        <v/>
      </c>
      <c r="BX70" s="59" t="n"/>
      <c r="BY70" s="57" t="n"/>
      <c r="BZ70" s="57" t="n"/>
      <c r="CA70" s="57" t="n"/>
      <c r="CB70" s="57" t="n"/>
      <c r="CC70" s="67">
        <f>SUM(BY70:CB70)</f>
        <v/>
      </c>
      <c r="CD70" s="61" t="n"/>
      <c r="CE70" s="57" t="n"/>
      <c r="CF70" s="66">
        <f>BV70</f>
        <v/>
      </c>
      <c r="CG70" s="59" t="n"/>
      <c r="CH70" s="57" t="n"/>
      <c r="CI70" s="57" t="n"/>
      <c r="CJ70" s="57" t="n"/>
      <c r="CK70" s="57" t="n"/>
      <c r="CL70" s="67">
        <f>SUM(CH70:CK70)</f>
        <v/>
      </c>
      <c r="CM70" s="61" t="n"/>
      <c r="CN70" s="57" t="n"/>
      <c r="CO70" s="66">
        <f>CE70</f>
        <v/>
      </c>
      <c r="CP70" s="59" t="n"/>
      <c r="CQ70" s="57" t="n"/>
      <c r="CR70" s="57" t="n"/>
      <c r="CS70" s="57" t="n"/>
      <c r="CT70" s="57" t="n"/>
      <c r="CU70" s="67">
        <f>SUM(CQ70:CT70)</f>
        <v/>
      </c>
      <c r="CV70" s="61" t="n"/>
      <c r="CW70" s="57" t="n"/>
      <c r="CX70" s="66">
        <f>CN70</f>
        <v/>
      </c>
      <c r="CY70" s="59" t="n"/>
      <c r="CZ70" s="57" t="n"/>
      <c r="DA70" s="57" t="n"/>
      <c r="DB70" s="57" t="n"/>
      <c r="DC70" s="57" t="n"/>
      <c r="DD70" s="67">
        <f>SUM(CZ70:DC70)</f>
        <v/>
      </c>
      <c r="DE70" s="61" t="n"/>
      <c r="DF70" s="57" t="n"/>
      <c r="DG70" s="66">
        <f>CW70</f>
        <v/>
      </c>
      <c r="DH70" s="59" t="n"/>
      <c r="DI70" s="57" t="n"/>
      <c r="DJ70" s="57" t="n"/>
      <c r="DK70" s="57" t="n"/>
      <c r="DL70" s="57" t="n"/>
      <c r="DM70" s="67">
        <f>SUM(DI70:DL70)</f>
        <v/>
      </c>
      <c r="DN70" s="61" t="n"/>
      <c r="DO70" s="57" t="n"/>
      <c r="DP70" s="66">
        <f>DF70</f>
        <v/>
      </c>
      <c r="DQ70" s="59" t="n"/>
      <c r="DR70" s="57" t="n"/>
      <c r="DS70" s="57" t="n"/>
      <c r="DT70" s="57" t="n"/>
      <c r="DU70" s="57" t="n"/>
      <c r="DV70" s="67">
        <f>SUM(DR70:DU70)</f>
        <v/>
      </c>
      <c r="DW70" s="61" t="n"/>
      <c r="DX70" s="57" t="n"/>
      <c r="DY70" s="66">
        <f>DO70</f>
        <v/>
      </c>
      <c r="DZ70" s="59" t="n"/>
      <c r="EA70" s="57" t="n"/>
      <c r="EB70" s="57" t="n"/>
      <c r="EC70" s="57" t="n"/>
      <c r="ED70" s="57" t="n"/>
      <c r="EE70" s="67">
        <f>SUM(EA70:ED70)</f>
        <v/>
      </c>
      <c r="EF70" s="61" t="n"/>
      <c r="EG70" s="57" t="n"/>
      <c r="EH70" s="66">
        <f>DX70</f>
        <v/>
      </c>
      <c r="EI70" s="59" t="n"/>
      <c r="EJ70" s="57" t="n"/>
      <c r="EK70" s="57" t="n"/>
      <c r="EL70" s="57" t="n"/>
      <c r="EM70" s="57" t="n"/>
      <c r="EN70" s="67">
        <f>SUM(EJ70:EM70)</f>
        <v/>
      </c>
      <c r="EO70" s="61" t="n"/>
      <c r="EP70" s="57" t="n"/>
      <c r="EQ70" s="66">
        <f>EG70</f>
        <v/>
      </c>
      <c r="ER70" s="59" t="n"/>
      <c r="ES70" s="57" t="n"/>
      <c r="ET70" s="57" t="n"/>
      <c r="EU70" s="57" t="n"/>
      <c r="EV70" s="57" t="n"/>
      <c r="EW70" s="67">
        <f>SUM(ES70:EV70)</f>
        <v/>
      </c>
      <c r="EX70" s="61" t="n"/>
      <c r="EY70" s="57" t="n"/>
      <c r="EZ70" s="66">
        <f>EP70</f>
        <v/>
      </c>
      <c r="FA70" s="59" t="n"/>
      <c r="FB70" s="57" t="n"/>
      <c r="FC70" s="57" t="n"/>
      <c r="FD70" s="57" t="n"/>
      <c r="FE70" s="57" t="n"/>
      <c r="FF70" s="67">
        <f>SUM(FB70:FE70)</f>
        <v/>
      </c>
      <c r="FG70" s="61" t="n"/>
      <c r="FH70" s="57" t="n"/>
      <c r="FI70" s="66">
        <f>EY70</f>
        <v/>
      </c>
      <c r="FJ70" s="59" t="n"/>
      <c r="FK70" s="57" t="n"/>
      <c r="FL70" s="57" t="n"/>
      <c r="FM70" s="57" t="n"/>
      <c r="FN70" s="57" t="n"/>
      <c r="FO70" s="67">
        <f>SUM(FK70:FN70)</f>
        <v/>
      </c>
      <c r="FP70" s="61" t="n"/>
      <c r="FQ70" s="57" t="n"/>
      <c r="FR70" s="66">
        <f>FH70</f>
        <v/>
      </c>
      <c r="FS70" s="59" t="n"/>
      <c r="FT70" s="57" t="n"/>
      <c r="FU70" s="57" t="n"/>
      <c r="FV70" s="57" t="n"/>
      <c r="FW70" s="57" t="n"/>
      <c r="FX70" s="67">
        <f>SUM(FT70:FW70)</f>
        <v/>
      </c>
      <c r="FY70" s="61" t="n"/>
      <c r="FZ70" s="57" t="n"/>
      <c r="GA70" s="66">
        <f>FQ70</f>
        <v/>
      </c>
      <c r="GB70" s="59" t="n"/>
      <c r="GC70" s="57" t="n"/>
      <c r="GD70" s="57" t="n"/>
      <c r="GE70" s="57" t="n"/>
      <c r="GF70" s="57" t="n"/>
      <c r="GG70" s="67">
        <f>SUM(GC70:GF70)</f>
        <v/>
      </c>
      <c r="GH70" s="61" t="n"/>
      <c r="GI70" s="57" t="n"/>
      <c r="GJ70" s="66">
        <f>FZ70</f>
        <v/>
      </c>
      <c r="GK70" s="59" t="n"/>
      <c r="GL70" s="57" t="n"/>
      <c r="GM70" s="57" t="n"/>
      <c r="GN70" s="57" t="n"/>
      <c r="GO70" s="57" t="n"/>
      <c r="GP70" s="67">
        <f>SUM(GL70:GO70)</f>
        <v/>
      </c>
      <c r="GQ70" s="61" t="n"/>
      <c r="GR70" s="57" t="n"/>
      <c r="GS70" s="66">
        <f>GI70</f>
        <v/>
      </c>
      <c r="GT70" s="59" t="n"/>
      <c r="GU70" s="57" t="n"/>
      <c r="GV70" s="57" t="n"/>
      <c r="GW70" s="57" t="n"/>
      <c r="GX70" s="57" t="n"/>
      <c r="GY70" s="67">
        <f>SUM(GU70:GX70)</f>
        <v/>
      </c>
      <c r="GZ70" s="61" t="n"/>
      <c r="HA70" s="57" t="n"/>
      <c r="HB70" s="66">
        <f>GR70</f>
        <v/>
      </c>
      <c r="HC70" s="59" t="n"/>
      <c r="HD70" s="57" t="n"/>
      <c r="HE70" s="57" t="n"/>
      <c r="HF70" s="57" t="n"/>
      <c r="HG70" s="57" t="n"/>
      <c r="HH70" s="67">
        <f>SUM(HD70:HG70)</f>
        <v/>
      </c>
      <c r="HI70" s="61" t="n"/>
      <c r="HJ70" s="57" t="n"/>
      <c r="HK70" s="66">
        <f>HA70</f>
        <v/>
      </c>
      <c r="HL70" s="59" t="n"/>
      <c r="HM70" s="57" t="n"/>
      <c r="HN70" s="57" t="n"/>
      <c r="HO70" s="57" t="n"/>
      <c r="HP70" s="57" t="n"/>
      <c r="HQ70" s="67">
        <f>SUM(HM70:HP70)</f>
        <v/>
      </c>
      <c r="HR70" s="61" t="n"/>
      <c r="HS70" s="57" t="n"/>
      <c r="HT70" s="66">
        <f>HJ70</f>
        <v/>
      </c>
      <c r="HU70" s="59" t="n"/>
      <c r="HV70" s="57" t="n"/>
      <c r="HW70" s="57" t="n"/>
      <c r="HX70" s="57" t="n"/>
      <c r="HY70" s="57" t="n"/>
      <c r="HZ70" s="67">
        <f>SUM(HV70:HY70)</f>
        <v/>
      </c>
      <c r="IA70" s="61" t="n"/>
      <c r="IB70" s="57" t="n"/>
      <c r="IC70" s="66">
        <f>HS70</f>
        <v/>
      </c>
      <c r="ID70" s="59" t="n"/>
      <c r="IE70" s="57" t="n"/>
      <c r="IF70" s="57" t="n"/>
      <c r="IG70" s="57" t="n"/>
      <c r="IH70" s="57" t="n"/>
      <c r="II70" s="67">
        <f>SUM(IE70:IH70)</f>
        <v/>
      </c>
      <c r="IJ70" s="61" t="n"/>
      <c r="IK70" s="57" t="n"/>
      <c r="IL70" s="66">
        <f>IB70</f>
        <v/>
      </c>
      <c r="IM70" s="59" t="n"/>
      <c r="IN70" s="57" t="n"/>
      <c r="IO70" s="57" t="n"/>
      <c r="IP70" s="57" t="n"/>
      <c r="IQ70" s="57" t="n"/>
      <c r="IR70" s="67">
        <f>SUM(IN70:IQ70)</f>
        <v/>
      </c>
      <c r="IS70" s="61" t="n"/>
      <c r="IT70" s="57" t="n"/>
      <c r="IU70" s="66">
        <f>IK70</f>
        <v/>
      </c>
      <c r="IV70" s="59" t="n"/>
      <c r="IW70" s="57" t="n"/>
      <c r="IX70" s="57" t="n"/>
      <c r="IY70" s="57" t="n"/>
      <c r="IZ70" s="57" t="n"/>
      <c r="JA70" s="67">
        <f>SUM(IW70:IZ70)</f>
        <v/>
      </c>
      <c r="JB70" s="61" t="n"/>
      <c r="JC70" s="57" t="n"/>
      <c r="JD70" s="66">
        <f>IT70</f>
        <v/>
      </c>
      <c r="JE70" s="59" t="n"/>
      <c r="JF70" s="57" t="n"/>
      <c r="JG70" s="57" t="n"/>
      <c r="JH70" s="57" t="n"/>
      <c r="JI70" s="57" t="n"/>
      <c r="JJ70" s="67">
        <f>SUM(JF70:JI70)</f>
        <v/>
      </c>
      <c r="JK70" s="61" t="n"/>
      <c r="JL70" s="57" t="n"/>
      <c r="JM70" s="66">
        <f>JC70</f>
        <v/>
      </c>
      <c r="JN70" s="59" t="n"/>
      <c r="JO70" s="57" t="n"/>
      <c r="JP70" s="57" t="n"/>
      <c r="JQ70" s="57" t="n"/>
      <c r="JR70" s="57" t="n"/>
      <c r="JS70" s="67">
        <f>SUM(JO70:JR70)</f>
        <v/>
      </c>
      <c r="JT70" s="61" t="n"/>
      <c r="JU70" s="62">
        <f>I70+R70+AA70+AJ70+AS70+BB70+BK70+BT70+CC70+CL70+CU70+DD70+DM70+DV70+EE70+EN70+EW70+FF70+FO70+FX70+GG70+GP70+GY70+HH70+HQ70+HZ70+II70+IR70+JA70+JJ70+JS70</f>
        <v/>
      </c>
      <c r="JV70" s="63">
        <f>D70+M70+V70+AE70+AN70+AW70+BF70+BO70+BX70+CG70+CP70+CY70+DH70+DQ70+DZ70+EI70+ER70+FA70+FJ70+FS70+GB70+GK70+GT70+HC70+HL70+HU70+ID70+IM70+IV70+JE70+JN70</f>
        <v/>
      </c>
      <c r="JW70" s="62">
        <f>CHOOSE($Z$3,B70, K70, T70, AC70, AL70, AU70, BD70, BM70, BV70, CE70, CN70, CW70, DF70, DO70, DX70, EG70, EP70, EY70, FH70, FQ70, FZ70, GI70, GR70, HA70, HJ70, HS70, IB70, IK70, IT70, JC70, JL70)</f>
        <v/>
      </c>
      <c r="JX70" s="62">
        <f>IFERROR(JU70/$Z$3,0)</f>
        <v/>
      </c>
      <c r="JY70" s="62">
        <f>Configurações!$C$10</f>
        <v/>
      </c>
      <c r="JZ70" s="64">
        <f>IF(JY70=0,"— Sem meta",IF(JU70&gt;=JY70,"✓ Atingida","Em andamento"))</f>
        <v/>
      </c>
      <c r="KA70" s="65">
        <f>JU70+(10*0.0000001)</f>
        <v/>
      </c>
    </row>
    <row r="71" ht="20" customHeight="1">
      <c r="A71" s="56">
        <f>IF(Configurações!$B$11="","Assessor 5",Configurações!$B$11)</f>
        <v/>
      </c>
      <c r="B71" s="57" t="n"/>
      <c r="C71" s="58">
        <f>'Maio'!$JW71</f>
        <v/>
      </c>
      <c r="D71" s="59" t="n"/>
      <c r="E71" s="57" t="n"/>
      <c r="F71" s="57" t="n"/>
      <c r="G71" s="57" t="n"/>
      <c r="H71" s="57" t="n"/>
      <c r="I71" s="60">
        <f>SUM(E71:H71)</f>
        <v/>
      </c>
      <c r="J71" s="61" t="n"/>
      <c r="K71" s="57" t="n"/>
      <c r="L71" s="58">
        <f>B71</f>
        <v/>
      </c>
      <c r="M71" s="59" t="n"/>
      <c r="N71" s="57" t="n"/>
      <c r="O71" s="57" t="n"/>
      <c r="P71" s="57" t="n"/>
      <c r="Q71" s="57" t="n"/>
      <c r="R71" s="60">
        <f>SUM(N71:Q71)</f>
        <v/>
      </c>
      <c r="S71" s="61" t="n"/>
      <c r="T71" s="57" t="n"/>
      <c r="U71" s="58">
        <f>K71</f>
        <v/>
      </c>
      <c r="V71" s="59" t="n"/>
      <c r="W71" s="57" t="n"/>
      <c r="X71" s="57" t="n"/>
      <c r="Y71" s="57" t="n"/>
      <c r="Z71" s="57" t="n"/>
      <c r="AA71" s="60">
        <f>SUM(W71:Z71)</f>
        <v/>
      </c>
      <c r="AB71" s="61" t="n"/>
      <c r="AC71" s="57" t="n"/>
      <c r="AD71" s="58">
        <f>T71</f>
        <v/>
      </c>
      <c r="AE71" s="59" t="n"/>
      <c r="AF71" s="57" t="n"/>
      <c r="AG71" s="57" t="n"/>
      <c r="AH71" s="57" t="n"/>
      <c r="AI71" s="57" t="n"/>
      <c r="AJ71" s="60">
        <f>SUM(AF71:AI71)</f>
        <v/>
      </c>
      <c r="AK71" s="61" t="n"/>
      <c r="AL71" s="57" t="n"/>
      <c r="AM71" s="58">
        <f>AC71</f>
        <v/>
      </c>
      <c r="AN71" s="59" t="n"/>
      <c r="AO71" s="57" t="n"/>
      <c r="AP71" s="57" t="n"/>
      <c r="AQ71" s="57" t="n"/>
      <c r="AR71" s="57" t="n"/>
      <c r="AS71" s="60">
        <f>SUM(AO71:AR71)</f>
        <v/>
      </c>
      <c r="AT71" s="61" t="n"/>
      <c r="AU71" s="57" t="n"/>
      <c r="AV71" s="58">
        <f>AL71</f>
        <v/>
      </c>
      <c r="AW71" s="59" t="n"/>
      <c r="AX71" s="57" t="n"/>
      <c r="AY71" s="57" t="n"/>
      <c r="AZ71" s="57" t="n"/>
      <c r="BA71" s="57" t="n"/>
      <c r="BB71" s="60">
        <f>SUM(AX71:BA71)</f>
        <v/>
      </c>
      <c r="BC71" s="61" t="n"/>
      <c r="BD71" s="57" t="n"/>
      <c r="BE71" s="58">
        <f>AU71</f>
        <v/>
      </c>
      <c r="BF71" s="59" t="n"/>
      <c r="BG71" s="57" t="n"/>
      <c r="BH71" s="57" t="n"/>
      <c r="BI71" s="57" t="n"/>
      <c r="BJ71" s="57" t="n"/>
      <c r="BK71" s="60">
        <f>SUM(BG71:BJ71)</f>
        <v/>
      </c>
      <c r="BL71" s="61" t="n"/>
      <c r="BM71" s="57" t="n"/>
      <c r="BN71" s="58">
        <f>BD71</f>
        <v/>
      </c>
      <c r="BO71" s="59" t="n"/>
      <c r="BP71" s="57" t="n"/>
      <c r="BQ71" s="57" t="n"/>
      <c r="BR71" s="57" t="n"/>
      <c r="BS71" s="57" t="n"/>
      <c r="BT71" s="60">
        <f>SUM(BP71:BS71)</f>
        <v/>
      </c>
      <c r="BU71" s="61" t="n"/>
      <c r="BV71" s="57" t="n"/>
      <c r="BW71" s="58">
        <f>BM71</f>
        <v/>
      </c>
      <c r="BX71" s="59" t="n"/>
      <c r="BY71" s="57" t="n"/>
      <c r="BZ71" s="57" t="n"/>
      <c r="CA71" s="57" t="n"/>
      <c r="CB71" s="57" t="n"/>
      <c r="CC71" s="60">
        <f>SUM(BY71:CB71)</f>
        <v/>
      </c>
      <c r="CD71" s="61" t="n"/>
      <c r="CE71" s="57" t="n"/>
      <c r="CF71" s="58">
        <f>BV71</f>
        <v/>
      </c>
      <c r="CG71" s="59" t="n"/>
      <c r="CH71" s="57" t="n"/>
      <c r="CI71" s="57" t="n"/>
      <c r="CJ71" s="57" t="n"/>
      <c r="CK71" s="57" t="n"/>
      <c r="CL71" s="60">
        <f>SUM(CH71:CK71)</f>
        <v/>
      </c>
      <c r="CM71" s="61" t="n"/>
      <c r="CN71" s="57" t="n"/>
      <c r="CO71" s="58">
        <f>CE71</f>
        <v/>
      </c>
      <c r="CP71" s="59" t="n"/>
      <c r="CQ71" s="57" t="n"/>
      <c r="CR71" s="57" t="n"/>
      <c r="CS71" s="57" t="n"/>
      <c r="CT71" s="57" t="n"/>
      <c r="CU71" s="60">
        <f>SUM(CQ71:CT71)</f>
        <v/>
      </c>
      <c r="CV71" s="61" t="n"/>
      <c r="CW71" s="57" t="n"/>
      <c r="CX71" s="58">
        <f>CN71</f>
        <v/>
      </c>
      <c r="CY71" s="59" t="n"/>
      <c r="CZ71" s="57" t="n"/>
      <c r="DA71" s="57" t="n"/>
      <c r="DB71" s="57" t="n"/>
      <c r="DC71" s="57" t="n"/>
      <c r="DD71" s="60">
        <f>SUM(CZ71:DC71)</f>
        <v/>
      </c>
      <c r="DE71" s="61" t="n"/>
      <c r="DF71" s="57" t="n"/>
      <c r="DG71" s="58">
        <f>CW71</f>
        <v/>
      </c>
      <c r="DH71" s="59" t="n"/>
      <c r="DI71" s="57" t="n"/>
      <c r="DJ71" s="57" t="n"/>
      <c r="DK71" s="57" t="n"/>
      <c r="DL71" s="57" t="n"/>
      <c r="DM71" s="60">
        <f>SUM(DI71:DL71)</f>
        <v/>
      </c>
      <c r="DN71" s="61" t="n"/>
      <c r="DO71" s="57" t="n"/>
      <c r="DP71" s="58">
        <f>DF71</f>
        <v/>
      </c>
      <c r="DQ71" s="59" t="n"/>
      <c r="DR71" s="57" t="n"/>
      <c r="DS71" s="57" t="n"/>
      <c r="DT71" s="57" t="n"/>
      <c r="DU71" s="57" t="n"/>
      <c r="DV71" s="60">
        <f>SUM(DR71:DU71)</f>
        <v/>
      </c>
      <c r="DW71" s="61" t="n"/>
      <c r="DX71" s="57" t="n"/>
      <c r="DY71" s="58">
        <f>DO71</f>
        <v/>
      </c>
      <c r="DZ71" s="59" t="n"/>
      <c r="EA71" s="57" t="n"/>
      <c r="EB71" s="57" t="n"/>
      <c r="EC71" s="57" t="n"/>
      <c r="ED71" s="57" t="n"/>
      <c r="EE71" s="60">
        <f>SUM(EA71:ED71)</f>
        <v/>
      </c>
      <c r="EF71" s="61" t="n"/>
      <c r="EG71" s="57" t="n"/>
      <c r="EH71" s="58">
        <f>DX71</f>
        <v/>
      </c>
      <c r="EI71" s="59" t="n"/>
      <c r="EJ71" s="57" t="n"/>
      <c r="EK71" s="57" t="n"/>
      <c r="EL71" s="57" t="n"/>
      <c r="EM71" s="57" t="n"/>
      <c r="EN71" s="60">
        <f>SUM(EJ71:EM71)</f>
        <v/>
      </c>
      <c r="EO71" s="61" t="n"/>
      <c r="EP71" s="57" t="n"/>
      <c r="EQ71" s="58">
        <f>EG71</f>
        <v/>
      </c>
      <c r="ER71" s="59" t="n"/>
      <c r="ES71" s="57" t="n"/>
      <c r="ET71" s="57" t="n"/>
      <c r="EU71" s="57" t="n"/>
      <c r="EV71" s="57" t="n"/>
      <c r="EW71" s="60">
        <f>SUM(ES71:EV71)</f>
        <v/>
      </c>
      <c r="EX71" s="61" t="n"/>
      <c r="EY71" s="57" t="n"/>
      <c r="EZ71" s="58">
        <f>EP71</f>
        <v/>
      </c>
      <c r="FA71" s="59" t="n"/>
      <c r="FB71" s="57" t="n"/>
      <c r="FC71" s="57" t="n"/>
      <c r="FD71" s="57" t="n"/>
      <c r="FE71" s="57" t="n"/>
      <c r="FF71" s="60">
        <f>SUM(FB71:FE71)</f>
        <v/>
      </c>
      <c r="FG71" s="61" t="n"/>
      <c r="FH71" s="57" t="n"/>
      <c r="FI71" s="58">
        <f>EY71</f>
        <v/>
      </c>
      <c r="FJ71" s="59" t="n"/>
      <c r="FK71" s="57" t="n"/>
      <c r="FL71" s="57" t="n"/>
      <c r="FM71" s="57" t="n"/>
      <c r="FN71" s="57" t="n"/>
      <c r="FO71" s="60">
        <f>SUM(FK71:FN71)</f>
        <v/>
      </c>
      <c r="FP71" s="61" t="n"/>
      <c r="FQ71" s="57" t="n"/>
      <c r="FR71" s="58">
        <f>FH71</f>
        <v/>
      </c>
      <c r="FS71" s="59" t="n"/>
      <c r="FT71" s="57" t="n"/>
      <c r="FU71" s="57" t="n"/>
      <c r="FV71" s="57" t="n"/>
      <c r="FW71" s="57" t="n"/>
      <c r="FX71" s="60">
        <f>SUM(FT71:FW71)</f>
        <v/>
      </c>
      <c r="FY71" s="61" t="n"/>
      <c r="FZ71" s="57" t="n"/>
      <c r="GA71" s="58">
        <f>FQ71</f>
        <v/>
      </c>
      <c r="GB71" s="59" t="n"/>
      <c r="GC71" s="57" t="n"/>
      <c r="GD71" s="57" t="n"/>
      <c r="GE71" s="57" t="n"/>
      <c r="GF71" s="57" t="n"/>
      <c r="GG71" s="60">
        <f>SUM(GC71:GF71)</f>
        <v/>
      </c>
      <c r="GH71" s="61" t="n"/>
      <c r="GI71" s="57" t="n"/>
      <c r="GJ71" s="58">
        <f>FZ71</f>
        <v/>
      </c>
      <c r="GK71" s="59" t="n"/>
      <c r="GL71" s="57" t="n"/>
      <c r="GM71" s="57" t="n"/>
      <c r="GN71" s="57" t="n"/>
      <c r="GO71" s="57" t="n"/>
      <c r="GP71" s="60">
        <f>SUM(GL71:GO71)</f>
        <v/>
      </c>
      <c r="GQ71" s="61" t="n"/>
      <c r="GR71" s="57" t="n"/>
      <c r="GS71" s="58">
        <f>GI71</f>
        <v/>
      </c>
      <c r="GT71" s="59" t="n"/>
      <c r="GU71" s="57" t="n"/>
      <c r="GV71" s="57" t="n"/>
      <c r="GW71" s="57" t="n"/>
      <c r="GX71" s="57" t="n"/>
      <c r="GY71" s="60">
        <f>SUM(GU71:GX71)</f>
        <v/>
      </c>
      <c r="GZ71" s="61" t="n"/>
      <c r="HA71" s="57" t="n"/>
      <c r="HB71" s="58">
        <f>GR71</f>
        <v/>
      </c>
      <c r="HC71" s="59" t="n"/>
      <c r="HD71" s="57" t="n"/>
      <c r="HE71" s="57" t="n"/>
      <c r="HF71" s="57" t="n"/>
      <c r="HG71" s="57" t="n"/>
      <c r="HH71" s="60">
        <f>SUM(HD71:HG71)</f>
        <v/>
      </c>
      <c r="HI71" s="61" t="n"/>
      <c r="HJ71" s="57" t="n"/>
      <c r="HK71" s="58">
        <f>HA71</f>
        <v/>
      </c>
      <c r="HL71" s="59" t="n"/>
      <c r="HM71" s="57" t="n"/>
      <c r="HN71" s="57" t="n"/>
      <c r="HO71" s="57" t="n"/>
      <c r="HP71" s="57" t="n"/>
      <c r="HQ71" s="60">
        <f>SUM(HM71:HP71)</f>
        <v/>
      </c>
      <c r="HR71" s="61" t="n"/>
      <c r="HS71" s="57" t="n"/>
      <c r="HT71" s="58">
        <f>HJ71</f>
        <v/>
      </c>
      <c r="HU71" s="59" t="n"/>
      <c r="HV71" s="57" t="n"/>
      <c r="HW71" s="57" t="n"/>
      <c r="HX71" s="57" t="n"/>
      <c r="HY71" s="57" t="n"/>
      <c r="HZ71" s="60">
        <f>SUM(HV71:HY71)</f>
        <v/>
      </c>
      <c r="IA71" s="61" t="n"/>
      <c r="IB71" s="57" t="n"/>
      <c r="IC71" s="58">
        <f>HS71</f>
        <v/>
      </c>
      <c r="ID71" s="59" t="n"/>
      <c r="IE71" s="57" t="n"/>
      <c r="IF71" s="57" t="n"/>
      <c r="IG71" s="57" t="n"/>
      <c r="IH71" s="57" t="n"/>
      <c r="II71" s="60">
        <f>SUM(IE71:IH71)</f>
        <v/>
      </c>
      <c r="IJ71" s="61" t="n"/>
      <c r="IK71" s="57" t="n"/>
      <c r="IL71" s="58">
        <f>IB71</f>
        <v/>
      </c>
      <c r="IM71" s="59" t="n"/>
      <c r="IN71" s="57" t="n"/>
      <c r="IO71" s="57" t="n"/>
      <c r="IP71" s="57" t="n"/>
      <c r="IQ71" s="57" t="n"/>
      <c r="IR71" s="60">
        <f>SUM(IN71:IQ71)</f>
        <v/>
      </c>
      <c r="IS71" s="61" t="n"/>
      <c r="IT71" s="57" t="n"/>
      <c r="IU71" s="58">
        <f>IK71</f>
        <v/>
      </c>
      <c r="IV71" s="59" t="n"/>
      <c r="IW71" s="57" t="n"/>
      <c r="IX71" s="57" t="n"/>
      <c r="IY71" s="57" t="n"/>
      <c r="IZ71" s="57" t="n"/>
      <c r="JA71" s="60">
        <f>SUM(IW71:IZ71)</f>
        <v/>
      </c>
      <c r="JB71" s="61" t="n"/>
      <c r="JC71" s="57" t="n"/>
      <c r="JD71" s="58">
        <f>IT71</f>
        <v/>
      </c>
      <c r="JE71" s="59" t="n"/>
      <c r="JF71" s="57" t="n"/>
      <c r="JG71" s="57" t="n"/>
      <c r="JH71" s="57" t="n"/>
      <c r="JI71" s="57" t="n"/>
      <c r="JJ71" s="60">
        <f>SUM(JF71:JI71)</f>
        <v/>
      </c>
      <c r="JK71" s="61" t="n"/>
      <c r="JL71" s="57" t="n"/>
      <c r="JM71" s="58">
        <f>JC71</f>
        <v/>
      </c>
      <c r="JN71" s="59" t="n"/>
      <c r="JO71" s="57" t="n"/>
      <c r="JP71" s="57" t="n"/>
      <c r="JQ71" s="57" t="n"/>
      <c r="JR71" s="57" t="n"/>
      <c r="JS71" s="60">
        <f>SUM(JO71:JR71)</f>
        <v/>
      </c>
      <c r="JT71" s="61" t="n"/>
      <c r="JU71" s="62">
        <f>I71+R71+AA71+AJ71+AS71+BB71+BK71+BT71+CC71+CL71+CU71+DD71+DM71+DV71+EE71+EN71+EW71+FF71+FO71+FX71+GG71+GP71+GY71+HH71+HQ71+HZ71+II71+IR71+JA71+JJ71+JS71</f>
        <v/>
      </c>
      <c r="JV71" s="63">
        <f>D71+M71+V71+AE71+AN71+AW71+BF71+BO71+BX71+CG71+CP71+CY71+DH71+DQ71+DZ71+EI71+ER71+FA71+FJ71+FS71+GB71+GK71+GT71+HC71+HL71+HU71+ID71+IM71+IV71+JE71+JN71</f>
        <v/>
      </c>
      <c r="JW71" s="62">
        <f>CHOOSE($Z$3,B71, K71, T71, AC71, AL71, AU71, BD71, BM71, BV71, CE71, CN71, CW71, DF71, DO71, DX71, EG71, EP71, EY71, FH71, FQ71, FZ71, GI71, GR71, HA71, HJ71, HS71, IB71, IK71, IT71, JC71, JL71)</f>
        <v/>
      </c>
      <c r="JX71" s="62">
        <f>IFERROR(JU71/$Z$3,0)</f>
        <v/>
      </c>
      <c r="JY71" s="62">
        <f>Configurações!$C$11</f>
        <v/>
      </c>
      <c r="JZ71" s="64">
        <f>IF(JY71=0,"— Sem meta",IF(JU71&gt;=JY71,"✓ Atingida","Em andamento"))</f>
        <v/>
      </c>
      <c r="KA71" s="65">
        <f>JU71+(9*0.0000001)</f>
        <v/>
      </c>
    </row>
    <row r="72" ht="20" customHeight="1">
      <c r="A72" s="56">
        <f>IF(Configurações!$B$12="","Assessor 6",Configurações!$B$12)</f>
        <v/>
      </c>
      <c r="B72" s="57" t="n"/>
      <c r="C72" s="66">
        <f>'Maio'!$JW72</f>
        <v/>
      </c>
      <c r="D72" s="59" t="n"/>
      <c r="E72" s="57" t="n"/>
      <c r="F72" s="57" t="n"/>
      <c r="G72" s="57" t="n"/>
      <c r="H72" s="57" t="n"/>
      <c r="I72" s="67">
        <f>SUM(E72:H72)</f>
        <v/>
      </c>
      <c r="J72" s="61" t="n"/>
      <c r="K72" s="57" t="n"/>
      <c r="L72" s="66">
        <f>B72</f>
        <v/>
      </c>
      <c r="M72" s="59" t="n"/>
      <c r="N72" s="57" t="n"/>
      <c r="O72" s="57" t="n"/>
      <c r="P72" s="57" t="n"/>
      <c r="Q72" s="57" t="n"/>
      <c r="R72" s="67">
        <f>SUM(N72:Q72)</f>
        <v/>
      </c>
      <c r="S72" s="61" t="n"/>
      <c r="T72" s="57" t="n"/>
      <c r="U72" s="66">
        <f>K72</f>
        <v/>
      </c>
      <c r="V72" s="59" t="n"/>
      <c r="W72" s="57" t="n"/>
      <c r="X72" s="57" t="n"/>
      <c r="Y72" s="57" t="n"/>
      <c r="Z72" s="57" t="n"/>
      <c r="AA72" s="67">
        <f>SUM(W72:Z72)</f>
        <v/>
      </c>
      <c r="AB72" s="61" t="n"/>
      <c r="AC72" s="57" t="n"/>
      <c r="AD72" s="66">
        <f>T72</f>
        <v/>
      </c>
      <c r="AE72" s="59" t="n"/>
      <c r="AF72" s="57" t="n"/>
      <c r="AG72" s="57" t="n"/>
      <c r="AH72" s="57" t="n"/>
      <c r="AI72" s="57" t="n"/>
      <c r="AJ72" s="67">
        <f>SUM(AF72:AI72)</f>
        <v/>
      </c>
      <c r="AK72" s="61" t="n"/>
      <c r="AL72" s="57" t="n"/>
      <c r="AM72" s="66">
        <f>AC72</f>
        <v/>
      </c>
      <c r="AN72" s="59" t="n"/>
      <c r="AO72" s="57" t="n"/>
      <c r="AP72" s="57" t="n"/>
      <c r="AQ72" s="57" t="n"/>
      <c r="AR72" s="57" t="n"/>
      <c r="AS72" s="67">
        <f>SUM(AO72:AR72)</f>
        <v/>
      </c>
      <c r="AT72" s="61" t="n"/>
      <c r="AU72" s="57" t="n"/>
      <c r="AV72" s="66">
        <f>AL72</f>
        <v/>
      </c>
      <c r="AW72" s="59" t="n"/>
      <c r="AX72" s="57" t="n"/>
      <c r="AY72" s="57" t="n"/>
      <c r="AZ72" s="57" t="n"/>
      <c r="BA72" s="57" t="n"/>
      <c r="BB72" s="67">
        <f>SUM(AX72:BA72)</f>
        <v/>
      </c>
      <c r="BC72" s="61" t="n"/>
      <c r="BD72" s="57" t="n"/>
      <c r="BE72" s="66">
        <f>AU72</f>
        <v/>
      </c>
      <c r="BF72" s="59" t="n"/>
      <c r="BG72" s="57" t="n"/>
      <c r="BH72" s="57" t="n"/>
      <c r="BI72" s="57" t="n"/>
      <c r="BJ72" s="57" t="n"/>
      <c r="BK72" s="67">
        <f>SUM(BG72:BJ72)</f>
        <v/>
      </c>
      <c r="BL72" s="61" t="n"/>
      <c r="BM72" s="57" t="n"/>
      <c r="BN72" s="66">
        <f>BD72</f>
        <v/>
      </c>
      <c r="BO72" s="59" t="n"/>
      <c r="BP72" s="57" t="n"/>
      <c r="BQ72" s="57" t="n"/>
      <c r="BR72" s="57" t="n"/>
      <c r="BS72" s="57" t="n"/>
      <c r="BT72" s="67">
        <f>SUM(BP72:BS72)</f>
        <v/>
      </c>
      <c r="BU72" s="61" t="n"/>
      <c r="BV72" s="57" t="n"/>
      <c r="BW72" s="66">
        <f>BM72</f>
        <v/>
      </c>
      <c r="BX72" s="59" t="n"/>
      <c r="BY72" s="57" t="n"/>
      <c r="BZ72" s="57" t="n"/>
      <c r="CA72" s="57" t="n"/>
      <c r="CB72" s="57" t="n"/>
      <c r="CC72" s="67">
        <f>SUM(BY72:CB72)</f>
        <v/>
      </c>
      <c r="CD72" s="61" t="n"/>
      <c r="CE72" s="57" t="n"/>
      <c r="CF72" s="66">
        <f>BV72</f>
        <v/>
      </c>
      <c r="CG72" s="59" t="n"/>
      <c r="CH72" s="57" t="n"/>
      <c r="CI72" s="57" t="n"/>
      <c r="CJ72" s="57" t="n"/>
      <c r="CK72" s="57" t="n"/>
      <c r="CL72" s="67">
        <f>SUM(CH72:CK72)</f>
        <v/>
      </c>
      <c r="CM72" s="61" t="n"/>
      <c r="CN72" s="57" t="n"/>
      <c r="CO72" s="66">
        <f>CE72</f>
        <v/>
      </c>
      <c r="CP72" s="59" t="n"/>
      <c r="CQ72" s="57" t="n"/>
      <c r="CR72" s="57" t="n"/>
      <c r="CS72" s="57" t="n"/>
      <c r="CT72" s="57" t="n"/>
      <c r="CU72" s="67">
        <f>SUM(CQ72:CT72)</f>
        <v/>
      </c>
      <c r="CV72" s="61" t="n"/>
      <c r="CW72" s="57" t="n"/>
      <c r="CX72" s="66">
        <f>CN72</f>
        <v/>
      </c>
      <c r="CY72" s="59" t="n"/>
      <c r="CZ72" s="57" t="n"/>
      <c r="DA72" s="57" t="n"/>
      <c r="DB72" s="57" t="n"/>
      <c r="DC72" s="57" t="n"/>
      <c r="DD72" s="67">
        <f>SUM(CZ72:DC72)</f>
        <v/>
      </c>
      <c r="DE72" s="61" t="n"/>
      <c r="DF72" s="57" t="n"/>
      <c r="DG72" s="66">
        <f>CW72</f>
        <v/>
      </c>
      <c r="DH72" s="59" t="n"/>
      <c r="DI72" s="57" t="n"/>
      <c r="DJ72" s="57" t="n"/>
      <c r="DK72" s="57" t="n"/>
      <c r="DL72" s="57" t="n"/>
      <c r="DM72" s="67">
        <f>SUM(DI72:DL72)</f>
        <v/>
      </c>
      <c r="DN72" s="61" t="n"/>
      <c r="DO72" s="57" t="n"/>
      <c r="DP72" s="66">
        <f>DF72</f>
        <v/>
      </c>
      <c r="DQ72" s="59" t="n"/>
      <c r="DR72" s="57" t="n"/>
      <c r="DS72" s="57" t="n"/>
      <c r="DT72" s="57" t="n"/>
      <c r="DU72" s="57" t="n"/>
      <c r="DV72" s="67">
        <f>SUM(DR72:DU72)</f>
        <v/>
      </c>
      <c r="DW72" s="61" t="n"/>
      <c r="DX72" s="57" t="n"/>
      <c r="DY72" s="66">
        <f>DO72</f>
        <v/>
      </c>
      <c r="DZ72" s="59" t="n"/>
      <c r="EA72" s="57" t="n"/>
      <c r="EB72" s="57" t="n"/>
      <c r="EC72" s="57" t="n"/>
      <c r="ED72" s="57" t="n"/>
      <c r="EE72" s="67">
        <f>SUM(EA72:ED72)</f>
        <v/>
      </c>
      <c r="EF72" s="61" t="n"/>
      <c r="EG72" s="57" t="n"/>
      <c r="EH72" s="66">
        <f>DX72</f>
        <v/>
      </c>
      <c r="EI72" s="59" t="n"/>
      <c r="EJ72" s="57" t="n"/>
      <c r="EK72" s="57" t="n"/>
      <c r="EL72" s="57" t="n"/>
      <c r="EM72" s="57" t="n"/>
      <c r="EN72" s="67">
        <f>SUM(EJ72:EM72)</f>
        <v/>
      </c>
      <c r="EO72" s="61" t="n"/>
      <c r="EP72" s="57" t="n"/>
      <c r="EQ72" s="66">
        <f>EG72</f>
        <v/>
      </c>
      <c r="ER72" s="59" t="n"/>
      <c r="ES72" s="57" t="n"/>
      <c r="ET72" s="57" t="n"/>
      <c r="EU72" s="57" t="n"/>
      <c r="EV72" s="57" t="n"/>
      <c r="EW72" s="67">
        <f>SUM(ES72:EV72)</f>
        <v/>
      </c>
      <c r="EX72" s="61" t="n"/>
      <c r="EY72" s="57" t="n"/>
      <c r="EZ72" s="66">
        <f>EP72</f>
        <v/>
      </c>
      <c r="FA72" s="59" t="n"/>
      <c r="FB72" s="57" t="n"/>
      <c r="FC72" s="57" t="n"/>
      <c r="FD72" s="57" t="n"/>
      <c r="FE72" s="57" t="n"/>
      <c r="FF72" s="67">
        <f>SUM(FB72:FE72)</f>
        <v/>
      </c>
      <c r="FG72" s="61" t="n"/>
      <c r="FH72" s="57" t="n"/>
      <c r="FI72" s="66">
        <f>EY72</f>
        <v/>
      </c>
      <c r="FJ72" s="59" t="n"/>
      <c r="FK72" s="57" t="n"/>
      <c r="FL72" s="57" t="n"/>
      <c r="FM72" s="57" t="n"/>
      <c r="FN72" s="57" t="n"/>
      <c r="FO72" s="67">
        <f>SUM(FK72:FN72)</f>
        <v/>
      </c>
      <c r="FP72" s="61" t="n"/>
      <c r="FQ72" s="57" t="n"/>
      <c r="FR72" s="66">
        <f>FH72</f>
        <v/>
      </c>
      <c r="FS72" s="59" t="n"/>
      <c r="FT72" s="57" t="n"/>
      <c r="FU72" s="57" t="n"/>
      <c r="FV72" s="57" t="n"/>
      <c r="FW72" s="57" t="n"/>
      <c r="FX72" s="67">
        <f>SUM(FT72:FW72)</f>
        <v/>
      </c>
      <c r="FY72" s="61" t="n"/>
      <c r="FZ72" s="57" t="n"/>
      <c r="GA72" s="66">
        <f>FQ72</f>
        <v/>
      </c>
      <c r="GB72" s="59" t="n"/>
      <c r="GC72" s="57" t="n"/>
      <c r="GD72" s="57" t="n"/>
      <c r="GE72" s="57" t="n"/>
      <c r="GF72" s="57" t="n"/>
      <c r="GG72" s="67">
        <f>SUM(GC72:GF72)</f>
        <v/>
      </c>
      <c r="GH72" s="61" t="n"/>
      <c r="GI72" s="57" t="n"/>
      <c r="GJ72" s="66">
        <f>FZ72</f>
        <v/>
      </c>
      <c r="GK72" s="59" t="n"/>
      <c r="GL72" s="57" t="n"/>
      <c r="GM72" s="57" t="n"/>
      <c r="GN72" s="57" t="n"/>
      <c r="GO72" s="57" t="n"/>
      <c r="GP72" s="67">
        <f>SUM(GL72:GO72)</f>
        <v/>
      </c>
      <c r="GQ72" s="61" t="n"/>
      <c r="GR72" s="57" t="n"/>
      <c r="GS72" s="66">
        <f>GI72</f>
        <v/>
      </c>
      <c r="GT72" s="59" t="n"/>
      <c r="GU72" s="57" t="n"/>
      <c r="GV72" s="57" t="n"/>
      <c r="GW72" s="57" t="n"/>
      <c r="GX72" s="57" t="n"/>
      <c r="GY72" s="67">
        <f>SUM(GU72:GX72)</f>
        <v/>
      </c>
      <c r="GZ72" s="61" t="n"/>
      <c r="HA72" s="57" t="n"/>
      <c r="HB72" s="66">
        <f>GR72</f>
        <v/>
      </c>
      <c r="HC72" s="59" t="n"/>
      <c r="HD72" s="57" t="n"/>
      <c r="HE72" s="57" t="n"/>
      <c r="HF72" s="57" t="n"/>
      <c r="HG72" s="57" t="n"/>
      <c r="HH72" s="67">
        <f>SUM(HD72:HG72)</f>
        <v/>
      </c>
      <c r="HI72" s="61" t="n"/>
      <c r="HJ72" s="57" t="n"/>
      <c r="HK72" s="66">
        <f>HA72</f>
        <v/>
      </c>
      <c r="HL72" s="59" t="n"/>
      <c r="HM72" s="57" t="n"/>
      <c r="HN72" s="57" t="n"/>
      <c r="HO72" s="57" t="n"/>
      <c r="HP72" s="57" t="n"/>
      <c r="HQ72" s="67">
        <f>SUM(HM72:HP72)</f>
        <v/>
      </c>
      <c r="HR72" s="61" t="n"/>
      <c r="HS72" s="57" t="n"/>
      <c r="HT72" s="66">
        <f>HJ72</f>
        <v/>
      </c>
      <c r="HU72" s="59" t="n"/>
      <c r="HV72" s="57" t="n"/>
      <c r="HW72" s="57" t="n"/>
      <c r="HX72" s="57" t="n"/>
      <c r="HY72" s="57" t="n"/>
      <c r="HZ72" s="67">
        <f>SUM(HV72:HY72)</f>
        <v/>
      </c>
      <c r="IA72" s="61" t="n"/>
      <c r="IB72" s="57" t="n"/>
      <c r="IC72" s="66">
        <f>HS72</f>
        <v/>
      </c>
      <c r="ID72" s="59" t="n"/>
      <c r="IE72" s="57" t="n"/>
      <c r="IF72" s="57" t="n"/>
      <c r="IG72" s="57" t="n"/>
      <c r="IH72" s="57" t="n"/>
      <c r="II72" s="67">
        <f>SUM(IE72:IH72)</f>
        <v/>
      </c>
      <c r="IJ72" s="61" t="n"/>
      <c r="IK72" s="57" t="n"/>
      <c r="IL72" s="66">
        <f>IB72</f>
        <v/>
      </c>
      <c r="IM72" s="59" t="n"/>
      <c r="IN72" s="57" t="n"/>
      <c r="IO72" s="57" t="n"/>
      <c r="IP72" s="57" t="n"/>
      <c r="IQ72" s="57" t="n"/>
      <c r="IR72" s="67">
        <f>SUM(IN72:IQ72)</f>
        <v/>
      </c>
      <c r="IS72" s="61" t="n"/>
      <c r="IT72" s="57" t="n"/>
      <c r="IU72" s="66">
        <f>IK72</f>
        <v/>
      </c>
      <c r="IV72" s="59" t="n"/>
      <c r="IW72" s="57" t="n"/>
      <c r="IX72" s="57" t="n"/>
      <c r="IY72" s="57" t="n"/>
      <c r="IZ72" s="57" t="n"/>
      <c r="JA72" s="67">
        <f>SUM(IW72:IZ72)</f>
        <v/>
      </c>
      <c r="JB72" s="61" t="n"/>
      <c r="JC72" s="57" t="n"/>
      <c r="JD72" s="66">
        <f>IT72</f>
        <v/>
      </c>
      <c r="JE72" s="59" t="n"/>
      <c r="JF72" s="57" t="n"/>
      <c r="JG72" s="57" t="n"/>
      <c r="JH72" s="57" t="n"/>
      <c r="JI72" s="57" t="n"/>
      <c r="JJ72" s="67">
        <f>SUM(JF72:JI72)</f>
        <v/>
      </c>
      <c r="JK72" s="61" t="n"/>
      <c r="JL72" s="57" t="n"/>
      <c r="JM72" s="66">
        <f>JC72</f>
        <v/>
      </c>
      <c r="JN72" s="59" t="n"/>
      <c r="JO72" s="57" t="n"/>
      <c r="JP72" s="57" t="n"/>
      <c r="JQ72" s="57" t="n"/>
      <c r="JR72" s="57" t="n"/>
      <c r="JS72" s="67">
        <f>SUM(JO72:JR72)</f>
        <v/>
      </c>
      <c r="JT72" s="61" t="n"/>
      <c r="JU72" s="62">
        <f>I72+R72+AA72+AJ72+AS72+BB72+BK72+BT72+CC72+CL72+CU72+DD72+DM72+DV72+EE72+EN72+EW72+FF72+FO72+FX72+GG72+GP72+GY72+HH72+HQ72+HZ72+II72+IR72+JA72+JJ72+JS72</f>
        <v/>
      </c>
      <c r="JV72" s="63">
        <f>D72+M72+V72+AE72+AN72+AW72+BF72+BO72+BX72+CG72+CP72+CY72+DH72+DQ72+DZ72+EI72+ER72+FA72+FJ72+FS72+GB72+GK72+GT72+HC72+HL72+HU72+ID72+IM72+IV72+JE72+JN72</f>
        <v/>
      </c>
      <c r="JW72" s="62">
        <f>CHOOSE($Z$3,B72, K72, T72, AC72, AL72, AU72, BD72, BM72, BV72, CE72, CN72, CW72, DF72, DO72, DX72, EG72, EP72, EY72, FH72, FQ72, FZ72, GI72, GR72, HA72, HJ72, HS72, IB72, IK72, IT72, JC72, JL72)</f>
        <v/>
      </c>
      <c r="JX72" s="62">
        <f>IFERROR(JU72/$Z$3,0)</f>
        <v/>
      </c>
      <c r="JY72" s="62">
        <f>Configurações!$C$12</f>
        <v/>
      </c>
      <c r="JZ72" s="64">
        <f>IF(JY72=0,"— Sem meta",IF(JU72&gt;=JY72,"✓ Atingida","Em andamento"))</f>
        <v/>
      </c>
      <c r="KA72" s="65">
        <f>JU72+(8*0.0000001)</f>
        <v/>
      </c>
    </row>
    <row r="73" ht="20" customHeight="1">
      <c r="A73" s="56">
        <f>IF(Configurações!$B$13="","Assessor 7",Configurações!$B$13)</f>
        <v/>
      </c>
      <c r="B73" s="57" t="n"/>
      <c r="C73" s="58">
        <f>'Maio'!$JW73</f>
        <v/>
      </c>
      <c r="D73" s="59" t="n"/>
      <c r="E73" s="57" t="n"/>
      <c r="F73" s="57" t="n"/>
      <c r="G73" s="57" t="n"/>
      <c r="H73" s="57" t="n"/>
      <c r="I73" s="60">
        <f>SUM(E73:H73)</f>
        <v/>
      </c>
      <c r="J73" s="61" t="n"/>
      <c r="K73" s="57" t="n"/>
      <c r="L73" s="58">
        <f>B73</f>
        <v/>
      </c>
      <c r="M73" s="59" t="n"/>
      <c r="N73" s="57" t="n"/>
      <c r="O73" s="57" t="n"/>
      <c r="P73" s="57" t="n"/>
      <c r="Q73" s="57" t="n"/>
      <c r="R73" s="60">
        <f>SUM(N73:Q73)</f>
        <v/>
      </c>
      <c r="S73" s="61" t="n"/>
      <c r="T73" s="57" t="n"/>
      <c r="U73" s="58">
        <f>K73</f>
        <v/>
      </c>
      <c r="V73" s="59" t="n"/>
      <c r="W73" s="57" t="n"/>
      <c r="X73" s="57" t="n"/>
      <c r="Y73" s="57" t="n"/>
      <c r="Z73" s="57" t="n"/>
      <c r="AA73" s="60">
        <f>SUM(W73:Z73)</f>
        <v/>
      </c>
      <c r="AB73" s="61" t="n"/>
      <c r="AC73" s="57" t="n"/>
      <c r="AD73" s="58">
        <f>T73</f>
        <v/>
      </c>
      <c r="AE73" s="59" t="n"/>
      <c r="AF73" s="57" t="n"/>
      <c r="AG73" s="57" t="n"/>
      <c r="AH73" s="57" t="n"/>
      <c r="AI73" s="57" t="n"/>
      <c r="AJ73" s="60">
        <f>SUM(AF73:AI73)</f>
        <v/>
      </c>
      <c r="AK73" s="61" t="n"/>
      <c r="AL73" s="57" t="n"/>
      <c r="AM73" s="58">
        <f>AC73</f>
        <v/>
      </c>
      <c r="AN73" s="59" t="n"/>
      <c r="AO73" s="57" t="n"/>
      <c r="AP73" s="57" t="n"/>
      <c r="AQ73" s="57" t="n"/>
      <c r="AR73" s="57" t="n"/>
      <c r="AS73" s="60">
        <f>SUM(AO73:AR73)</f>
        <v/>
      </c>
      <c r="AT73" s="61" t="n"/>
      <c r="AU73" s="57" t="n"/>
      <c r="AV73" s="58">
        <f>AL73</f>
        <v/>
      </c>
      <c r="AW73" s="59" t="n"/>
      <c r="AX73" s="57" t="n"/>
      <c r="AY73" s="57" t="n"/>
      <c r="AZ73" s="57" t="n"/>
      <c r="BA73" s="57" t="n"/>
      <c r="BB73" s="60">
        <f>SUM(AX73:BA73)</f>
        <v/>
      </c>
      <c r="BC73" s="61" t="n"/>
      <c r="BD73" s="57" t="n"/>
      <c r="BE73" s="58">
        <f>AU73</f>
        <v/>
      </c>
      <c r="BF73" s="59" t="n"/>
      <c r="BG73" s="57" t="n"/>
      <c r="BH73" s="57" t="n"/>
      <c r="BI73" s="57" t="n"/>
      <c r="BJ73" s="57" t="n"/>
      <c r="BK73" s="60">
        <f>SUM(BG73:BJ73)</f>
        <v/>
      </c>
      <c r="BL73" s="61" t="n"/>
      <c r="BM73" s="57" t="n"/>
      <c r="BN73" s="58">
        <f>BD73</f>
        <v/>
      </c>
      <c r="BO73" s="59" t="n"/>
      <c r="BP73" s="57" t="n"/>
      <c r="BQ73" s="57" t="n"/>
      <c r="BR73" s="57" t="n"/>
      <c r="BS73" s="57" t="n"/>
      <c r="BT73" s="60">
        <f>SUM(BP73:BS73)</f>
        <v/>
      </c>
      <c r="BU73" s="61" t="n"/>
      <c r="BV73" s="57" t="n"/>
      <c r="BW73" s="58">
        <f>BM73</f>
        <v/>
      </c>
      <c r="BX73" s="59" t="n"/>
      <c r="BY73" s="57" t="n"/>
      <c r="BZ73" s="57" t="n"/>
      <c r="CA73" s="57" t="n"/>
      <c r="CB73" s="57" t="n"/>
      <c r="CC73" s="60">
        <f>SUM(BY73:CB73)</f>
        <v/>
      </c>
      <c r="CD73" s="61" t="n"/>
      <c r="CE73" s="57" t="n"/>
      <c r="CF73" s="58">
        <f>BV73</f>
        <v/>
      </c>
      <c r="CG73" s="59" t="n"/>
      <c r="CH73" s="57" t="n"/>
      <c r="CI73" s="57" t="n"/>
      <c r="CJ73" s="57" t="n"/>
      <c r="CK73" s="57" t="n"/>
      <c r="CL73" s="60">
        <f>SUM(CH73:CK73)</f>
        <v/>
      </c>
      <c r="CM73" s="61" t="n"/>
      <c r="CN73" s="57" t="n"/>
      <c r="CO73" s="58">
        <f>CE73</f>
        <v/>
      </c>
      <c r="CP73" s="59" t="n"/>
      <c r="CQ73" s="57" t="n"/>
      <c r="CR73" s="57" t="n"/>
      <c r="CS73" s="57" t="n"/>
      <c r="CT73" s="57" t="n"/>
      <c r="CU73" s="60">
        <f>SUM(CQ73:CT73)</f>
        <v/>
      </c>
      <c r="CV73" s="61" t="n"/>
      <c r="CW73" s="57" t="n"/>
      <c r="CX73" s="58">
        <f>CN73</f>
        <v/>
      </c>
      <c r="CY73" s="59" t="n"/>
      <c r="CZ73" s="57" t="n"/>
      <c r="DA73" s="57" t="n"/>
      <c r="DB73" s="57" t="n"/>
      <c r="DC73" s="57" t="n"/>
      <c r="DD73" s="60">
        <f>SUM(CZ73:DC73)</f>
        <v/>
      </c>
      <c r="DE73" s="61" t="n"/>
      <c r="DF73" s="57" t="n"/>
      <c r="DG73" s="58">
        <f>CW73</f>
        <v/>
      </c>
      <c r="DH73" s="59" t="n"/>
      <c r="DI73" s="57" t="n"/>
      <c r="DJ73" s="57" t="n"/>
      <c r="DK73" s="57" t="n"/>
      <c r="DL73" s="57" t="n"/>
      <c r="DM73" s="60">
        <f>SUM(DI73:DL73)</f>
        <v/>
      </c>
      <c r="DN73" s="61" t="n"/>
      <c r="DO73" s="57" t="n"/>
      <c r="DP73" s="58">
        <f>DF73</f>
        <v/>
      </c>
      <c r="DQ73" s="59" t="n"/>
      <c r="DR73" s="57" t="n"/>
      <c r="DS73" s="57" t="n"/>
      <c r="DT73" s="57" t="n"/>
      <c r="DU73" s="57" t="n"/>
      <c r="DV73" s="60">
        <f>SUM(DR73:DU73)</f>
        <v/>
      </c>
      <c r="DW73" s="61" t="n"/>
      <c r="DX73" s="57" t="n"/>
      <c r="DY73" s="58">
        <f>DO73</f>
        <v/>
      </c>
      <c r="DZ73" s="59" t="n"/>
      <c r="EA73" s="57" t="n"/>
      <c r="EB73" s="57" t="n"/>
      <c r="EC73" s="57" t="n"/>
      <c r="ED73" s="57" t="n"/>
      <c r="EE73" s="60">
        <f>SUM(EA73:ED73)</f>
        <v/>
      </c>
      <c r="EF73" s="61" t="n"/>
      <c r="EG73" s="57" t="n"/>
      <c r="EH73" s="58">
        <f>DX73</f>
        <v/>
      </c>
      <c r="EI73" s="59" t="n"/>
      <c r="EJ73" s="57" t="n"/>
      <c r="EK73" s="57" t="n"/>
      <c r="EL73" s="57" t="n"/>
      <c r="EM73" s="57" t="n"/>
      <c r="EN73" s="60">
        <f>SUM(EJ73:EM73)</f>
        <v/>
      </c>
      <c r="EO73" s="61" t="n"/>
      <c r="EP73" s="57" t="n"/>
      <c r="EQ73" s="58">
        <f>EG73</f>
        <v/>
      </c>
      <c r="ER73" s="59" t="n"/>
      <c r="ES73" s="57" t="n"/>
      <c r="ET73" s="57" t="n"/>
      <c r="EU73" s="57" t="n"/>
      <c r="EV73" s="57" t="n"/>
      <c r="EW73" s="60">
        <f>SUM(ES73:EV73)</f>
        <v/>
      </c>
      <c r="EX73" s="61" t="n"/>
      <c r="EY73" s="57" t="n"/>
      <c r="EZ73" s="58">
        <f>EP73</f>
        <v/>
      </c>
      <c r="FA73" s="59" t="n"/>
      <c r="FB73" s="57" t="n"/>
      <c r="FC73" s="57" t="n"/>
      <c r="FD73" s="57" t="n"/>
      <c r="FE73" s="57" t="n"/>
      <c r="FF73" s="60">
        <f>SUM(FB73:FE73)</f>
        <v/>
      </c>
      <c r="FG73" s="61" t="n"/>
      <c r="FH73" s="57" t="n"/>
      <c r="FI73" s="58">
        <f>EY73</f>
        <v/>
      </c>
      <c r="FJ73" s="59" t="n"/>
      <c r="FK73" s="57" t="n"/>
      <c r="FL73" s="57" t="n"/>
      <c r="FM73" s="57" t="n"/>
      <c r="FN73" s="57" t="n"/>
      <c r="FO73" s="60">
        <f>SUM(FK73:FN73)</f>
        <v/>
      </c>
      <c r="FP73" s="61" t="n"/>
      <c r="FQ73" s="57" t="n"/>
      <c r="FR73" s="58">
        <f>FH73</f>
        <v/>
      </c>
      <c r="FS73" s="59" t="n"/>
      <c r="FT73" s="57" t="n"/>
      <c r="FU73" s="57" t="n"/>
      <c r="FV73" s="57" t="n"/>
      <c r="FW73" s="57" t="n"/>
      <c r="FX73" s="60">
        <f>SUM(FT73:FW73)</f>
        <v/>
      </c>
      <c r="FY73" s="61" t="n"/>
      <c r="FZ73" s="57" t="n"/>
      <c r="GA73" s="58">
        <f>FQ73</f>
        <v/>
      </c>
      <c r="GB73" s="59" t="n"/>
      <c r="GC73" s="57" t="n"/>
      <c r="GD73" s="57" t="n"/>
      <c r="GE73" s="57" t="n"/>
      <c r="GF73" s="57" t="n"/>
      <c r="GG73" s="60">
        <f>SUM(GC73:GF73)</f>
        <v/>
      </c>
      <c r="GH73" s="61" t="n"/>
      <c r="GI73" s="57" t="n"/>
      <c r="GJ73" s="58">
        <f>FZ73</f>
        <v/>
      </c>
      <c r="GK73" s="59" t="n"/>
      <c r="GL73" s="57" t="n"/>
      <c r="GM73" s="57" t="n"/>
      <c r="GN73" s="57" t="n"/>
      <c r="GO73" s="57" t="n"/>
      <c r="GP73" s="60">
        <f>SUM(GL73:GO73)</f>
        <v/>
      </c>
      <c r="GQ73" s="61" t="n"/>
      <c r="GR73" s="57" t="n"/>
      <c r="GS73" s="58">
        <f>GI73</f>
        <v/>
      </c>
      <c r="GT73" s="59" t="n"/>
      <c r="GU73" s="57" t="n"/>
      <c r="GV73" s="57" t="n"/>
      <c r="GW73" s="57" t="n"/>
      <c r="GX73" s="57" t="n"/>
      <c r="GY73" s="60">
        <f>SUM(GU73:GX73)</f>
        <v/>
      </c>
      <c r="GZ73" s="61" t="n"/>
      <c r="HA73" s="57" t="n"/>
      <c r="HB73" s="58">
        <f>GR73</f>
        <v/>
      </c>
      <c r="HC73" s="59" t="n"/>
      <c r="HD73" s="57" t="n"/>
      <c r="HE73" s="57" t="n"/>
      <c r="HF73" s="57" t="n"/>
      <c r="HG73" s="57" t="n"/>
      <c r="HH73" s="60">
        <f>SUM(HD73:HG73)</f>
        <v/>
      </c>
      <c r="HI73" s="61" t="n"/>
      <c r="HJ73" s="57" t="n"/>
      <c r="HK73" s="58">
        <f>HA73</f>
        <v/>
      </c>
      <c r="HL73" s="59" t="n"/>
      <c r="HM73" s="57" t="n"/>
      <c r="HN73" s="57" t="n"/>
      <c r="HO73" s="57" t="n"/>
      <c r="HP73" s="57" t="n"/>
      <c r="HQ73" s="60">
        <f>SUM(HM73:HP73)</f>
        <v/>
      </c>
      <c r="HR73" s="61" t="n"/>
      <c r="HS73" s="57" t="n"/>
      <c r="HT73" s="58">
        <f>HJ73</f>
        <v/>
      </c>
      <c r="HU73" s="59" t="n"/>
      <c r="HV73" s="57" t="n"/>
      <c r="HW73" s="57" t="n"/>
      <c r="HX73" s="57" t="n"/>
      <c r="HY73" s="57" t="n"/>
      <c r="HZ73" s="60">
        <f>SUM(HV73:HY73)</f>
        <v/>
      </c>
      <c r="IA73" s="61" t="n"/>
      <c r="IB73" s="57" t="n"/>
      <c r="IC73" s="58">
        <f>HS73</f>
        <v/>
      </c>
      <c r="ID73" s="59" t="n"/>
      <c r="IE73" s="57" t="n"/>
      <c r="IF73" s="57" t="n"/>
      <c r="IG73" s="57" t="n"/>
      <c r="IH73" s="57" t="n"/>
      <c r="II73" s="60">
        <f>SUM(IE73:IH73)</f>
        <v/>
      </c>
      <c r="IJ73" s="61" t="n"/>
      <c r="IK73" s="57" t="n"/>
      <c r="IL73" s="58">
        <f>IB73</f>
        <v/>
      </c>
      <c r="IM73" s="59" t="n"/>
      <c r="IN73" s="57" t="n"/>
      <c r="IO73" s="57" t="n"/>
      <c r="IP73" s="57" t="n"/>
      <c r="IQ73" s="57" t="n"/>
      <c r="IR73" s="60">
        <f>SUM(IN73:IQ73)</f>
        <v/>
      </c>
      <c r="IS73" s="61" t="n"/>
      <c r="IT73" s="57" t="n"/>
      <c r="IU73" s="58">
        <f>IK73</f>
        <v/>
      </c>
      <c r="IV73" s="59" t="n"/>
      <c r="IW73" s="57" t="n"/>
      <c r="IX73" s="57" t="n"/>
      <c r="IY73" s="57" t="n"/>
      <c r="IZ73" s="57" t="n"/>
      <c r="JA73" s="60">
        <f>SUM(IW73:IZ73)</f>
        <v/>
      </c>
      <c r="JB73" s="61" t="n"/>
      <c r="JC73" s="57" t="n"/>
      <c r="JD73" s="58">
        <f>IT73</f>
        <v/>
      </c>
      <c r="JE73" s="59" t="n"/>
      <c r="JF73" s="57" t="n"/>
      <c r="JG73" s="57" t="n"/>
      <c r="JH73" s="57" t="n"/>
      <c r="JI73" s="57" t="n"/>
      <c r="JJ73" s="60">
        <f>SUM(JF73:JI73)</f>
        <v/>
      </c>
      <c r="JK73" s="61" t="n"/>
      <c r="JL73" s="57" t="n"/>
      <c r="JM73" s="58">
        <f>JC73</f>
        <v/>
      </c>
      <c r="JN73" s="59" t="n"/>
      <c r="JO73" s="57" t="n"/>
      <c r="JP73" s="57" t="n"/>
      <c r="JQ73" s="57" t="n"/>
      <c r="JR73" s="57" t="n"/>
      <c r="JS73" s="60">
        <f>SUM(JO73:JR73)</f>
        <v/>
      </c>
      <c r="JT73" s="61" t="n"/>
      <c r="JU73" s="62">
        <f>I73+R73+AA73+AJ73+AS73+BB73+BK73+BT73+CC73+CL73+CU73+DD73+DM73+DV73+EE73+EN73+EW73+FF73+FO73+FX73+GG73+GP73+GY73+HH73+HQ73+HZ73+II73+IR73+JA73+JJ73+JS73</f>
        <v/>
      </c>
      <c r="JV73" s="63">
        <f>D73+M73+V73+AE73+AN73+AW73+BF73+BO73+BX73+CG73+CP73+CY73+DH73+DQ73+DZ73+EI73+ER73+FA73+FJ73+FS73+GB73+GK73+GT73+HC73+HL73+HU73+ID73+IM73+IV73+JE73+JN73</f>
        <v/>
      </c>
      <c r="JW73" s="62">
        <f>CHOOSE($Z$3,B73, K73, T73, AC73, AL73, AU73, BD73, BM73, BV73, CE73, CN73, CW73, DF73, DO73, DX73, EG73, EP73, EY73, FH73, FQ73, FZ73, GI73, GR73, HA73, HJ73, HS73, IB73, IK73, IT73, JC73, JL73)</f>
        <v/>
      </c>
      <c r="JX73" s="62">
        <f>IFERROR(JU73/$Z$3,0)</f>
        <v/>
      </c>
      <c r="JY73" s="62">
        <f>Configurações!$C$13</f>
        <v/>
      </c>
      <c r="JZ73" s="64">
        <f>IF(JY73=0,"— Sem meta",IF(JU73&gt;=JY73,"✓ Atingida","Em andamento"))</f>
        <v/>
      </c>
      <c r="KA73" s="65">
        <f>JU73+(7*0.0000001)</f>
        <v/>
      </c>
    </row>
    <row r="74" ht="20" customHeight="1">
      <c r="A74" s="56">
        <f>IF(Configurações!$B$14="","Assessor 8",Configurações!$B$14)</f>
        <v/>
      </c>
      <c r="B74" s="57" t="n"/>
      <c r="C74" s="66">
        <f>'Maio'!$JW74</f>
        <v/>
      </c>
      <c r="D74" s="59" t="n"/>
      <c r="E74" s="57" t="n"/>
      <c r="F74" s="57" t="n"/>
      <c r="G74" s="57" t="n"/>
      <c r="H74" s="57" t="n"/>
      <c r="I74" s="67">
        <f>SUM(E74:H74)</f>
        <v/>
      </c>
      <c r="J74" s="61" t="n"/>
      <c r="K74" s="57" t="n"/>
      <c r="L74" s="66">
        <f>B74</f>
        <v/>
      </c>
      <c r="M74" s="59" t="n"/>
      <c r="N74" s="57" t="n"/>
      <c r="O74" s="57" t="n"/>
      <c r="P74" s="57" t="n"/>
      <c r="Q74" s="57" t="n"/>
      <c r="R74" s="67">
        <f>SUM(N74:Q74)</f>
        <v/>
      </c>
      <c r="S74" s="61" t="n"/>
      <c r="T74" s="57" t="n"/>
      <c r="U74" s="66">
        <f>K74</f>
        <v/>
      </c>
      <c r="V74" s="59" t="n"/>
      <c r="W74" s="57" t="n"/>
      <c r="X74" s="57" t="n"/>
      <c r="Y74" s="57" t="n"/>
      <c r="Z74" s="57" t="n"/>
      <c r="AA74" s="67">
        <f>SUM(W74:Z74)</f>
        <v/>
      </c>
      <c r="AB74" s="61" t="n"/>
      <c r="AC74" s="57" t="n"/>
      <c r="AD74" s="66">
        <f>T74</f>
        <v/>
      </c>
      <c r="AE74" s="59" t="n"/>
      <c r="AF74" s="57" t="n"/>
      <c r="AG74" s="57" t="n"/>
      <c r="AH74" s="57" t="n"/>
      <c r="AI74" s="57" t="n"/>
      <c r="AJ74" s="67">
        <f>SUM(AF74:AI74)</f>
        <v/>
      </c>
      <c r="AK74" s="61" t="n"/>
      <c r="AL74" s="57" t="n"/>
      <c r="AM74" s="66">
        <f>AC74</f>
        <v/>
      </c>
      <c r="AN74" s="59" t="n"/>
      <c r="AO74" s="57" t="n"/>
      <c r="AP74" s="57" t="n"/>
      <c r="AQ74" s="57" t="n"/>
      <c r="AR74" s="57" t="n"/>
      <c r="AS74" s="67">
        <f>SUM(AO74:AR74)</f>
        <v/>
      </c>
      <c r="AT74" s="61" t="n"/>
      <c r="AU74" s="57" t="n"/>
      <c r="AV74" s="66">
        <f>AL74</f>
        <v/>
      </c>
      <c r="AW74" s="59" t="n"/>
      <c r="AX74" s="57" t="n"/>
      <c r="AY74" s="57" t="n"/>
      <c r="AZ74" s="57" t="n"/>
      <c r="BA74" s="57" t="n"/>
      <c r="BB74" s="67">
        <f>SUM(AX74:BA74)</f>
        <v/>
      </c>
      <c r="BC74" s="61" t="n"/>
      <c r="BD74" s="57" t="n"/>
      <c r="BE74" s="66">
        <f>AU74</f>
        <v/>
      </c>
      <c r="BF74" s="59" t="n"/>
      <c r="BG74" s="57" t="n"/>
      <c r="BH74" s="57" t="n"/>
      <c r="BI74" s="57" t="n"/>
      <c r="BJ74" s="57" t="n"/>
      <c r="BK74" s="67">
        <f>SUM(BG74:BJ74)</f>
        <v/>
      </c>
      <c r="BL74" s="61" t="n"/>
      <c r="BM74" s="57" t="n"/>
      <c r="BN74" s="66">
        <f>BD74</f>
        <v/>
      </c>
      <c r="BO74" s="59" t="n"/>
      <c r="BP74" s="57" t="n"/>
      <c r="BQ74" s="57" t="n"/>
      <c r="BR74" s="57" t="n"/>
      <c r="BS74" s="57" t="n"/>
      <c r="BT74" s="67">
        <f>SUM(BP74:BS74)</f>
        <v/>
      </c>
      <c r="BU74" s="61" t="n"/>
      <c r="BV74" s="57" t="n"/>
      <c r="BW74" s="66">
        <f>BM74</f>
        <v/>
      </c>
      <c r="BX74" s="59" t="n"/>
      <c r="BY74" s="57" t="n"/>
      <c r="BZ74" s="57" t="n"/>
      <c r="CA74" s="57" t="n"/>
      <c r="CB74" s="57" t="n"/>
      <c r="CC74" s="67">
        <f>SUM(BY74:CB74)</f>
        <v/>
      </c>
      <c r="CD74" s="61" t="n"/>
      <c r="CE74" s="57" t="n"/>
      <c r="CF74" s="66">
        <f>BV74</f>
        <v/>
      </c>
      <c r="CG74" s="59" t="n"/>
      <c r="CH74" s="57" t="n"/>
      <c r="CI74" s="57" t="n"/>
      <c r="CJ74" s="57" t="n"/>
      <c r="CK74" s="57" t="n"/>
      <c r="CL74" s="67">
        <f>SUM(CH74:CK74)</f>
        <v/>
      </c>
      <c r="CM74" s="61" t="n"/>
      <c r="CN74" s="57" t="n"/>
      <c r="CO74" s="66">
        <f>CE74</f>
        <v/>
      </c>
      <c r="CP74" s="59" t="n"/>
      <c r="CQ74" s="57" t="n"/>
      <c r="CR74" s="57" t="n"/>
      <c r="CS74" s="57" t="n"/>
      <c r="CT74" s="57" t="n"/>
      <c r="CU74" s="67">
        <f>SUM(CQ74:CT74)</f>
        <v/>
      </c>
      <c r="CV74" s="61" t="n"/>
      <c r="CW74" s="57" t="n"/>
      <c r="CX74" s="66">
        <f>CN74</f>
        <v/>
      </c>
      <c r="CY74" s="59" t="n"/>
      <c r="CZ74" s="57" t="n"/>
      <c r="DA74" s="57" t="n"/>
      <c r="DB74" s="57" t="n"/>
      <c r="DC74" s="57" t="n"/>
      <c r="DD74" s="67">
        <f>SUM(CZ74:DC74)</f>
        <v/>
      </c>
      <c r="DE74" s="61" t="n"/>
      <c r="DF74" s="57" t="n"/>
      <c r="DG74" s="66">
        <f>CW74</f>
        <v/>
      </c>
      <c r="DH74" s="59" t="n"/>
      <c r="DI74" s="57" t="n"/>
      <c r="DJ74" s="57" t="n"/>
      <c r="DK74" s="57" t="n"/>
      <c r="DL74" s="57" t="n"/>
      <c r="DM74" s="67">
        <f>SUM(DI74:DL74)</f>
        <v/>
      </c>
      <c r="DN74" s="61" t="n"/>
      <c r="DO74" s="57" t="n"/>
      <c r="DP74" s="66">
        <f>DF74</f>
        <v/>
      </c>
      <c r="DQ74" s="59" t="n"/>
      <c r="DR74" s="57" t="n"/>
      <c r="DS74" s="57" t="n"/>
      <c r="DT74" s="57" t="n"/>
      <c r="DU74" s="57" t="n"/>
      <c r="DV74" s="67">
        <f>SUM(DR74:DU74)</f>
        <v/>
      </c>
      <c r="DW74" s="61" t="n"/>
      <c r="DX74" s="57" t="n"/>
      <c r="DY74" s="66">
        <f>DO74</f>
        <v/>
      </c>
      <c r="DZ74" s="59" t="n"/>
      <c r="EA74" s="57" t="n"/>
      <c r="EB74" s="57" t="n"/>
      <c r="EC74" s="57" t="n"/>
      <c r="ED74" s="57" t="n"/>
      <c r="EE74" s="67">
        <f>SUM(EA74:ED74)</f>
        <v/>
      </c>
      <c r="EF74" s="61" t="n"/>
      <c r="EG74" s="57" t="n"/>
      <c r="EH74" s="66">
        <f>DX74</f>
        <v/>
      </c>
      <c r="EI74" s="59" t="n"/>
      <c r="EJ74" s="57" t="n"/>
      <c r="EK74" s="57" t="n"/>
      <c r="EL74" s="57" t="n"/>
      <c r="EM74" s="57" t="n"/>
      <c r="EN74" s="67">
        <f>SUM(EJ74:EM74)</f>
        <v/>
      </c>
      <c r="EO74" s="61" t="n"/>
      <c r="EP74" s="57" t="n"/>
      <c r="EQ74" s="66">
        <f>EG74</f>
        <v/>
      </c>
      <c r="ER74" s="59" t="n"/>
      <c r="ES74" s="57" t="n"/>
      <c r="ET74" s="57" t="n"/>
      <c r="EU74" s="57" t="n"/>
      <c r="EV74" s="57" t="n"/>
      <c r="EW74" s="67">
        <f>SUM(ES74:EV74)</f>
        <v/>
      </c>
      <c r="EX74" s="61" t="n"/>
      <c r="EY74" s="57" t="n"/>
      <c r="EZ74" s="66">
        <f>EP74</f>
        <v/>
      </c>
      <c r="FA74" s="59" t="n"/>
      <c r="FB74" s="57" t="n"/>
      <c r="FC74" s="57" t="n"/>
      <c r="FD74" s="57" t="n"/>
      <c r="FE74" s="57" t="n"/>
      <c r="FF74" s="67">
        <f>SUM(FB74:FE74)</f>
        <v/>
      </c>
      <c r="FG74" s="61" t="n"/>
      <c r="FH74" s="57" t="n"/>
      <c r="FI74" s="66">
        <f>EY74</f>
        <v/>
      </c>
      <c r="FJ74" s="59" t="n"/>
      <c r="FK74" s="57" t="n"/>
      <c r="FL74" s="57" t="n"/>
      <c r="FM74" s="57" t="n"/>
      <c r="FN74" s="57" t="n"/>
      <c r="FO74" s="67">
        <f>SUM(FK74:FN74)</f>
        <v/>
      </c>
      <c r="FP74" s="61" t="n"/>
      <c r="FQ74" s="57" t="n"/>
      <c r="FR74" s="66">
        <f>FH74</f>
        <v/>
      </c>
      <c r="FS74" s="59" t="n"/>
      <c r="FT74" s="57" t="n"/>
      <c r="FU74" s="57" t="n"/>
      <c r="FV74" s="57" t="n"/>
      <c r="FW74" s="57" t="n"/>
      <c r="FX74" s="67">
        <f>SUM(FT74:FW74)</f>
        <v/>
      </c>
      <c r="FY74" s="61" t="n"/>
      <c r="FZ74" s="57" t="n"/>
      <c r="GA74" s="66">
        <f>FQ74</f>
        <v/>
      </c>
      <c r="GB74" s="59" t="n"/>
      <c r="GC74" s="57" t="n"/>
      <c r="GD74" s="57" t="n"/>
      <c r="GE74" s="57" t="n"/>
      <c r="GF74" s="57" t="n"/>
      <c r="GG74" s="67">
        <f>SUM(GC74:GF74)</f>
        <v/>
      </c>
      <c r="GH74" s="61" t="n"/>
      <c r="GI74" s="57" t="n"/>
      <c r="GJ74" s="66">
        <f>FZ74</f>
        <v/>
      </c>
      <c r="GK74" s="59" t="n"/>
      <c r="GL74" s="57" t="n"/>
      <c r="GM74" s="57" t="n"/>
      <c r="GN74" s="57" t="n"/>
      <c r="GO74" s="57" t="n"/>
      <c r="GP74" s="67">
        <f>SUM(GL74:GO74)</f>
        <v/>
      </c>
      <c r="GQ74" s="61" t="n"/>
      <c r="GR74" s="57" t="n"/>
      <c r="GS74" s="66">
        <f>GI74</f>
        <v/>
      </c>
      <c r="GT74" s="59" t="n"/>
      <c r="GU74" s="57" t="n"/>
      <c r="GV74" s="57" t="n"/>
      <c r="GW74" s="57" t="n"/>
      <c r="GX74" s="57" t="n"/>
      <c r="GY74" s="67">
        <f>SUM(GU74:GX74)</f>
        <v/>
      </c>
      <c r="GZ74" s="61" t="n"/>
      <c r="HA74" s="57" t="n"/>
      <c r="HB74" s="66">
        <f>GR74</f>
        <v/>
      </c>
      <c r="HC74" s="59" t="n"/>
      <c r="HD74" s="57" t="n"/>
      <c r="HE74" s="57" t="n"/>
      <c r="HF74" s="57" t="n"/>
      <c r="HG74" s="57" t="n"/>
      <c r="HH74" s="67">
        <f>SUM(HD74:HG74)</f>
        <v/>
      </c>
      <c r="HI74" s="61" t="n"/>
      <c r="HJ74" s="57" t="n"/>
      <c r="HK74" s="66">
        <f>HA74</f>
        <v/>
      </c>
      <c r="HL74" s="59" t="n"/>
      <c r="HM74" s="57" t="n"/>
      <c r="HN74" s="57" t="n"/>
      <c r="HO74" s="57" t="n"/>
      <c r="HP74" s="57" t="n"/>
      <c r="HQ74" s="67">
        <f>SUM(HM74:HP74)</f>
        <v/>
      </c>
      <c r="HR74" s="61" t="n"/>
      <c r="HS74" s="57" t="n"/>
      <c r="HT74" s="66">
        <f>HJ74</f>
        <v/>
      </c>
      <c r="HU74" s="59" t="n"/>
      <c r="HV74" s="57" t="n"/>
      <c r="HW74" s="57" t="n"/>
      <c r="HX74" s="57" t="n"/>
      <c r="HY74" s="57" t="n"/>
      <c r="HZ74" s="67">
        <f>SUM(HV74:HY74)</f>
        <v/>
      </c>
      <c r="IA74" s="61" t="n"/>
      <c r="IB74" s="57" t="n"/>
      <c r="IC74" s="66">
        <f>HS74</f>
        <v/>
      </c>
      <c r="ID74" s="59" t="n"/>
      <c r="IE74" s="57" t="n"/>
      <c r="IF74" s="57" t="n"/>
      <c r="IG74" s="57" t="n"/>
      <c r="IH74" s="57" t="n"/>
      <c r="II74" s="67">
        <f>SUM(IE74:IH74)</f>
        <v/>
      </c>
      <c r="IJ74" s="61" t="n"/>
      <c r="IK74" s="57" t="n"/>
      <c r="IL74" s="66">
        <f>IB74</f>
        <v/>
      </c>
      <c r="IM74" s="59" t="n"/>
      <c r="IN74" s="57" t="n"/>
      <c r="IO74" s="57" t="n"/>
      <c r="IP74" s="57" t="n"/>
      <c r="IQ74" s="57" t="n"/>
      <c r="IR74" s="67">
        <f>SUM(IN74:IQ74)</f>
        <v/>
      </c>
      <c r="IS74" s="61" t="n"/>
      <c r="IT74" s="57" t="n"/>
      <c r="IU74" s="66">
        <f>IK74</f>
        <v/>
      </c>
      <c r="IV74" s="59" t="n"/>
      <c r="IW74" s="57" t="n"/>
      <c r="IX74" s="57" t="n"/>
      <c r="IY74" s="57" t="n"/>
      <c r="IZ74" s="57" t="n"/>
      <c r="JA74" s="67">
        <f>SUM(IW74:IZ74)</f>
        <v/>
      </c>
      <c r="JB74" s="61" t="n"/>
      <c r="JC74" s="57" t="n"/>
      <c r="JD74" s="66">
        <f>IT74</f>
        <v/>
      </c>
      <c r="JE74" s="59" t="n"/>
      <c r="JF74" s="57" t="n"/>
      <c r="JG74" s="57" t="n"/>
      <c r="JH74" s="57" t="n"/>
      <c r="JI74" s="57" t="n"/>
      <c r="JJ74" s="67">
        <f>SUM(JF74:JI74)</f>
        <v/>
      </c>
      <c r="JK74" s="61" t="n"/>
      <c r="JL74" s="57" t="n"/>
      <c r="JM74" s="66">
        <f>JC74</f>
        <v/>
      </c>
      <c r="JN74" s="59" t="n"/>
      <c r="JO74" s="57" t="n"/>
      <c r="JP74" s="57" t="n"/>
      <c r="JQ74" s="57" t="n"/>
      <c r="JR74" s="57" t="n"/>
      <c r="JS74" s="67">
        <f>SUM(JO74:JR74)</f>
        <v/>
      </c>
      <c r="JT74" s="61" t="n"/>
      <c r="JU74" s="62">
        <f>I74+R74+AA74+AJ74+AS74+BB74+BK74+BT74+CC74+CL74+CU74+DD74+DM74+DV74+EE74+EN74+EW74+FF74+FO74+FX74+GG74+GP74+GY74+HH74+HQ74+HZ74+II74+IR74+JA74+JJ74+JS74</f>
        <v/>
      </c>
      <c r="JV74" s="63">
        <f>D74+M74+V74+AE74+AN74+AW74+BF74+BO74+BX74+CG74+CP74+CY74+DH74+DQ74+DZ74+EI74+ER74+FA74+FJ74+FS74+GB74+GK74+GT74+HC74+HL74+HU74+ID74+IM74+IV74+JE74+JN74</f>
        <v/>
      </c>
      <c r="JW74" s="62">
        <f>CHOOSE($Z$3,B74, K74, T74, AC74, AL74, AU74, BD74, BM74, BV74, CE74, CN74, CW74, DF74, DO74, DX74, EG74, EP74, EY74, FH74, FQ74, FZ74, GI74, GR74, HA74, HJ74, HS74, IB74, IK74, IT74, JC74, JL74)</f>
        <v/>
      </c>
      <c r="JX74" s="62">
        <f>IFERROR(JU74/$Z$3,0)</f>
        <v/>
      </c>
      <c r="JY74" s="62">
        <f>Configurações!$C$14</f>
        <v/>
      </c>
      <c r="JZ74" s="64">
        <f>IF(JY74=0,"— Sem meta",IF(JU74&gt;=JY74,"✓ Atingida","Em andamento"))</f>
        <v/>
      </c>
      <c r="KA74" s="65">
        <f>JU74+(6*0.0000001)</f>
        <v/>
      </c>
    </row>
    <row r="75" ht="20" customHeight="1">
      <c r="A75" s="56">
        <f>IF(Configurações!$B$15="","Assessor 9",Configurações!$B$15)</f>
        <v/>
      </c>
      <c r="B75" s="57" t="n"/>
      <c r="C75" s="58">
        <f>'Maio'!$JW75</f>
        <v/>
      </c>
      <c r="D75" s="59" t="n"/>
      <c r="E75" s="57" t="n"/>
      <c r="F75" s="57" t="n"/>
      <c r="G75" s="57" t="n"/>
      <c r="H75" s="57" t="n"/>
      <c r="I75" s="60">
        <f>SUM(E75:H75)</f>
        <v/>
      </c>
      <c r="J75" s="61" t="n"/>
      <c r="K75" s="57" t="n"/>
      <c r="L75" s="58">
        <f>B75</f>
        <v/>
      </c>
      <c r="M75" s="59" t="n"/>
      <c r="N75" s="57" t="n"/>
      <c r="O75" s="57" t="n"/>
      <c r="P75" s="57" t="n"/>
      <c r="Q75" s="57" t="n"/>
      <c r="R75" s="60">
        <f>SUM(N75:Q75)</f>
        <v/>
      </c>
      <c r="S75" s="61" t="n"/>
      <c r="T75" s="57" t="n"/>
      <c r="U75" s="58">
        <f>K75</f>
        <v/>
      </c>
      <c r="V75" s="59" t="n"/>
      <c r="W75" s="57" t="n"/>
      <c r="X75" s="57" t="n"/>
      <c r="Y75" s="57" t="n"/>
      <c r="Z75" s="57" t="n"/>
      <c r="AA75" s="60">
        <f>SUM(W75:Z75)</f>
        <v/>
      </c>
      <c r="AB75" s="61" t="n"/>
      <c r="AC75" s="57" t="n"/>
      <c r="AD75" s="58">
        <f>T75</f>
        <v/>
      </c>
      <c r="AE75" s="59" t="n"/>
      <c r="AF75" s="57" t="n"/>
      <c r="AG75" s="57" t="n"/>
      <c r="AH75" s="57" t="n"/>
      <c r="AI75" s="57" t="n"/>
      <c r="AJ75" s="60">
        <f>SUM(AF75:AI75)</f>
        <v/>
      </c>
      <c r="AK75" s="61" t="n"/>
      <c r="AL75" s="57" t="n"/>
      <c r="AM75" s="58">
        <f>AC75</f>
        <v/>
      </c>
      <c r="AN75" s="59" t="n"/>
      <c r="AO75" s="57" t="n"/>
      <c r="AP75" s="57" t="n"/>
      <c r="AQ75" s="57" t="n"/>
      <c r="AR75" s="57" t="n"/>
      <c r="AS75" s="60">
        <f>SUM(AO75:AR75)</f>
        <v/>
      </c>
      <c r="AT75" s="61" t="n"/>
      <c r="AU75" s="57" t="n"/>
      <c r="AV75" s="58">
        <f>AL75</f>
        <v/>
      </c>
      <c r="AW75" s="59" t="n"/>
      <c r="AX75" s="57" t="n"/>
      <c r="AY75" s="57" t="n"/>
      <c r="AZ75" s="57" t="n"/>
      <c r="BA75" s="57" t="n"/>
      <c r="BB75" s="60">
        <f>SUM(AX75:BA75)</f>
        <v/>
      </c>
      <c r="BC75" s="61" t="n"/>
      <c r="BD75" s="57" t="n"/>
      <c r="BE75" s="58">
        <f>AU75</f>
        <v/>
      </c>
      <c r="BF75" s="59" t="n"/>
      <c r="BG75" s="57" t="n"/>
      <c r="BH75" s="57" t="n"/>
      <c r="BI75" s="57" t="n"/>
      <c r="BJ75" s="57" t="n"/>
      <c r="BK75" s="60">
        <f>SUM(BG75:BJ75)</f>
        <v/>
      </c>
      <c r="BL75" s="61" t="n"/>
      <c r="BM75" s="57" t="n"/>
      <c r="BN75" s="58">
        <f>BD75</f>
        <v/>
      </c>
      <c r="BO75" s="59" t="n"/>
      <c r="BP75" s="57" t="n"/>
      <c r="BQ75" s="57" t="n"/>
      <c r="BR75" s="57" t="n"/>
      <c r="BS75" s="57" t="n"/>
      <c r="BT75" s="60">
        <f>SUM(BP75:BS75)</f>
        <v/>
      </c>
      <c r="BU75" s="61" t="n"/>
      <c r="BV75" s="57" t="n"/>
      <c r="BW75" s="58">
        <f>BM75</f>
        <v/>
      </c>
      <c r="BX75" s="59" t="n"/>
      <c r="BY75" s="57" t="n"/>
      <c r="BZ75" s="57" t="n"/>
      <c r="CA75" s="57" t="n"/>
      <c r="CB75" s="57" t="n"/>
      <c r="CC75" s="60">
        <f>SUM(BY75:CB75)</f>
        <v/>
      </c>
      <c r="CD75" s="61" t="n"/>
      <c r="CE75" s="57" t="n"/>
      <c r="CF75" s="58">
        <f>BV75</f>
        <v/>
      </c>
      <c r="CG75" s="59" t="n"/>
      <c r="CH75" s="57" t="n"/>
      <c r="CI75" s="57" t="n"/>
      <c r="CJ75" s="57" t="n"/>
      <c r="CK75" s="57" t="n"/>
      <c r="CL75" s="60">
        <f>SUM(CH75:CK75)</f>
        <v/>
      </c>
      <c r="CM75" s="61" t="n"/>
      <c r="CN75" s="57" t="n"/>
      <c r="CO75" s="58">
        <f>CE75</f>
        <v/>
      </c>
      <c r="CP75" s="59" t="n"/>
      <c r="CQ75" s="57" t="n"/>
      <c r="CR75" s="57" t="n"/>
      <c r="CS75" s="57" t="n"/>
      <c r="CT75" s="57" t="n"/>
      <c r="CU75" s="60">
        <f>SUM(CQ75:CT75)</f>
        <v/>
      </c>
      <c r="CV75" s="61" t="n"/>
      <c r="CW75" s="57" t="n"/>
      <c r="CX75" s="58">
        <f>CN75</f>
        <v/>
      </c>
      <c r="CY75" s="59" t="n"/>
      <c r="CZ75" s="57" t="n"/>
      <c r="DA75" s="57" t="n"/>
      <c r="DB75" s="57" t="n"/>
      <c r="DC75" s="57" t="n"/>
      <c r="DD75" s="60">
        <f>SUM(CZ75:DC75)</f>
        <v/>
      </c>
      <c r="DE75" s="61" t="n"/>
      <c r="DF75" s="57" t="n"/>
      <c r="DG75" s="58">
        <f>CW75</f>
        <v/>
      </c>
      <c r="DH75" s="59" t="n"/>
      <c r="DI75" s="57" t="n"/>
      <c r="DJ75" s="57" t="n"/>
      <c r="DK75" s="57" t="n"/>
      <c r="DL75" s="57" t="n"/>
      <c r="DM75" s="60">
        <f>SUM(DI75:DL75)</f>
        <v/>
      </c>
      <c r="DN75" s="61" t="n"/>
      <c r="DO75" s="57" t="n"/>
      <c r="DP75" s="58">
        <f>DF75</f>
        <v/>
      </c>
      <c r="DQ75" s="59" t="n"/>
      <c r="DR75" s="57" t="n"/>
      <c r="DS75" s="57" t="n"/>
      <c r="DT75" s="57" t="n"/>
      <c r="DU75" s="57" t="n"/>
      <c r="DV75" s="60">
        <f>SUM(DR75:DU75)</f>
        <v/>
      </c>
      <c r="DW75" s="61" t="n"/>
      <c r="DX75" s="57" t="n"/>
      <c r="DY75" s="58">
        <f>DO75</f>
        <v/>
      </c>
      <c r="DZ75" s="59" t="n"/>
      <c r="EA75" s="57" t="n"/>
      <c r="EB75" s="57" t="n"/>
      <c r="EC75" s="57" t="n"/>
      <c r="ED75" s="57" t="n"/>
      <c r="EE75" s="60">
        <f>SUM(EA75:ED75)</f>
        <v/>
      </c>
      <c r="EF75" s="61" t="n"/>
      <c r="EG75" s="57" t="n"/>
      <c r="EH75" s="58">
        <f>DX75</f>
        <v/>
      </c>
      <c r="EI75" s="59" t="n"/>
      <c r="EJ75" s="57" t="n"/>
      <c r="EK75" s="57" t="n"/>
      <c r="EL75" s="57" t="n"/>
      <c r="EM75" s="57" t="n"/>
      <c r="EN75" s="60">
        <f>SUM(EJ75:EM75)</f>
        <v/>
      </c>
      <c r="EO75" s="61" t="n"/>
      <c r="EP75" s="57" t="n"/>
      <c r="EQ75" s="58">
        <f>EG75</f>
        <v/>
      </c>
      <c r="ER75" s="59" t="n"/>
      <c r="ES75" s="57" t="n"/>
      <c r="ET75" s="57" t="n"/>
      <c r="EU75" s="57" t="n"/>
      <c r="EV75" s="57" t="n"/>
      <c r="EW75" s="60">
        <f>SUM(ES75:EV75)</f>
        <v/>
      </c>
      <c r="EX75" s="61" t="n"/>
      <c r="EY75" s="57" t="n"/>
      <c r="EZ75" s="58">
        <f>EP75</f>
        <v/>
      </c>
      <c r="FA75" s="59" t="n"/>
      <c r="FB75" s="57" t="n"/>
      <c r="FC75" s="57" t="n"/>
      <c r="FD75" s="57" t="n"/>
      <c r="FE75" s="57" t="n"/>
      <c r="FF75" s="60">
        <f>SUM(FB75:FE75)</f>
        <v/>
      </c>
      <c r="FG75" s="61" t="n"/>
      <c r="FH75" s="57" t="n"/>
      <c r="FI75" s="58">
        <f>EY75</f>
        <v/>
      </c>
      <c r="FJ75" s="59" t="n"/>
      <c r="FK75" s="57" t="n"/>
      <c r="FL75" s="57" t="n"/>
      <c r="FM75" s="57" t="n"/>
      <c r="FN75" s="57" t="n"/>
      <c r="FO75" s="60">
        <f>SUM(FK75:FN75)</f>
        <v/>
      </c>
      <c r="FP75" s="61" t="n"/>
      <c r="FQ75" s="57" t="n"/>
      <c r="FR75" s="58">
        <f>FH75</f>
        <v/>
      </c>
      <c r="FS75" s="59" t="n"/>
      <c r="FT75" s="57" t="n"/>
      <c r="FU75" s="57" t="n"/>
      <c r="FV75" s="57" t="n"/>
      <c r="FW75" s="57" t="n"/>
      <c r="FX75" s="60">
        <f>SUM(FT75:FW75)</f>
        <v/>
      </c>
      <c r="FY75" s="61" t="n"/>
      <c r="FZ75" s="57" t="n"/>
      <c r="GA75" s="58">
        <f>FQ75</f>
        <v/>
      </c>
      <c r="GB75" s="59" t="n"/>
      <c r="GC75" s="57" t="n"/>
      <c r="GD75" s="57" t="n"/>
      <c r="GE75" s="57" t="n"/>
      <c r="GF75" s="57" t="n"/>
      <c r="GG75" s="60">
        <f>SUM(GC75:GF75)</f>
        <v/>
      </c>
      <c r="GH75" s="61" t="n"/>
      <c r="GI75" s="57" t="n"/>
      <c r="GJ75" s="58">
        <f>FZ75</f>
        <v/>
      </c>
      <c r="GK75" s="59" t="n"/>
      <c r="GL75" s="57" t="n"/>
      <c r="GM75" s="57" t="n"/>
      <c r="GN75" s="57" t="n"/>
      <c r="GO75" s="57" t="n"/>
      <c r="GP75" s="60">
        <f>SUM(GL75:GO75)</f>
        <v/>
      </c>
      <c r="GQ75" s="61" t="n"/>
      <c r="GR75" s="57" t="n"/>
      <c r="GS75" s="58">
        <f>GI75</f>
        <v/>
      </c>
      <c r="GT75" s="59" t="n"/>
      <c r="GU75" s="57" t="n"/>
      <c r="GV75" s="57" t="n"/>
      <c r="GW75" s="57" t="n"/>
      <c r="GX75" s="57" t="n"/>
      <c r="GY75" s="60">
        <f>SUM(GU75:GX75)</f>
        <v/>
      </c>
      <c r="GZ75" s="61" t="n"/>
      <c r="HA75" s="57" t="n"/>
      <c r="HB75" s="58">
        <f>GR75</f>
        <v/>
      </c>
      <c r="HC75" s="59" t="n"/>
      <c r="HD75" s="57" t="n"/>
      <c r="HE75" s="57" t="n"/>
      <c r="HF75" s="57" t="n"/>
      <c r="HG75" s="57" t="n"/>
      <c r="HH75" s="60">
        <f>SUM(HD75:HG75)</f>
        <v/>
      </c>
      <c r="HI75" s="61" t="n"/>
      <c r="HJ75" s="57" t="n"/>
      <c r="HK75" s="58">
        <f>HA75</f>
        <v/>
      </c>
      <c r="HL75" s="59" t="n"/>
      <c r="HM75" s="57" t="n"/>
      <c r="HN75" s="57" t="n"/>
      <c r="HO75" s="57" t="n"/>
      <c r="HP75" s="57" t="n"/>
      <c r="HQ75" s="60">
        <f>SUM(HM75:HP75)</f>
        <v/>
      </c>
      <c r="HR75" s="61" t="n"/>
      <c r="HS75" s="57" t="n"/>
      <c r="HT75" s="58">
        <f>HJ75</f>
        <v/>
      </c>
      <c r="HU75" s="59" t="n"/>
      <c r="HV75" s="57" t="n"/>
      <c r="HW75" s="57" t="n"/>
      <c r="HX75" s="57" t="n"/>
      <c r="HY75" s="57" t="n"/>
      <c r="HZ75" s="60">
        <f>SUM(HV75:HY75)</f>
        <v/>
      </c>
      <c r="IA75" s="61" t="n"/>
      <c r="IB75" s="57" t="n"/>
      <c r="IC75" s="58">
        <f>HS75</f>
        <v/>
      </c>
      <c r="ID75" s="59" t="n"/>
      <c r="IE75" s="57" t="n"/>
      <c r="IF75" s="57" t="n"/>
      <c r="IG75" s="57" t="n"/>
      <c r="IH75" s="57" t="n"/>
      <c r="II75" s="60">
        <f>SUM(IE75:IH75)</f>
        <v/>
      </c>
      <c r="IJ75" s="61" t="n"/>
      <c r="IK75" s="57" t="n"/>
      <c r="IL75" s="58">
        <f>IB75</f>
        <v/>
      </c>
      <c r="IM75" s="59" t="n"/>
      <c r="IN75" s="57" t="n"/>
      <c r="IO75" s="57" t="n"/>
      <c r="IP75" s="57" t="n"/>
      <c r="IQ75" s="57" t="n"/>
      <c r="IR75" s="60">
        <f>SUM(IN75:IQ75)</f>
        <v/>
      </c>
      <c r="IS75" s="61" t="n"/>
      <c r="IT75" s="57" t="n"/>
      <c r="IU75" s="58">
        <f>IK75</f>
        <v/>
      </c>
      <c r="IV75" s="59" t="n"/>
      <c r="IW75" s="57" t="n"/>
      <c r="IX75" s="57" t="n"/>
      <c r="IY75" s="57" t="n"/>
      <c r="IZ75" s="57" t="n"/>
      <c r="JA75" s="60">
        <f>SUM(IW75:IZ75)</f>
        <v/>
      </c>
      <c r="JB75" s="61" t="n"/>
      <c r="JC75" s="57" t="n"/>
      <c r="JD75" s="58">
        <f>IT75</f>
        <v/>
      </c>
      <c r="JE75" s="59" t="n"/>
      <c r="JF75" s="57" t="n"/>
      <c r="JG75" s="57" t="n"/>
      <c r="JH75" s="57" t="n"/>
      <c r="JI75" s="57" t="n"/>
      <c r="JJ75" s="60">
        <f>SUM(JF75:JI75)</f>
        <v/>
      </c>
      <c r="JK75" s="61" t="n"/>
      <c r="JL75" s="57" t="n"/>
      <c r="JM75" s="58">
        <f>JC75</f>
        <v/>
      </c>
      <c r="JN75" s="59" t="n"/>
      <c r="JO75" s="57" t="n"/>
      <c r="JP75" s="57" t="n"/>
      <c r="JQ75" s="57" t="n"/>
      <c r="JR75" s="57" t="n"/>
      <c r="JS75" s="60">
        <f>SUM(JO75:JR75)</f>
        <v/>
      </c>
      <c r="JT75" s="61" t="n"/>
      <c r="JU75" s="62">
        <f>I75+R75+AA75+AJ75+AS75+BB75+BK75+BT75+CC75+CL75+CU75+DD75+DM75+DV75+EE75+EN75+EW75+FF75+FO75+FX75+GG75+GP75+GY75+HH75+HQ75+HZ75+II75+IR75+JA75+JJ75+JS75</f>
        <v/>
      </c>
      <c r="JV75" s="63">
        <f>D75+M75+V75+AE75+AN75+AW75+BF75+BO75+BX75+CG75+CP75+CY75+DH75+DQ75+DZ75+EI75+ER75+FA75+FJ75+FS75+GB75+GK75+GT75+HC75+HL75+HU75+ID75+IM75+IV75+JE75+JN75</f>
        <v/>
      </c>
      <c r="JW75" s="62">
        <f>CHOOSE($Z$3,B75, K75, T75, AC75, AL75, AU75, BD75, BM75, BV75, CE75, CN75, CW75, DF75, DO75, DX75, EG75, EP75, EY75, FH75, FQ75, FZ75, GI75, GR75, HA75, HJ75, HS75, IB75, IK75, IT75, JC75, JL75)</f>
        <v/>
      </c>
      <c r="JX75" s="62">
        <f>IFERROR(JU75/$Z$3,0)</f>
        <v/>
      </c>
      <c r="JY75" s="62">
        <f>Configurações!$C$15</f>
        <v/>
      </c>
      <c r="JZ75" s="64">
        <f>IF(JY75=0,"— Sem meta",IF(JU75&gt;=JY75,"✓ Atingida","Em andamento"))</f>
        <v/>
      </c>
      <c r="KA75" s="65">
        <f>JU75+(5*0.0000001)</f>
        <v/>
      </c>
    </row>
    <row r="76" ht="20" customHeight="1">
      <c r="A76" s="56">
        <f>IF(Configurações!$B$16="","Assessor 10",Configurações!$B$16)</f>
        <v/>
      </c>
      <c r="B76" s="57" t="n"/>
      <c r="C76" s="66">
        <f>'Maio'!$JW76</f>
        <v/>
      </c>
      <c r="D76" s="59" t="n"/>
      <c r="E76" s="57" t="n"/>
      <c r="F76" s="57" t="n"/>
      <c r="G76" s="57" t="n"/>
      <c r="H76" s="57" t="n"/>
      <c r="I76" s="67">
        <f>SUM(E76:H76)</f>
        <v/>
      </c>
      <c r="J76" s="61" t="n"/>
      <c r="K76" s="57" t="n"/>
      <c r="L76" s="66">
        <f>B76</f>
        <v/>
      </c>
      <c r="M76" s="59" t="n"/>
      <c r="N76" s="57" t="n"/>
      <c r="O76" s="57" t="n"/>
      <c r="P76" s="57" t="n"/>
      <c r="Q76" s="57" t="n"/>
      <c r="R76" s="67">
        <f>SUM(N76:Q76)</f>
        <v/>
      </c>
      <c r="S76" s="61" t="n"/>
      <c r="T76" s="57" t="n"/>
      <c r="U76" s="66">
        <f>K76</f>
        <v/>
      </c>
      <c r="V76" s="59" t="n"/>
      <c r="W76" s="57" t="n"/>
      <c r="X76" s="57" t="n"/>
      <c r="Y76" s="57" t="n"/>
      <c r="Z76" s="57" t="n"/>
      <c r="AA76" s="67">
        <f>SUM(W76:Z76)</f>
        <v/>
      </c>
      <c r="AB76" s="61" t="n"/>
      <c r="AC76" s="57" t="n"/>
      <c r="AD76" s="66">
        <f>T76</f>
        <v/>
      </c>
      <c r="AE76" s="59" t="n"/>
      <c r="AF76" s="57" t="n"/>
      <c r="AG76" s="57" t="n"/>
      <c r="AH76" s="57" t="n"/>
      <c r="AI76" s="57" t="n"/>
      <c r="AJ76" s="67">
        <f>SUM(AF76:AI76)</f>
        <v/>
      </c>
      <c r="AK76" s="61" t="n"/>
      <c r="AL76" s="57" t="n"/>
      <c r="AM76" s="66">
        <f>AC76</f>
        <v/>
      </c>
      <c r="AN76" s="59" t="n"/>
      <c r="AO76" s="57" t="n"/>
      <c r="AP76" s="57" t="n"/>
      <c r="AQ76" s="57" t="n"/>
      <c r="AR76" s="57" t="n"/>
      <c r="AS76" s="67">
        <f>SUM(AO76:AR76)</f>
        <v/>
      </c>
      <c r="AT76" s="61" t="n"/>
      <c r="AU76" s="57" t="n"/>
      <c r="AV76" s="66">
        <f>AL76</f>
        <v/>
      </c>
      <c r="AW76" s="59" t="n"/>
      <c r="AX76" s="57" t="n"/>
      <c r="AY76" s="57" t="n"/>
      <c r="AZ76" s="57" t="n"/>
      <c r="BA76" s="57" t="n"/>
      <c r="BB76" s="67">
        <f>SUM(AX76:BA76)</f>
        <v/>
      </c>
      <c r="BC76" s="61" t="n"/>
      <c r="BD76" s="57" t="n"/>
      <c r="BE76" s="66">
        <f>AU76</f>
        <v/>
      </c>
      <c r="BF76" s="59" t="n"/>
      <c r="BG76" s="57" t="n"/>
      <c r="BH76" s="57" t="n"/>
      <c r="BI76" s="57" t="n"/>
      <c r="BJ76" s="57" t="n"/>
      <c r="BK76" s="67">
        <f>SUM(BG76:BJ76)</f>
        <v/>
      </c>
      <c r="BL76" s="61" t="n"/>
      <c r="BM76" s="57" t="n"/>
      <c r="BN76" s="66">
        <f>BD76</f>
        <v/>
      </c>
      <c r="BO76" s="59" t="n"/>
      <c r="BP76" s="57" t="n"/>
      <c r="BQ76" s="57" t="n"/>
      <c r="BR76" s="57" t="n"/>
      <c r="BS76" s="57" t="n"/>
      <c r="BT76" s="67">
        <f>SUM(BP76:BS76)</f>
        <v/>
      </c>
      <c r="BU76" s="61" t="n"/>
      <c r="BV76" s="57" t="n"/>
      <c r="BW76" s="66">
        <f>BM76</f>
        <v/>
      </c>
      <c r="BX76" s="59" t="n"/>
      <c r="BY76" s="57" t="n"/>
      <c r="BZ76" s="57" t="n"/>
      <c r="CA76" s="57" t="n"/>
      <c r="CB76" s="57" t="n"/>
      <c r="CC76" s="67">
        <f>SUM(BY76:CB76)</f>
        <v/>
      </c>
      <c r="CD76" s="61" t="n"/>
      <c r="CE76" s="57" t="n"/>
      <c r="CF76" s="66">
        <f>BV76</f>
        <v/>
      </c>
      <c r="CG76" s="59" t="n"/>
      <c r="CH76" s="57" t="n"/>
      <c r="CI76" s="57" t="n"/>
      <c r="CJ76" s="57" t="n"/>
      <c r="CK76" s="57" t="n"/>
      <c r="CL76" s="67">
        <f>SUM(CH76:CK76)</f>
        <v/>
      </c>
      <c r="CM76" s="61" t="n"/>
      <c r="CN76" s="57" t="n"/>
      <c r="CO76" s="66">
        <f>CE76</f>
        <v/>
      </c>
      <c r="CP76" s="59" t="n"/>
      <c r="CQ76" s="57" t="n"/>
      <c r="CR76" s="57" t="n"/>
      <c r="CS76" s="57" t="n"/>
      <c r="CT76" s="57" t="n"/>
      <c r="CU76" s="67">
        <f>SUM(CQ76:CT76)</f>
        <v/>
      </c>
      <c r="CV76" s="61" t="n"/>
      <c r="CW76" s="57" t="n"/>
      <c r="CX76" s="66">
        <f>CN76</f>
        <v/>
      </c>
      <c r="CY76" s="59" t="n"/>
      <c r="CZ76" s="57" t="n"/>
      <c r="DA76" s="57" t="n"/>
      <c r="DB76" s="57" t="n"/>
      <c r="DC76" s="57" t="n"/>
      <c r="DD76" s="67">
        <f>SUM(CZ76:DC76)</f>
        <v/>
      </c>
      <c r="DE76" s="61" t="n"/>
      <c r="DF76" s="57" t="n"/>
      <c r="DG76" s="66">
        <f>CW76</f>
        <v/>
      </c>
      <c r="DH76" s="59" t="n"/>
      <c r="DI76" s="57" t="n"/>
      <c r="DJ76" s="57" t="n"/>
      <c r="DK76" s="57" t="n"/>
      <c r="DL76" s="57" t="n"/>
      <c r="DM76" s="67">
        <f>SUM(DI76:DL76)</f>
        <v/>
      </c>
      <c r="DN76" s="61" t="n"/>
      <c r="DO76" s="57" t="n"/>
      <c r="DP76" s="66">
        <f>DF76</f>
        <v/>
      </c>
      <c r="DQ76" s="59" t="n"/>
      <c r="DR76" s="57" t="n"/>
      <c r="DS76" s="57" t="n"/>
      <c r="DT76" s="57" t="n"/>
      <c r="DU76" s="57" t="n"/>
      <c r="DV76" s="67">
        <f>SUM(DR76:DU76)</f>
        <v/>
      </c>
      <c r="DW76" s="61" t="n"/>
      <c r="DX76" s="57" t="n"/>
      <c r="DY76" s="66">
        <f>DO76</f>
        <v/>
      </c>
      <c r="DZ76" s="59" t="n"/>
      <c r="EA76" s="57" t="n"/>
      <c r="EB76" s="57" t="n"/>
      <c r="EC76" s="57" t="n"/>
      <c r="ED76" s="57" t="n"/>
      <c r="EE76" s="67">
        <f>SUM(EA76:ED76)</f>
        <v/>
      </c>
      <c r="EF76" s="61" t="n"/>
      <c r="EG76" s="57" t="n"/>
      <c r="EH76" s="66">
        <f>DX76</f>
        <v/>
      </c>
      <c r="EI76" s="59" t="n"/>
      <c r="EJ76" s="57" t="n"/>
      <c r="EK76" s="57" t="n"/>
      <c r="EL76" s="57" t="n"/>
      <c r="EM76" s="57" t="n"/>
      <c r="EN76" s="67">
        <f>SUM(EJ76:EM76)</f>
        <v/>
      </c>
      <c r="EO76" s="61" t="n"/>
      <c r="EP76" s="57" t="n"/>
      <c r="EQ76" s="66">
        <f>EG76</f>
        <v/>
      </c>
      <c r="ER76" s="59" t="n"/>
      <c r="ES76" s="57" t="n"/>
      <c r="ET76" s="57" t="n"/>
      <c r="EU76" s="57" t="n"/>
      <c r="EV76" s="57" t="n"/>
      <c r="EW76" s="67">
        <f>SUM(ES76:EV76)</f>
        <v/>
      </c>
      <c r="EX76" s="61" t="n"/>
      <c r="EY76" s="57" t="n"/>
      <c r="EZ76" s="66">
        <f>EP76</f>
        <v/>
      </c>
      <c r="FA76" s="59" t="n"/>
      <c r="FB76" s="57" t="n"/>
      <c r="FC76" s="57" t="n"/>
      <c r="FD76" s="57" t="n"/>
      <c r="FE76" s="57" t="n"/>
      <c r="FF76" s="67">
        <f>SUM(FB76:FE76)</f>
        <v/>
      </c>
      <c r="FG76" s="61" t="n"/>
      <c r="FH76" s="57" t="n"/>
      <c r="FI76" s="66">
        <f>EY76</f>
        <v/>
      </c>
      <c r="FJ76" s="59" t="n"/>
      <c r="FK76" s="57" t="n"/>
      <c r="FL76" s="57" t="n"/>
      <c r="FM76" s="57" t="n"/>
      <c r="FN76" s="57" t="n"/>
      <c r="FO76" s="67">
        <f>SUM(FK76:FN76)</f>
        <v/>
      </c>
      <c r="FP76" s="61" t="n"/>
      <c r="FQ76" s="57" t="n"/>
      <c r="FR76" s="66">
        <f>FH76</f>
        <v/>
      </c>
      <c r="FS76" s="59" t="n"/>
      <c r="FT76" s="57" t="n"/>
      <c r="FU76" s="57" t="n"/>
      <c r="FV76" s="57" t="n"/>
      <c r="FW76" s="57" t="n"/>
      <c r="FX76" s="67">
        <f>SUM(FT76:FW76)</f>
        <v/>
      </c>
      <c r="FY76" s="61" t="n"/>
      <c r="FZ76" s="57" t="n"/>
      <c r="GA76" s="66">
        <f>FQ76</f>
        <v/>
      </c>
      <c r="GB76" s="59" t="n"/>
      <c r="GC76" s="57" t="n"/>
      <c r="GD76" s="57" t="n"/>
      <c r="GE76" s="57" t="n"/>
      <c r="GF76" s="57" t="n"/>
      <c r="GG76" s="67">
        <f>SUM(GC76:GF76)</f>
        <v/>
      </c>
      <c r="GH76" s="61" t="n"/>
      <c r="GI76" s="57" t="n"/>
      <c r="GJ76" s="66">
        <f>FZ76</f>
        <v/>
      </c>
      <c r="GK76" s="59" t="n"/>
      <c r="GL76" s="57" t="n"/>
      <c r="GM76" s="57" t="n"/>
      <c r="GN76" s="57" t="n"/>
      <c r="GO76" s="57" t="n"/>
      <c r="GP76" s="67">
        <f>SUM(GL76:GO76)</f>
        <v/>
      </c>
      <c r="GQ76" s="61" t="n"/>
      <c r="GR76" s="57" t="n"/>
      <c r="GS76" s="66">
        <f>GI76</f>
        <v/>
      </c>
      <c r="GT76" s="59" t="n"/>
      <c r="GU76" s="57" t="n"/>
      <c r="GV76" s="57" t="n"/>
      <c r="GW76" s="57" t="n"/>
      <c r="GX76" s="57" t="n"/>
      <c r="GY76" s="67">
        <f>SUM(GU76:GX76)</f>
        <v/>
      </c>
      <c r="GZ76" s="61" t="n"/>
      <c r="HA76" s="57" t="n"/>
      <c r="HB76" s="66">
        <f>GR76</f>
        <v/>
      </c>
      <c r="HC76" s="59" t="n"/>
      <c r="HD76" s="57" t="n"/>
      <c r="HE76" s="57" t="n"/>
      <c r="HF76" s="57" t="n"/>
      <c r="HG76" s="57" t="n"/>
      <c r="HH76" s="67">
        <f>SUM(HD76:HG76)</f>
        <v/>
      </c>
      <c r="HI76" s="61" t="n"/>
      <c r="HJ76" s="57" t="n"/>
      <c r="HK76" s="66">
        <f>HA76</f>
        <v/>
      </c>
      <c r="HL76" s="59" t="n"/>
      <c r="HM76" s="57" t="n"/>
      <c r="HN76" s="57" t="n"/>
      <c r="HO76" s="57" t="n"/>
      <c r="HP76" s="57" t="n"/>
      <c r="HQ76" s="67">
        <f>SUM(HM76:HP76)</f>
        <v/>
      </c>
      <c r="HR76" s="61" t="n"/>
      <c r="HS76" s="57" t="n"/>
      <c r="HT76" s="66">
        <f>HJ76</f>
        <v/>
      </c>
      <c r="HU76" s="59" t="n"/>
      <c r="HV76" s="57" t="n"/>
      <c r="HW76" s="57" t="n"/>
      <c r="HX76" s="57" t="n"/>
      <c r="HY76" s="57" t="n"/>
      <c r="HZ76" s="67">
        <f>SUM(HV76:HY76)</f>
        <v/>
      </c>
      <c r="IA76" s="61" t="n"/>
      <c r="IB76" s="57" t="n"/>
      <c r="IC76" s="66">
        <f>HS76</f>
        <v/>
      </c>
      <c r="ID76" s="59" t="n"/>
      <c r="IE76" s="57" t="n"/>
      <c r="IF76" s="57" t="n"/>
      <c r="IG76" s="57" t="n"/>
      <c r="IH76" s="57" t="n"/>
      <c r="II76" s="67">
        <f>SUM(IE76:IH76)</f>
        <v/>
      </c>
      <c r="IJ76" s="61" t="n"/>
      <c r="IK76" s="57" t="n"/>
      <c r="IL76" s="66">
        <f>IB76</f>
        <v/>
      </c>
      <c r="IM76" s="59" t="n"/>
      <c r="IN76" s="57" t="n"/>
      <c r="IO76" s="57" t="n"/>
      <c r="IP76" s="57" t="n"/>
      <c r="IQ76" s="57" t="n"/>
      <c r="IR76" s="67">
        <f>SUM(IN76:IQ76)</f>
        <v/>
      </c>
      <c r="IS76" s="61" t="n"/>
      <c r="IT76" s="57" t="n"/>
      <c r="IU76" s="66">
        <f>IK76</f>
        <v/>
      </c>
      <c r="IV76" s="59" t="n"/>
      <c r="IW76" s="57" t="n"/>
      <c r="IX76" s="57" t="n"/>
      <c r="IY76" s="57" t="n"/>
      <c r="IZ76" s="57" t="n"/>
      <c r="JA76" s="67">
        <f>SUM(IW76:IZ76)</f>
        <v/>
      </c>
      <c r="JB76" s="61" t="n"/>
      <c r="JC76" s="57" t="n"/>
      <c r="JD76" s="66">
        <f>IT76</f>
        <v/>
      </c>
      <c r="JE76" s="59" t="n"/>
      <c r="JF76" s="57" t="n"/>
      <c r="JG76" s="57" t="n"/>
      <c r="JH76" s="57" t="n"/>
      <c r="JI76" s="57" t="n"/>
      <c r="JJ76" s="67">
        <f>SUM(JF76:JI76)</f>
        <v/>
      </c>
      <c r="JK76" s="61" t="n"/>
      <c r="JL76" s="57" t="n"/>
      <c r="JM76" s="66">
        <f>JC76</f>
        <v/>
      </c>
      <c r="JN76" s="59" t="n"/>
      <c r="JO76" s="57" t="n"/>
      <c r="JP76" s="57" t="n"/>
      <c r="JQ76" s="57" t="n"/>
      <c r="JR76" s="57" t="n"/>
      <c r="JS76" s="67">
        <f>SUM(JO76:JR76)</f>
        <v/>
      </c>
      <c r="JT76" s="61" t="n"/>
      <c r="JU76" s="62">
        <f>I76+R76+AA76+AJ76+AS76+BB76+BK76+BT76+CC76+CL76+CU76+DD76+DM76+DV76+EE76+EN76+EW76+FF76+FO76+FX76+GG76+GP76+GY76+HH76+HQ76+HZ76+II76+IR76+JA76+JJ76+JS76</f>
        <v/>
      </c>
      <c r="JV76" s="63">
        <f>D76+M76+V76+AE76+AN76+AW76+BF76+BO76+BX76+CG76+CP76+CY76+DH76+DQ76+DZ76+EI76+ER76+FA76+FJ76+FS76+GB76+GK76+GT76+HC76+HL76+HU76+ID76+IM76+IV76+JE76+JN76</f>
        <v/>
      </c>
      <c r="JW76" s="62">
        <f>CHOOSE($Z$3,B76, K76, T76, AC76, AL76, AU76, BD76, BM76, BV76, CE76, CN76, CW76, DF76, DO76, DX76, EG76, EP76, EY76, FH76, FQ76, FZ76, GI76, GR76, HA76, HJ76, HS76, IB76, IK76, IT76, JC76, JL76)</f>
        <v/>
      </c>
      <c r="JX76" s="62">
        <f>IFERROR(JU76/$Z$3,0)</f>
        <v/>
      </c>
      <c r="JY76" s="62">
        <f>Configurações!$C$16</f>
        <v/>
      </c>
      <c r="JZ76" s="64">
        <f>IF(JY76=0,"— Sem meta",IF(JU76&gt;=JY76,"✓ Atingida","Em andamento"))</f>
        <v/>
      </c>
      <c r="KA76" s="65">
        <f>JU76+(4*0.0000001)</f>
        <v/>
      </c>
    </row>
    <row r="77" ht="20" customHeight="1">
      <c r="A77" s="56">
        <f>IF(Configurações!$B$17="","Assessor 11",Configurações!$B$17)</f>
        <v/>
      </c>
      <c r="B77" s="57" t="n"/>
      <c r="C77" s="58">
        <f>'Maio'!$JW77</f>
        <v/>
      </c>
      <c r="D77" s="59" t="n"/>
      <c r="E77" s="57" t="n"/>
      <c r="F77" s="57" t="n"/>
      <c r="G77" s="57" t="n"/>
      <c r="H77" s="57" t="n"/>
      <c r="I77" s="60">
        <f>SUM(E77:H77)</f>
        <v/>
      </c>
      <c r="J77" s="61" t="n"/>
      <c r="K77" s="57" t="n"/>
      <c r="L77" s="58">
        <f>B77</f>
        <v/>
      </c>
      <c r="M77" s="59" t="n"/>
      <c r="N77" s="57" t="n"/>
      <c r="O77" s="57" t="n"/>
      <c r="P77" s="57" t="n"/>
      <c r="Q77" s="57" t="n"/>
      <c r="R77" s="60">
        <f>SUM(N77:Q77)</f>
        <v/>
      </c>
      <c r="S77" s="61" t="n"/>
      <c r="T77" s="57" t="n"/>
      <c r="U77" s="58">
        <f>K77</f>
        <v/>
      </c>
      <c r="V77" s="59" t="n"/>
      <c r="W77" s="57" t="n"/>
      <c r="X77" s="57" t="n"/>
      <c r="Y77" s="57" t="n"/>
      <c r="Z77" s="57" t="n"/>
      <c r="AA77" s="60">
        <f>SUM(W77:Z77)</f>
        <v/>
      </c>
      <c r="AB77" s="61" t="n"/>
      <c r="AC77" s="57" t="n"/>
      <c r="AD77" s="58">
        <f>T77</f>
        <v/>
      </c>
      <c r="AE77" s="59" t="n"/>
      <c r="AF77" s="57" t="n"/>
      <c r="AG77" s="57" t="n"/>
      <c r="AH77" s="57" t="n"/>
      <c r="AI77" s="57" t="n"/>
      <c r="AJ77" s="60">
        <f>SUM(AF77:AI77)</f>
        <v/>
      </c>
      <c r="AK77" s="61" t="n"/>
      <c r="AL77" s="57" t="n"/>
      <c r="AM77" s="58">
        <f>AC77</f>
        <v/>
      </c>
      <c r="AN77" s="59" t="n"/>
      <c r="AO77" s="57" t="n"/>
      <c r="AP77" s="57" t="n"/>
      <c r="AQ77" s="57" t="n"/>
      <c r="AR77" s="57" t="n"/>
      <c r="AS77" s="60">
        <f>SUM(AO77:AR77)</f>
        <v/>
      </c>
      <c r="AT77" s="61" t="n"/>
      <c r="AU77" s="57" t="n"/>
      <c r="AV77" s="58">
        <f>AL77</f>
        <v/>
      </c>
      <c r="AW77" s="59" t="n"/>
      <c r="AX77" s="57" t="n"/>
      <c r="AY77" s="57" t="n"/>
      <c r="AZ77" s="57" t="n"/>
      <c r="BA77" s="57" t="n"/>
      <c r="BB77" s="60">
        <f>SUM(AX77:BA77)</f>
        <v/>
      </c>
      <c r="BC77" s="61" t="n"/>
      <c r="BD77" s="57" t="n"/>
      <c r="BE77" s="58">
        <f>AU77</f>
        <v/>
      </c>
      <c r="BF77" s="59" t="n"/>
      <c r="BG77" s="57" t="n"/>
      <c r="BH77" s="57" t="n"/>
      <c r="BI77" s="57" t="n"/>
      <c r="BJ77" s="57" t="n"/>
      <c r="BK77" s="60">
        <f>SUM(BG77:BJ77)</f>
        <v/>
      </c>
      <c r="BL77" s="61" t="n"/>
      <c r="BM77" s="57" t="n"/>
      <c r="BN77" s="58">
        <f>BD77</f>
        <v/>
      </c>
      <c r="BO77" s="59" t="n"/>
      <c r="BP77" s="57" t="n"/>
      <c r="BQ77" s="57" t="n"/>
      <c r="BR77" s="57" t="n"/>
      <c r="BS77" s="57" t="n"/>
      <c r="BT77" s="60">
        <f>SUM(BP77:BS77)</f>
        <v/>
      </c>
      <c r="BU77" s="61" t="n"/>
      <c r="BV77" s="57" t="n"/>
      <c r="BW77" s="58">
        <f>BM77</f>
        <v/>
      </c>
      <c r="BX77" s="59" t="n"/>
      <c r="BY77" s="57" t="n"/>
      <c r="BZ77" s="57" t="n"/>
      <c r="CA77" s="57" t="n"/>
      <c r="CB77" s="57" t="n"/>
      <c r="CC77" s="60">
        <f>SUM(BY77:CB77)</f>
        <v/>
      </c>
      <c r="CD77" s="61" t="n"/>
      <c r="CE77" s="57" t="n"/>
      <c r="CF77" s="58">
        <f>BV77</f>
        <v/>
      </c>
      <c r="CG77" s="59" t="n"/>
      <c r="CH77" s="57" t="n"/>
      <c r="CI77" s="57" t="n"/>
      <c r="CJ77" s="57" t="n"/>
      <c r="CK77" s="57" t="n"/>
      <c r="CL77" s="60">
        <f>SUM(CH77:CK77)</f>
        <v/>
      </c>
      <c r="CM77" s="61" t="n"/>
      <c r="CN77" s="57" t="n"/>
      <c r="CO77" s="58">
        <f>CE77</f>
        <v/>
      </c>
      <c r="CP77" s="59" t="n"/>
      <c r="CQ77" s="57" t="n"/>
      <c r="CR77" s="57" t="n"/>
      <c r="CS77" s="57" t="n"/>
      <c r="CT77" s="57" t="n"/>
      <c r="CU77" s="60">
        <f>SUM(CQ77:CT77)</f>
        <v/>
      </c>
      <c r="CV77" s="61" t="n"/>
      <c r="CW77" s="57" t="n"/>
      <c r="CX77" s="58">
        <f>CN77</f>
        <v/>
      </c>
      <c r="CY77" s="59" t="n"/>
      <c r="CZ77" s="57" t="n"/>
      <c r="DA77" s="57" t="n"/>
      <c r="DB77" s="57" t="n"/>
      <c r="DC77" s="57" t="n"/>
      <c r="DD77" s="60">
        <f>SUM(CZ77:DC77)</f>
        <v/>
      </c>
      <c r="DE77" s="61" t="n"/>
      <c r="DF77" s="57" t="n"/>
      <c r="DG77" s="58">
        <f>CW77</f>
        <v/>
      </c>
      <c r="DH77" s="59" t="n"/>
      <c r="DI77" s="57" t="n"/>
      <c r="DJ77" s="57" t="n"/>
      <c r="DK77" s="57" t="n"/>
      <c r="DL77" s="57" t="n"/>
      <c r="DM77" s="60">
        <f>SUM(DI77:DL77)</f>
        <v/>
      </c>
      <c r="DN77" s="61" t="n"/>
      <c r="DO77" s="57" t="n"/>
      <c r="DP77" s="58">
        <f>DF77</f>
        <v/>
      </c>
      <c r="DQ77" s="59" t="n"/>
      <c r="DR77" s="57" t="n"/>
      <c r="DS77" s="57" t="n"/>
      <c r="DT77" s="57" t="n"/>
      <c r="DU77" s="57" t="n"/>
      <c r="DV77" s="60">
        <f>SUM(DR77:DU77)</f>
        <v/>
      </c>
      <c r="DW77" s="61" t="n"/>
      <c r="DX77" s="57" t="n"/>
      <c r="DY77" s="58">
        <f>DO77</f>
        <v/>
      </c>
      <c r="DZ77" s="59" t="n"/>
      <c r="EA77" s="57" t="n"/>
      <c r="EB77" s="57" t="n"/>
      <c r="EC77" s="57" t="n"/>
      <c r="ED77" s="57" t="n"/>
      <c r="EE77" s="60">
        <f>SUM(EA77:ED77)</f>
        <v/>
      </c>
      <c r="EF77" s="61" t="n"/>
      <c r="EG77" s="57" t="n"/>
      <c r="EH77" s="58">
        <f>DX77</f>
        <v/>
      </c>
      <c r="EI77" s="59" t="n"/>
      <c r="EJ77" s="57" t="n"/>
      <c r="EK77" s="57" t="n"/>
      <c r="EL77" s="57" t="n"/>
      <c r="EM77" s="57" t="n"/>
      <c r="EN77" s="60">
        <f>SUM(EJ77:EM77)</f>
        <v/>
      </c>
      <c r="EO77" s="61" t="n"/>
      <c r="EP77" s="57" t="n"/>
      <c r="EQ77" s="58">
        <f>EG77</f>
        <v/>
      </c>
      <c r="ER77" s="59" t="n"/>
      <c r="ES77" s="57" t="n"/>
      <c r="ET77" s="57" t="n"/>
      <c r="EU77" s="57" t="n"/>
      <c r="EV77" s="57" t="n"/>
      <c r="EW77" s="60">
        <f>SUM(ES77:EV77)</f>
        <v/>
      </c>
      <c r="EX77" s="61" t="n"/>
      <c r="EY77" s="57" t="n"/>
      <c r="EZ77" s="58">
        <f>EP77</f>
        <v/>
      </c>
      <c r="FA77" s="59" t="n"/>
      <c r="FB77" s="57" t="n"/>
      <c r="FC77" s="57" t="n"/>
      <c r="FD77" s="57" t="n"/>
      <c r="FE77" s="57" t="n"/>
      <c r="FF77" s="60">
        <f>SUM(FB77:FE77)</f>
        <v/>
      </c>
      <c r="FG77" s="61" t="n"/>
      <c r="FH77" s="57" t="n"/>
      <c r="FI77" s="58">
        <f>EY77</f>
        <v/>
      </c>
      <c r="FJ77" s="59" t="n"/>
      <c r="FK77" s="57" t="n"/>
      <c r="FL77" s="57" t="n"/>
      <c r="FM77" s="57" t="n"/>
      <c r="FN77" s="57" t="n"/>
      <c r="FO77" s="60">
        <f>SUM(FK77:FN77)</f>
        <v/>
      </c>
      <c r="FP77" s="61" t="n"/>
      <c r="FQ77" s="57" t="n"/>
      <c r="FR77" s="58">
        <f>FH77</f>
        <v/>
      </c>
      <c r="FS77" s="59" t="n"/>
      <c r="FT77" s="57" t="n"/>
      <c r="FU77" s="57" t="n"/>
      <c r="FV77" s="57" t="n"/>
      <c r="FW77" s="57" t="n"/>
      <c r="FX77" s="60">
        <f>SUM(FT77:FW77)</f>
        <v/>
      </c>
      <c r="FY77" s="61" t="n"/>
      <c r="FZ77" s="57" t="n"/>
      <c r="GA77" s="58">
        <f>FQ77</f>
        <v/>
      </c>
      <c r="GB77" s="59" t="n"/>
      <c r="GC77" s="57" t="n"/>
      <c r="GD77" s="57" t="n"/>
      <c r="GE77" s="57" t="n"/>
      <c r="GF77" s="57" t="n"/>
      <c r="GG77" s="60">
        <f>SUM(GC77:GF77)</f>
        <v/>
      </c>
      <c r="GH77" s="61" t="n"/>
      <c r="GI77" s="57" t="n"/>
      <c r="GJ77" s="58">
        <f>FZ77</f>
        <v/>
      </c>
      <c r="GK77" s="59" t="n"/>
      <c r="GL77" s="57" t="n"/>
      <c r="GM77" s="57" t="n"/>
      <c r="GN77" s="57" t="n"/>
      <c r="GO77" s="57" t="n"/>
      <c r="GP77" s="60">
        <f>SUM(GL77:GO77)</f>
        <v/>
      </c>
      <c r="GQ77" s="61" t="n"/>
      <c r="GR77" s="57" t="n"/>
      <c r="GS77" s="58">
        <f>GI77</f>
        <v/>
      </c>
      <c r="GT77" s="59" t="n"/>
      <c r="GU77" s="57" t="n"/>
      <c r="GV77" s="57" t="n"/>
      <c r="GW77" s="57" t="n"/>
      <c r="GX77" s="57" t="n"/>
      <c r="GY77" s="60">
        <f>SUM(GU77:GX77)</f>
        <v/>
      </c>
      <c r="GZ77" s="61" t="n"/>
      <c r="HA77" s="57" t="n"/>
      <c r="HB77" s="58">
        <f>GR77</f>
        <v/>
      </c>
      <c r="HC77" s="59" t="n"/>
      <c r="HD77" s="57" t="n"/>
      <c r="HE77" s="57" t="n"/>
      <c r="HF77" s="57" t="n"/>
      <c r="HG77" s="57" t="n"/>
      <c r="HH77" s="60">
        <f>SUM(HD77:HG77)</f>
        <v/>
      </c>
      <c r="HI77" s="61" t="n"/>
      <c r="HJ77" s="57" t="n"/>
      <c r="HK77" s="58">
        <f>HA77</f>
        <v/>
      </c>
      <c r="HL77" s="59" t="n"/>
      <c r="HM77" s="57" t="n"/>
      <c r="HN77" s="57" t="n"/>
      <c r="HO77" s="57" t="n"/>
      <c r="HP77" s="57" t="n"/>
      <c r="HQ77" s="60">
        <f>SUM(HM77:HP77)</f>
        <v/>
      </c>
      <c r="HR77" s="61" t="n"/>
      <c r="HS77" s="57" t="n"/>
      <c r="HT77" s="58">
        <f>HJ77</f>
        <v/>
      </c>
      <c r="HU77" s="59" t="n"/>
      <c r="HV77" s="57" t="n"/>
      <c r="HW77" s="57" t="n"/>
      <c r="HX77" s="57" t="n"/>
      <c r="HY77" s="57" t="n"/>
      <c r="HZ77" s="60">
        <f>SUM(HV77:HY77)</f>
        <v/>
      </c>
      <c r="IA77" s="61" t="n"/>
      <c r="IB77" s="57" t="n"/>
      <c r="IC77" s="58">
        <f>HS77</f>
        <v/>
      </c>
      <c r="ID77" s="59" t="n"/>
      <c r="IE77" s="57" t="n"/>
      <c r="IF77" s="57" t="n"/>
      <c r="IG77" s="57" t="n"/>
      <c r="IH77" s="57" t="n"/>
      <c r="II77" s="60">
        <f>SUM(IE77:IH77)</f>
        <v/>
      </c>
      <c r="IJ77" s="61" t="n"/>
      <c r="IK77" s="57" t="n"/>
      <c r="IL77" s="58">
        <f>IB77</f>
        <v/>
      </c>
      <c r="IM77" s="59" t="n"/>
      <c r="IN77" s="57" t="n"/>
      <c r="IO77" s="57" t="n"/>
      <c r="IP77" s="57" t="n"/>
      <c r="IQ77" s="57" t="n"/>
      <c r="IR77" s="60">
        <f>SUM(IN77:IQ77)</f>
        <v/>
      </c>
      <c r="IS77" s="61" t="n"/>
      <c r="IT77" s="57" t="n"/>
      <c r="IU77" s="58">
        <f>IK77</f>
        <v/>
      </c>
      <c r="IV77" s="59" t="n"/>
      <c r="IW77" s="57" t="n"/>
      <c r="IX77" s="57" t="n"/>
      <c r="IY77" s="57" t="n"/>
      <c r="IZ77" s="57" t="n"/>
      <c r="JA77" s="60">
        <f>SUM(IW77:IZ77)</f>
        <v/>
      </c>
      <c r="JB77" s="61" t="n"/>
      <c r="JC77" s="57" t="n"/>
      <c r="JD77" s="58">
        <f>IT77</f>
        <v/>
      </c>
      <c r="JE77" s="59" t="n"/>
      <c r="JF77" s="57" t="n"/>
      <c r="JG77" s="57" t="n"/>
      <c r="JH77" s="57" t="n"/>
      <c r="JI77" s="57" t="n"/>
      <c r="JJ77" s="60">
        <f>SUM(JF77:JI77)</f>
        <v/>
      </c>
      <c r="JK77" s="61" t="n"/>
      <c r="JL77" s="57" t="n"/>
      <c r="JM77" s="58">
        <f>JC77</f>
        <v/>
      </c>
      <c r="JN77" s="59" t="n"/>
      <c r="JO77" s="57" t="n"/>
      <c r="JP77" s="57" t="n"/>
      <c r="JQ77" s="57" t="n"/>
      <c r="JR77" s="57" t="n"/>
      <c r="JS77" s="60">
        <f>SUM(JO77:JR77)</f>
        <v/>
      </c>
      <c r="JT77" s="61" t="n"/>
      <c r="JU77" s="62">
        <f>I77+R77+AA77+AJ77+AS77+BB77+BK77+BT77+CC77+CL77+CU77+DD77+DM77+DV77+EE77+EN77+EW77+FF77+FO77+FX77+GG77+GP77+GY77+HH77+HQ77+HZ77+II77+IR77+JA77+JJ77+JS77</f>
        <v/>
      </c>
      <c r="JV77" s="63">
        <f>D77+M77+V77+AE77+AN77+AW77+BF77+BO77+BX77+CG77+CP77+CY77+DH77+DQ77+DZ77+EI77+ER77+FA77+FJ77+FS77+GB77+GK77+GT77+HC77+HL77+HU77+ID77+IM77+IV77+JE77+JN77</f>
        <v/>
      </c>
      <c r="JW77" s="62">
        <f>CHOOSE($Z$3,B77, K77, T77, AC77, AL77, AU77, BD77, BM77, BV77, CE77, CN77, CW77, DF77, DO77, DX77, EG77, EP77, EY77, FH77, FQ77, FZ77, GI77, GR77, HA77, HJ77, HS77, IB77, IK77, IT77, JC77, JL77)</f>
        <v/>
      </c>
      <c r="JX77" s="62">
        <f>IFERROR(JU77/$Z$3,0)</f>
        <v/>
      </c>
      <c r="JY77" s="62">
        <f>Configurações!$C$17</f>
        <v/>
      </c>
      <c r="JZ77" s="64">
        <f>IF(JY77=0,"— Sem meta",IF(JU77&gt;=JY77,"✓ Atingida","Em andamento"))</f>
        <v/>
      </c>
      <c r="KA77" s="65">
        <f>JU77+(3*0.0000001)</f>
        <v/>
      </c>
    </row>
    <row r="78" ht="20" customHeight="1">
      <c r="A78" s="56">
        <f>IF(Configurações!$B$18="","Assessor 12",Configurações!$B$18)</f>
        <v/>
      </c>
      <c r="B78" s="57" t="n"/>
      <c r="C78" s="66">
        <f>'Maio'!$JW78</f>
        <v/>
      </c>
      <c r="D78" s="59" t="n"/>
      <c r="E78" s="57" t="n"/>
      <c r="F78" s="57" t="n"/>
      <c r="G78" s="57" t="n"/>
      <c r="H78" s="57" t="n"/>
      <c r="I78" s="67">
        <f>SUM(E78:H78)</f>
        <v/>
      </c>
      <c r="J78" s="61" t="n"/>
      <c r="K78" s="57" t="n"/>
      <c r="L78" s="66">
        <f>B78</f>
        <v/>
      </c>
      <c r="M78" s="59" t="n"/>
      <c r="N78" s="57" t="n"/>
      <c r="O78" s="57" t="n"/>
      <c r="P78" s="57" t="n"/>
      <c r="Q78" s="57" t="n"/>
      <c r="R78" s="67">
        <f>SUM(N78:Q78)</f>
        <v/>
      </c>
      <c r="S78" s="61" t="n"/>
      <c r="T78" s="57" t="n"/>
      <c r="U78" s="66">
        <f>K78</f>
        <v/>
      </c>
      <c r="V78" s="59" t="n"/>
      <c r="W78" s="57" t="n"/>
      <c r="X78" s="57" t="n"/>
      <c r="Y78" s="57" t="n"/>
      <c r="Z78" s="57" t="n"/>
      <c r="AA78" s="67">
        <f>SUM(W78:Z78)</f>
        <v/>
      </c>
      <c r="AB78" s="61" t="n"/>
      <c r="AC78" s="57" t="n"/>
      <c r="AD78" s="66">
        <f>T78</f>
        <v/>
      </c>
      <c r="AE78" s="59" t="n"/>
      <c r="AF78" s="57" t="n"/>
      <c r="AG78" s="57" t="n"/>
      <c r="AH78" s="57" t="n"/>
      <c r="AI78" s="57" t="n"/>
      <c r="AJ78" s="67">
        <f>SUM(AF78:AI78)</f>
        <v/>
      </c>
      <c r="AK78" s="61" t="n"/>
      <c r="AL78" s="57" t="n"/>
      <c r="AM78" s="66">
        <f>AC78</f>
        <v/>
      </c>
      <c r="AN78" s="59" t="n"/>
      <c r="AO78" s="57" t="n"/>
      <c r="AP78" s="57" t="n"/>
      <c r="AQ78" s="57" t="n"/>
      <c r="AR78" s="57" t="n"/>
      <c r="AS78" s="67">
        <f>SUM(AO78:AR78)</f>
        <v/>
      </c>
      <c r="AT78" s="61" t="n"/>
      <c r="AU78" s="57" t="n"/>
      <c r="AV78" s="66">
        <f>AL78</f>
        <v/>
      </c>
      <c r="AW78" s="59" t="n"/>
      <c r="AX78" s="57" t="n"/>
      <c r="AY78" s="57" t="n"/>
      <c r="AZ78" s="57" t="n"/>
      <c r="BA78" s="57" t="n"/>
      <c r="BB78" s="67">
        <f>SUM(AX78:BA78)</f>
        <v/>
      </c>
      <c r="BC78" s="61" t="n"/>
      <c r="BD78" s="57" t="n"/>
      <c r="BE78" s="66">
        <f>AU78</f>
        <v/>
      </c>
      <c r="BF78" s="59" t="n"/>
      <c r="BG78" s="57" t="n"/>
      <c r="BH78" s="57" t="n"/>
      <c r="BI78" s="57" t="n"/>
      <c r="BJ78" s="57" t="n"/>
      <c r="BK78" s="67">
        <f>SUM(BG78:BJ78)</f>
        <v/>
      </c>
      <c r="BL78" s="61" t="n"/>
      <c r="BM78" s="57" t="n"/>
      <c r="BN78" s="66">
        <f>BD78</f>
        <v/>
      </c>
      <c r="BO78" s="59" t="n"/>
      <c r="BP78" s="57" t="n"/>
      <c r="BQ78" s="57" t="n"/>
      <c r="BR78" s="57" t="n"/>
      <c r="BS78" s="57" t="n"/>
      <c r="BT78" s="67">
        <f>SUM(BP78:BS78)</f>
        <v/>
      </c>
      <c r="BU78" s="61" t="n"/>
      <c r="BV78" s="57" t="n"/>
      <c r="BW78" s="66">
        <f>BM78</f>
        <v/>
      </c>
      <c r="BX78" s="59" t="n"/>
      <c r="BY78" s="57" t="n"/>
      <c r="BZ78" s="57" t="n"/>
      <c r="CA78" s="57" t="n"/>
      <c r="CB78" s="57" t="n"/>
      <c r="CC78" s="67">
        <f>SUM(BY78:CB78)</f>
        <v/>
      </c>
      <c r="CD78" s="61" t="n"/>
      <c r="CE78" s="57" t="n"/>
      <c r="CF78" s="66">
        <f>BV78</f>
        <v/>
      </c>
      <c r="CG78" s="59" t="n"/>
      <c r="CH78" s="57" t="n"/>
      <c r="CI78" s="57" t="n"/>
      <c r="CJ78" s="57" t="n"/>
      <c r="CK78" s="57" t="n"/>
      <c r="CL78" s="67">
        <f>SUM(CH78:CK78)</f>
        <v/>
      </c>
      <c r="CM78" s="61" t="n"/>
      <c r="CN78" s="57" t="n"/>
      <c r="CO78" s="66">
        <f>CE78</f>
        <v/>
      </c>
      <c r="CP78" s="59" t="n"/>
      <c r="CQ78" s="57" t="n"/>
      <c r="CR78" s="57" t="n"/>
      <c r="CS78" s="57" t="n"/>
      <c r="CT78" s="57" t="n"/>
      <c r="CU78" s="67">
        <f>SUM(CQ78:CT78)</f>
        <v/>
      </c>
      <c r="CV78" s="61" t="n"/>
      <c r="CW78" s="57" t="n"/>
      <c r="CX78" s="66">
        <f>CN78</f>
        <v/>
      </c>
      <c r="CY78" s="59" t="n"/>
      <c r="CZ78" s="57" t="n"/>
      <c r="DA78" s="57" t="n"/>
      <c r="DB78" s="57" t="n"/>
      <c r="DC78" s="57" t="n"/>
      <c r="DD78" s="67">
        <f>SUM(CZ78:DC78)</f>
        <v/>
      </c>
      <c r="DE78" s="61" t="n"/>
      <c r="DF78" s="57" t="n"/>
      <c r="DG78" s="66">
        <f>CW78</f>
        <v/>
      </c>
      <c r="DH78" s="59" t="n"/>
      <c r="DI78" s="57" t="n"/>
      <c r="DJ78" s="57" t="n"/>
      <c r="DK78" s="57" t="n"/>
      <c r="DL78" s="57" t="n"/>
      <c r="DM78" s="67">
        <f>SUM(DI78:DL78)</f>
        <v/>
      </c>
      <c r="DN78" s="61" t="n"/>
      <c r="DO78" s="57" t="n"/>
      <c r="DP78" s="66">
        <f>DF78</f>
        <v/>
      </c>
      <c r="DQ78" s="59" t="n"/>
      <c r="DR78" s="57" t="n"/>
      <c r="DS78" s="57" t="n"/>
      <c r="DT78" s="57" t="n"/>
      <c r="DU78" s="57" t="n"/>
      <c r="DV78" s="67">
        <f>SUM(DR78:DU78)</f>
        <v/>
      </c>
      <c r="DW78" s="61" t="n"/>
      <c r="DX78" s="57" t="n"/>
      <c r="DY78" s="66">
        <f>DO78</f>
        <v/>
      </c>
      <c r="DZ78" s="59" t="n"/>
      <c r="EA78" s="57" t="n"/>
      <c r="EB78" s="57" t="n"/>
      <c r="EC78" s="57" t="n"/>
      <c r="ED78" s="57" t="n"/>
      <c r="EE78" s="67">
        <f>SUM(EA78:ED78)</f>
        <v/>
      </c>
      <c r="EF78" s="61" t="n"/>
      <c r="EG78" s="57" t="n"/>
      <c r="EH78" s="66">
        <f>DX78</f>
        <v/>
      </c>
      <c r="EI78" s="59" t="n"/>
      <c r="EJ78" s="57" t="n"/>
      <c r="EK78" s="57" t="n"/>
      <c r="EL78" s="57" t="n"/>
      <c r="EM78" s="57" t="n"/>
      <c r="EN78" s="67">
        <f>SUM(EJ78:EM78)</f>
        <v/>
      </c>
      <c r="EO78" s="61" t="n"/>
      <c r="EP78" s="57" t="n"/>
      <c r="EQ78" s="66">
        <f>EG78</f>
        <v/>
      </c>
      <c r="ER78" s="59" t="n"/>
      <c r="ES78" s="57" t="n"/>
      <c r="ET78" s="57" t="n"/>
      <c r="EU78" s="57" t="n"/>
      <c r="EV78" s="57" t="n"/>
      <c r="EW78" s="67">
        <f>SUM(ES78:EV78)</f>
        <v/>
      </c>
      <c r="EX78" s="61" t="n"/>
      <c r="EY78" s="57" t="n"/>
      <c r="EZ78" s="66">
        <f>EP78</f>
        <v/>
      </c>
      <c r="FA78" s="59" t="n"/>
      <c r="FB78" s="57" t="n"/>
      <c r="FC78" s="57" t="n"/>
      <c r="FD78" s="57" t="n"/>
      <c r="FE78" s="57" t="n"/>
      <c r="FF78" s="67">
        <f>SUM(FB78:FE78)</f>
        <v/>
      </c>
      <c r="FG78" s="61" t="n"/>
      <c r="FH78" s="57" t="n"/>
      <c r="FI78" s="66">
        <f>EY78</f>
        <v/>
      </c>
      <c r="FJ78" s="59" t="n"/>
      <c r="FK78" s="57" t="n"/>
      <c r="FL78" s="57" t="n"/>
      <c r="FM78" s="57" t="n"/>
      <c r="FN78" s="57" t="n"/>
      <c r="FO78" s="67">
        <f>SUM(FK78:FN78)</f>
        <v/>
      </c>
      <c r="FP78" s="61" t="n"/>
      <c r="FQ78" s="57" t="n"/>
      <c r="FR78" s="66">
        <f>FH78</f>
        <v/>
      </c>
      <c r="FS78" s="59" t="n"/>
      <c r="FT78" s="57" t="n"/>
      <c r="FU78" s="57" t="n"/>
      <c r="FV78" s="57" t="n"/>
      <c r="FW78" s="57" t="n"/>
      <c r="FX78" s="67">
        <f>SUM(FT78:FW78)</f>
        <v/>
      </c>
      <c r="FY78" s="61" t="n"/>
      <c r="FZ78" s="57" t="n"/>
      <c r="GA78" s="66">
        <f>FQ78</f>
        <v/>
      </c>
      <c r="GB78" s="59" t="n"/>
      <c r="GC78" s="57" t="n"/>
      <c r="GD78" s="57" t="n"/>
      <c r="GE78" s="57" t="n"/>
      <c r="GF78" s="57" t="n"/>
      <c r="GG78" s="67">
        <f>SUM(GC78:GF78)</f>
        <v/>
      </c>
      <c r="GH78" s="61" t="n"/>
      <c r="GI78" s="57" t="n"/>
      <c r="GJ78" s="66">
        <f>FZ78</f>
        <v/>
      </c>
      <c r="GK78" s="59" t="n"/>
      <c r="GL78" s="57" t="n"/>
      <c r="GM78" s="57" t="n"/>
      <c r="GN78" s="57" t="n"/>
      <c r="GO78" s="57" t="n"/>
      <c r="GP78" s="67">
        <f>SUM(GL78:GO78)</f>
        <v/>
      </c>
      <c r="GQ78" s="61" t="n"/>
      <c r="GR78" s="57" t="n"/>
      <c r="GS78" s="66">
        <f>GI78</f>
        <v/>
      </c>
      <c r="GT78" s="59" t="n"/>
      <c r="GU78" s="57" t="n"/>
      <c r="GV78" s="57" t="n"/>
      <c r="GW78" s="57" t="n"/>
      <c r="GX78" s="57" t="n"/>
      <c r="GY78" s="67">
        <f>SUM(GU78:GX78)</f>
        <v/>
      </c>
      <c r="GZ78" s="61" t="n"/>
      <c r="HA78" s="57" t="n"/>
      <c r="HB78" s="66">
        <f>GR78</f>
        <v/>
      </c>
      <c r="HC78" s="59" t="n"/>
      <c r="HD78" s="57" t="n"/>
      <c r="HE78" s="57" t="n"/>
      <c r="HF78" s="57" t="n"/>
      <c r="HG78" s="57" t="n"/>
      <c r="HH78" s="67">
        <f>SUM(HD78:HG78)</f>
        <v/>
      </c>
      <c r="HI78" s="61" t="n"/>
      <c r="HJ78" s="57" t="n"/>
      <c r="HK78" s="66">
        <f>HA78</f>
        <v/>
      </c>
      <c r="HL78" s="59" t="n"/>
      <c r="HM78" s="57" t="n"/>
      <c r="HN78" s="57" t="n"/>
      <c r="HO78" s="57" t="n"/>
      <c r="HP78" s="57" t="n"/>
      <c r="HQ78" s="67">
        <f>SUM(HM78:HP78)</f>
        <v/>
      </c>
      <c r="HR78" s="61" t="n"/>
      <c r="HS78" s="57" t="n"/>
      <c r="HT78" s="66">
        <f>HJ78</f>
        <v/>
      </c>
      <c r="HU78" s="59" t="n"/>
      <c r="HV78" s="57" t="n"/>
      <c r="HW78" s="57" t="n"/>
      <c r="HX78" s="57" t="n"/>
      <c r="HY78" s="57" t="n"/>
      <c r="HZ78" s="67">
        <f>SUM(HV78:HY78)</f>
        <v/>
      </c>
      <c r="IA78" s="61" t="n"/>
      <c r="IB78" s="57" t="n"/>
      <c r="IC78" s="66">
        <f>HS78</f>
        <v/>
      </c>
      <c r="ID78" s="59" t="n"/>
      <c r="IE78" s="57" t="n"/>
      <c r="IF78" s="57" t="n"/>
      <c r="IG78" s="57" t="n"/>
      <c r="IH78" s="57" t="n"/>
      <c r="II78" s="67">
        <f>SUM(IE78:IH78)</f>
        <v/>
      </c>
      <c r="IJ78" s="61" t="n"/>
      <c r="IK78" s="57" t="n"/>
      <c r="IL78" s="66">
        <f>IB78</f>
        <v/>
      </c>
      <c r="IM78" s="59" t="n"/>
      <c r="IN78" s="57" t="n"/>
      <c r="IO78" s="57" t="n"/>
      <c r="IP78" s="57" t="n"/>
      <c r="IQ78" s="57" t="n"/>
      <c r="IR78" s="67">
        <f>SUM(IN78:IQ78)</f>
        <v/>
      </c>
      <c r="IS78" s="61" t="n"/>
      <c r="IT78" s="57" t="n"/>
      <c r="IU78" s="66">
        <f>IK78</f>
        <v/>
      </c>
      <c r="IV78" s="59" t="n"/>
      <c r="IW78" s="57" t="n"/>
      <c r="IX78" s="57" t="n"/>
      <c r="IY78" s="57" t="n"/>
      <c r="IZ78" s="57" t="n"/>
      <c r="JA78" s="67">
        <f>SUM(IW78:IZ78)</f>
        <v/>
      </c>
      <c r="JB78" s="61" t="n"/>
      <c r="JC78" s="57" t="n"/>
      <c r="JD78" s="66">
        <f>IT78</f>
        <v/>
      </c>
      <c r="JE78" s="59" t="n"/>
      <c r="JF78" s="57" t="n"/>
      <c r="JG78" s="57" t="n"/>
      <c r="JH78" s="57" t="n"/>
      <c r="JI78" s="57" t="n"/>
      <c r="JJ78" s="67">
        <f>SUM(JF78:JI78)</f>
        <v/>
      </c>
      <c r="JK78" s="61" t="n"/>
      <c r="JL78" s="57" t="n"/>
      <c r="JM78" s="66">
        <f>JC78</f>
        <v/>
      </c>
      <c r="JN78" s="59" t="n"/>
      <c r="JO78" s="57" t="n"/>
      <c r="JP78" s="57" t="n"/>
      <c r="JQ78" s="57" t="n"/>
      <c r="JR78" s="57" t="n"/>
      <c r="JS78" s="67">
        <f>SUM(JO78:JR78)</f>
        <v/>
      </c>
      <c r="JT78" s="61" t="n"/>
      <c r="JU78" s="62">
        <f>I78+R78+AA78+AJ78+AS78+BB78+BK78+BT78+CC78+CL78+CU78+DD78+DM78+DV78+EE78+EN78+EW78+FF78+FO78+FX78+GG78+GP78+GY78+HH78+HQ78+HZ78+II78+IR78+JA78+JJ78+JS78</f>
        <v/>
      </c>
      <c r="JV78" s="63">
        <f>D78+M78+V78+AE78+AN78+AW78+BF78+BO78+BX78+CG78+CP78+CY78+DH78+DQ78+DZ78+EI78+ER78+FA78+FJ78+FS78+GB78+GK78+GT78+HC78+HL78+HU78+ID78+IM78+IV78+JE78+JN78</f>
        <v/>
      </c>
      <c r="JW78" s="62">
        <f>CHOOSE($Z$3,B78, K78, T78, AC78, AL78, AU78, BD78, BM78, BV78, CE78, CN78, CW78, DF78, DO78, DX78, EG78, EP78, EY78, FH78, FQ78, FZ78, GI78, GR78, HA78, HJ78, HS78, IB78, IK78, IT78, JC78, JL78)</f>
        <v/>
      </c>
      <c r="JX78" s="62">
        <f>IFERROR(JU78/$Z$3,0)</f>
        <v/>
      </c>
      <c r="JY78" s="62">
        <f>Configurações!$C$18</f>
        <v/>
      </c>
      <c r="JZ78" s="64">
        <f>IF(JY78=0,"— Sem meta",IF(JU78&gt;=JY78,"✓ Atingida","Em andamento"))</f>
        <v/>
      </c>
      <c r="KA78" s="65">
        <f>JU78+(2*0.0000001)</f>
        <v/>
      </c>
    </row>
    <row r="79" ht="20" customHeight="1">
      <c r="A79" s="56">
        <f>IF(Configurações!$B$19="","Assessor 13",Configurações!$B$19)</f>
        <v/>
      </c>
      <c r="B79" s="57" t="n"/>
      <c r="C79" s="58">
        <f>'Maio'!$JW79</f>
        <v/>
      </c>
      <c r="D79" s="59" t="n"/>
      <c r="E79" s="57" t="n"/>
      <c r="F79" s="57" t="n"/>
      <c r="G79" s="57" t="n"/>
      <c r="H79" s="57" t="n"/>
      <c r="I79" s="60">
        <f>SUM(E79:H79)</f>
        <v/>
      </c>
      <c r="J79" s="61" t="n"/>
      <c r="K79" s="57" t="n"/>
      <c r="L79" s="58">
        <f>B79</f>
        <v/>
      </c>
      <c r="M79" s="59" t="n"/>
      <c r="N79" s="57" t="n"/>
      <c r="O79" s="57" t="n"/>
      <c r="P79" s="57" t="n"/>
      <c r="Q79" s="57" t="n"/>
      <c r="R79" s="60">
        <f>SUM(N79:Q79)</f>
        <v/>
      </c>
      <c r="S79" s="61" t="n"/>
      <c r="T79" s="57" t="n"/>
      <c r="U79" s="58">
        <f>K79</f>
        <v/>
      </c>
      <c r="V79" s="59" t="n"/>
      <c r="W79" s="57" t="n"/>
      <c r="X79" s="57" t="n"/>
      <c r="Y79" s="57" t="n"/>
      <c r="Z79" s="57" t="n"/>
      <c r="AA79" s="60">
        <f>SUM(W79:Z79)</f>
        <v/>
      </c>
      <c r="AB79" s="61" t="n"/>
      <c r="AC79" s="57" t="n"/>
      <c r="AD79" s="58">
        <f>T79</f>
        <v/>
      </c>
      <c r="AE79" s="59" t="n"/>
      <c r="AF79" s="57" t="n"/>
      <c r="AG79" s="57" t="n"/>
      <c r="AH79" s="57" t="n"/>
      <c r="AI79" s="57" t="n"/>
      <c r="AJ79" s="60">
        <f>SUM(AF79:AI79)</f>
        <v/>
      </c>
      <c r="AK79" s="61" t="n"/>
      <c r="AL79" s="57" t="n"/>
      <c r="AM79" s="58">
        <f>AC79</f>
        <v/>
      </c>
      <c r="AN79" s="59" t="n"/>
      <c r="AO79" s="57" t="n"/>
      <c r="AP79" s="57" t="n"/>
      <c r="AQ79" s="57" t="n"/>
      <c r="AR79" s="57" t="n"/>
      <c r="AS79" s="60">
        <f>SUM(AO79:AR79)</f>
        <v/>
      </c>
      <c r="AT79" s="61" t="n"/>
      <c r="AU79" s="57" t="n"/>
      <c r="AV79" s="58">
        <f>AL79</f>
        <v/>
      </c>
      <c r="AW79" s="59" t="n"/>
      <c r="AX79" s="57" t="n"/>
      <c r="AY79" s="57" t="n"/>
      <c r="AZ79" s="57" t="n"/>
      <c r="BA79" s="57" t="n"/>
      <c r="BB79" s="60">
        <f>SUM(AX79:BA79)</f>
        <v/>
      </c>
      <c r="BC79" s="61" t="n"/>
      <c r="BD79" s="57" t="n"/>
      <c r="BE79" s="58">
        <f>AU79</f>
        <v/>
      </c>
      <c r="BF79" s="59" t="n"/>
      <c r="BG79" s="57" t="n"/>
      <c r="BH79" s="57" t="n"/>
      <c r="BI79" s="57" t="n"/>
      <c r="BJ79" s="57" t="n"/>
      <c r="BK79" s="60">
        <f>SUM(BG79:BJ79)</f>
        <v/>
      </c>
      <c r="BL79" s="61" t="n"/>
      <c r="BM79" s="57" t="n"/>
      <c r="BN79" s="58">
        <f>BD79</f>
        <v/>
      </c>
      <c r="BO79" s="59" t="n"/>
      <c r="BP79" s="57" t="n"/>
      <c r="BQ79" s="57" t="n"/>
      <c r="BR79" s="57" t="n"/>
      <c r="BS79" s="57" t="n"/>
      <c r="BT79" s="60">
        <f>SUM(BP79:BS79)</f>
        <v/>
      </c>
      <c r="BU79" s="61" t="n"/>
      <c r="BV79" s="57" t="n"/>
      <c r="BW79" s="58">
        <f>BM79</f>
        <v/>
      </c>
      <c r="BX79" s="59" t="n"/>
      <c r="BY79" s="57" t="n"/>
      <c r="BZ79" s="57" t="n"/>
      <c r="CA79" s="57" t="n"/>
      <c r="CB79" s="57" t="n"/>
      <c r="CC79" s="60">
        <f>SUM(BY79:CB79)</f>
        <v/>
      </c>
      <c r="CD79" s="61" t="n"/>
      <c r="CE79" s="57" t="n"/>
      <c r="CF79" s="58">
        <f>BV79</f>
        <v/>
      </c>
      <c r="CG79" s="59" t="n"/>
      <c r="CH79" s="57" t="n"/>
      <c r="CI79" s="57" t="n"/>
      <c r="CJ79" s="57" t="n"/>
      <c r="CK79" s="57" t="n"/>
      <c r="CL79" s="60">
        <f>SUM(CH79:CK79)</f>
        <v/>
      </c>
      <c r="CM79" s="61" t="n"/>
      <c r="CN79" s="57" t="n"/>
      <c r="CO79" s="58">
        <f>CE79</f>
        <v/>
      </c>
      <c r="CP79" s="59" t="n"/>
      <c r="CQ79" s="57" t="n"/>
      <c r="CR79" s="57" t="n"/>
      <c r="CS79" s="57" t="n"/>
      <c r="CT79" s="57" t="n"/>
      <c r="CU79" s="60">
        <f>SUM(CQ79:CT79)</f>
        <v/>
      </c>
      <c r="CV79" s="61" t="n"/>
      <c r="CW79" s="57" t="n"/>
      <c r="CX79" s="58">
        <f>CN79</f>
        <v/>
      </c>
      <c r="CY79" s="59" t="n"/>
      <c r="CZ79" s="57" t="n"/>
      <c r="DA79" s="57" t="n"/>
      <c r="DB79" s="57" t="n"/>
      <c r="DC79" s="57" t="n"/>
      <c r="DD79" s="60">
        <f>SUM(CZ79:DC79)</f>
        <v/>
      </c>
      <c r="DE79" s="61" t="n"/>
      <c r="DF79" s="57" t="n"/>
      <c r="DG79" s="58">
        <f>CW79</f>
        <v/>
      </c>
      <c r="DH79" s="59" t="n"/>
      <c r="DI79" s="57" t="n"/>
      <c r="DJ79" s="57" t="n"/>
      <c r="DK79" s="57" t="n"/>
      <c r="DL79" s="57" t="n"/>
      <c r="DM79" s="60">
        <f>SUM(DI79:DL79)</f>
        <v/>
      </c>
      <c r="DN79" s="61" t="n"/>
      <c r="DO79" s="57" t="n"/>
      <c r="DP79" s="58">
        <f>DF79</f>
        <v/>
      </c>
      <c r="DQ79" s="59" t="n"/>
      <c r="DR79" s="57" t="n"/>
      <c r="DS79" s="57" t="n"/>
      <c r="DT79" s="57" t="n"/>
      <c r="DU79" s="57" t="n"/>
      <c r="DV79" s="60">
        <f>SUM(DR79:DU79)</f>
        <v/>
      </c>
      <c r="DW79" s="61" t="n"/>
      <c r="DX79" s="57" t="n"/>
      <c r="DY79" s="58">
        <f>DO79</f>
        <v/>
      </c>
      <c r="DZ79" s="59" t="n"/>
      <c r="EA79" s="57" t="n"/>
      <c r="EB79" s="57" t="n"/>
      <c r="EC79" s="57" t="n"/>
      <c r="ED79" s="57" t="n"/>
      <c r="EE79" s="60">
        <f>SUM(EA79:ED79)</f>
        <v/>
      </c>
      <c r="EF79" s="61" t="n"/>
      <c r="EG79" s="57" t="n"/>
      <c r="EH79" s="58">
        <f>DX79</f>
        <v/>
      </c>
      <c r="EI79" s="59" t="n"/>
      <c r="EJ79" s="57" t="n"/>
      <c r="EK79" s="57" t="n"/>
      <c r="EL79" s="57" t="n"/>
      <c r="EM79" s="57" t="n"/>
      <c r="EN79" s="60">
        <f>SUM(EJ79:EM79)</f>
        <v/>
      </c>
      <c r="EO79" s="61" t="n"/>
      <c r="EP79" s="57" t="n"/>
      <c r="EQ79" s="58">
        <f>EG79</f>
        <v/>
      </c>
      <c r="ER79" s="59" t="n"/>
      <c r="ES79" s="57" t="n"/>
      <c r="ET79" s="57" t="n"/>
      <c r="EU79" s="57" t="n"/>
      <c r="EV79" s="57" t="n"/>
      <c r="EW79" s="60">
        <f>SUM(ES79:EV79)</f>
        <v/>
      </c>
      <c r="EX79" s="61" t="n"/>
      <c r="EY79" s="57" t="n"/>
      <c r="EZ79" s="58">
        <f>EP79</f>
        <v/>
      </c>
      <c r="FA79" s="59" t="n"/>
      <c r="FB79" s="57" t="n"/>
      <c r="FC79" s="57" t="n"/>
      <c r="FD79" s="57" t="n"/>
      <c r="FE79" s="57" t="n"/>
      <c r="FF79" s="60">
        <f>SUM(FB79:FE79)</f>
        <v/>
      </c>
      <c r="FG79" s="61" t="n"/>
      <c r="FH79" s="57" t="n"/>
      <c r="FI79" s="58">
        <f>EY79</f>
        <v/>
      </c>
      <c r="FJ79" s="59" t="n"/>
      <c r="FK79" s="57" t="n"/>
      <c r="FL79" s="57" t="n"/>
      <c r="FM79" s="57" t="n"/>
      <c r="FN79" s="57" t="n"/>
      <c r="FO79" s="60">
        <f>SUM(FK79:FN79)</f>
        <v/>
      </c>
      <c r="FP79" s="61" t="n"/>
      <c r="FQ79" s="57" t="n"/>
      <c r="FR79" s="58">
        <f>FH79</f>
        <v/>
      </c>
      <c r="FS79" s="59" t="n"/>
      <c r="FT79" s="57" t="n"/>
      <c r="FU79" s="57" t="n"/>
      <c r="FV79" s="57" t="n"/>
      <c r="FW79" s="57" t="n"/>
      <c r="FX79" s="60">
        <f>SUM(FT79:FW79)</f>
        <v/>
      </c>
      <c r="FY79" s="61" t="n"/>
      <c r="FZ79" s="57" t="n"/>
      <c r="GA79" s="58">
        <f>FQ79</f>
        <v/>
      </c>
      <c r="GB79" s="59" t="n"/>
      <c r="GC79" s="57" t="n"/>
      <c r="GD79" s="57" t="n"/>
      <c r="GE79" s="57" t="n"/>
      <c r="GF79" s="57" t="n"/>
      <c r="GG79" s="60">
        <f>SUM(GC79:GF79)</f>
        <v/>
      </c>
      <c r="GH79" s="61" t="n"/>
      <c r="GI79" s="57" t="n"/>
      <c r="GJ79" s="58">
        <f>FZ79</f>
        <v/>
      </c>
      <c r="GK79" s="59" t="n"/>
      <c r="GL79" s="57" t="n"/>
      <c r="GM79" s="57" t="n"/>
      <c r="GN79" s="57" t="n"/>
      <c r="GO79" s="57" t="n"/>
      <c r="GP79" s="60">
        <f>SUM(GL79:GO79)</f>
        <v/>
      </c>
      <c r="GQ79" s="61" t="n"/>
      <c r="GR79" s="57" t="n"/>
      <c r="GS79" s="58">
        <f>GI79</f>
        <v/>
      </c>
      <c r="GT79" s="59" t="n"/>
      <c r="GU79" s="57" t="n"/>
      <c r="GV79" s="57" t="n"/>
      <c r="GW79" s="57" t="n"/>
      <c r="GX79" s="57" t="n"/>
      <c r="GY79" s="60">
        <f>SUM(GU79:GX79)</f>
        <v/>
      </c>
      <c r="GZ79" s="61" t="n"/>
      <c r="HA79" s="57" t="n"/>
      <c r="HB79" s="58">
        <f>GR79</f>
        <v/>
      </c>
      <c r="HC79" s="59" t="n"/>
      <c r="HD79" s="57" t="n"/>
      <c r="HE79" s="57" t="n"/>
      <c r="HF79" s="57" t="n"/>
      <c r="HG79" s="57" t="n"/>
      <c r="HH79" s="60">
        <f>SUM(HD79:HG79)</f>
        <v/>
      </c>
      <c r="HI79" s="61" t="n"/>
      <c r="HJ79" s="57" t="n"/>
      <c r="HK79" s="58">
        <f>HA79</f>
        <v/>
      </c>
      <c r="HL79" s="59" t="n"/>
      <c r="HM79" s="57" t="n"/>
      <c r="HN79" s="57" t="n"/>
      <c r="HO79" s="57" t="n"/>
      <c r="HP79" s="57" t="n"/>
      <c r="HQ79" s="60">
        <f>SUM(HM79:HP79)</f>
        <v/>
      </c>
      <c r="HR79" s="61" t="n"/>
      <c r="HS79" s="57" t="n"/>
      <c r="HT79" s="58">
        <f>HJ79</f>
        <v/>
      </c>
      <c r="HU79" s="59" t="n"/>
      <c r="HV79" s="57" t="n"/>
      <c r="HW79" s="57" t="n"/>
      <c r="HX79" s="57" t="n"/>
      <c r="HY79" s="57" t="n"/>
      <c r="HZ79" s="60">
        <f>SUM(HV79:HY79)</f>
        <v/>
      </c>
      <c r="IA79" s="61" t="n"/>
      <c r="IB79" s="57" t="n"/>
      <c r="IC79" s="58">
        <f>HS79</f>
        <v/>
      </c>
      <c r="ID79" s="59" t="n"/>
      <c r="IE79" s="57" t="n"/>
      <c r="IF79" s="57" t="n"/>
      <c r="IG79" s="57" t="n"/>
      <c r="IH79" s="57" t="n"/>
      <c r="II79" s="60">
        <f>SUM(IE79:IH79)</f>
        <v/>
      </c>
      <c r="IJ79" s="61" t="n"/>
      <c r="IK79" s="57" t="n"/>
      <c r="IL79" s="58">
        <f>IB79</f>
        <v/>
      </c>
      <c r="IM79" s="59" t="n"/>
      <c r="IN79" s="57" t="n"/>
      <c r="IO79" s="57" t="n"/>
      <c r="IP79" s="57" t="n"/>
      <c r="IQ79" s="57" t="n"/>
      <c r="IR79" s="60">
        <f>SUM(IN79:IQ79)</f>
        <v/>
      </c>
      <c r="IS79" s="61" t="n"/>
      <c r="IT79" s="57" t="n"/>
      <c r="IU79" s="58">
        <f>IK79</f>
        <v/>
      </c>
      <c r="IV79" s="59" t="n"/>
      <c r="IW79" s="57" t="n"/>
      <c r="IX79" s="57" t="n"/>
      <c r="IY79" s="57" t="n"/>
      <c r="IZ79" s="57" t="n"/>
      <c r="JA79" s="60">
        <f>SUM(IW79:IZ79)</f>
        <v/>
      </c>
      <c r="JB79" s="61" t="n"/>
      <c r="JC79" s="57" t="n"/>
      <c r="JD79" s="58">
        <f>IT79</f>
        <v/>
      </c>
      <c r="JE79" s="59" t="n"/>
      <c r="JF79" s="57" t="n"/>
      <c r="JG79" s="57" t="n"/>
      <c r="JH79" s="57" t="n"/>
      <c r="JI79" s="57" t="n"/>
      <c r="JJ79" s="60">
        <f>SUM(JF79:JI79)</f>
        <v/>
      </c>
      <c r="JK79" s="61" t="n"/>
      <c r="JL79" s="57" t="n"/>
      <c r="JM79" s="58">
        <f>JC79</f>
        <v/>
      </c>
      <c r="JN79" s="59" t="n"/>
      <c r="JO79" s="57" t="n"/>
      <c r="JP79" s="57" t="n"/>
      <c r="JQ79" s="57" t="n"/>
      <c r="JR79" s="57" t="n"/>
      <c r="JS79" s="60">
        <f>SUM(JO79:JR79)</f>
        <v/>
      </c>
      <c r="JT79" s="61" t="n"/>
      <c r="JU79" s="62">
        <f>I79+R79+AA79+AJ79+AS79+BB79+BK79+BT79+CC79+CL79+CU79+DD79+DM79+DV79+EE79+EN79+EW79+FF79+FO79+FX79+GG79+GP79+GY79+HH79+HQ79+HZ79+II79+IR79+JA79+JJ79+JS79</f>
        <v/>
      </c>
      <c r="JV79" s="63">
        <f>D79+M79+V79+AE79+AN79+AW79+BF79+BO79+BX79+CG79+CP79+CY79+DH79+DQ79+DZ79+EI79+ER79+FA79+FJ79+FS79+GB79+GK79+GT79+HC79+HL79+HU79+ID79+IM79+IV79+JE79+JN79</f>
        <v/>
      </c>
      <c r="JW79" s="62">
        <f>CHOOSE($Z$3,B79, K79, T79, AC79, AL79, AU79, BD79, BM79, BV79, CE79, CN79, CW79, DF79, DO79, DX79, EG79, EP79, EY79, FH79, FQ79, FZ79, GI79, GR79, HA79, HJ79, HS79, IB79, IK79, IT79, JC79, JL79)</f>
        <v/>
      </c>
      <c r="JX79" s="62">
        <f>IFERROR(JU79/$Z$3,0)</f>
        <v/>
      </c>
      <c r="JY79" s="62">
        <f>Configurações!$C$19</f>
        <v/>
      </c>
      <c r="JZ79" s="64">
        <f>IF(JY79=0,"— Sem meta",IF(JU79&gt;=JY79,"✓ Atingida","Em andamento"))</f>
        <v/>
      </c>
      <c r="KA79" s="65">
        <f>JU79+(1*0.0000001)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66:JZ79"/>
  <mergeCells count="65">
    <mergeCell ref="C6:D6"/>
    <mergeCell ref="I6:J6"/>
    <mergeCell ref="G10:I10"/>
    <mergeCell ref="T65:AB65"/>
    <mergeCell ref="CW65:DE65"/>
    <mergeCell ref="IK65:IS65"/>
    <mergeCell ref="FH65:FP65"/>
    <mergeCell ref="JV65:JV66"/>
    <mergeCell ref="C5:D5"/>
    <mergeCell ref="EY65:FG65"/>
    <mergeCell ref="JY65:JY66"/>
    <mergeCell ref="A2:KA2"/>
    <mergeCell ref="E5:F5"/>
    <mergeCell ref="K5:L5"/>
    <mergeCell ref="J9:L9"/>
    <mergeCell ref="AU65:BC65"/>
    <mergeCell ref="GI65:GQ65"/>
    <mergeCell ref="HJ65:HR65"/>
    <mergeCell ref="A6:B6"/>
    <mergeCell ref="A12:L12"/>
    <mergeCell ref="A65:A66"/>
    <mergeCell ref="JL65:JT65"/>
    <mergeCell ref="A8:L8"/>
    <mergeCell ref="FQ65:FY65"/>
    <mergeCell ref="D9:F9"/>
    <mergeCell ref="G6:H6"/>
    <mergeCell ref="B65:J65"/>
    <mergeCell ref="HS65:IA65"/>
    <mergeCell ref="AC65:AK65"/>
    <mergeCell ref="BD65:BL65"/>
    <mergeCell ref="A4:L4"/>
    <mergeCell ref="DO65:DW65"/>
    <mergeCell ref="A10:C10"/>
    <mergeCell ref="CE65:CM65"/>
    <mergeCell ref="DF65:DN65"/>
    <mergeCell ref="E6:F6"/>
    <mergeCell ref="EG65:EO65"/>
    <mergeCell ref="JX65:JX66"/>
    <mergeCell ref="JZ65:JZ66"/>
    <mergeCell ref="K65:S65"/>
    <mergeCell ref="A5:B5"/>
    <mergeCell ref="G5:H5"/>
    <mergeCell ref="A9:C9"/>
    <mergeCell ref="G9:I9"/>
    <mergeCell ref="I5:J5"/>
    <mergeCell ref="A64:KA64"/>
    <mergeCell ref="IT65:JB65"/>
    <mergeCell ref="A1:KA1"/>
    <mergeCell ref="D10:F10"/>
    <mergeCell ref="BV65:CD65"/>
    <mergeCell ref="IB65:IJ65"/>
    <mergeCell ref="CN65:CV65"/>
    <mergeCell ref="BM65:BU65"/>
    <mergeCell ref="DX65:EF65"/>
    <mergeCell ref="JU65:JU66"/>
    <mergeCell ref="J10:L10"/>
    <mergeCell ref="EP65:EX65"/>
    <mergeCell ref="JW65:JW66"/>
    <mergeCell ref="FZ65:GH65"/>
    <mergeCell ref="KA65:KA66"/>
    <mergeCell ref="HA65:HI65"/>
    <mergeCell ref="AL65:AT65"/>
    <mergeCell ref="GR65:GZ65"/>
    <mergeCell ref="JC65:JK65"/>
    <mergeCell ref="K6:L6"/>
  </mergeCells>
  <conditionalFormatting sqref="H14:H26">
    <cfRule type="expression" priority="1" dxfId="0">
      <formula>ISNUMBER(SEARCH("Atingida",H14))</formula>
    </cfRule>
  </conditionalFormatting>
  <conditionalFormatting sqref="B65:JT79">
    <cfRule type="expression" priority="2" dxfId="1">
      <formula>$Z$3&lt;INT((COLUMN()-2)/9)+1</formula>
    </cfRule>
  </conditionalFormatting>
  <conditionalFormatting sqref="D67:D79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I67:I79">
    <cfRule type="colorScale" priority="5">
      <colorScale>
        <cfvo type="min"/>
        <cfvo type="max"/>
        <color rgb="00FFFFFF"/>
        <color rgb="0063BE7B"/>
      </colorScale>
    </cfRule>
  </conditionalFormatting>
  <conditionalFormatting sqref="M67:M79">
    <cfRule type="cellIs" priority="6" operator="greaterThan" dxfId="2">
      <formula>0</formula>
    </cfRule>
    <cfRule type="cellIs" priority="7" operator="lessThan" dxfId="3">
      <formula>0</formula>
    </cfRule>
  </conditionalFormatting>
  <conditionalFormatting sqref="R67:R79">
    <cfRule type="colorScale" priority="8">
      <colorScale>
        <cfvo type="min"/>
        <cfvo type="max"/>
        <color rgb="00FFFFFF"/>
        <color rgb="0063BE7B"/>
      </colorScale>
    </cfRule>
  </conditionalFormatting>
  <conditionalFormatting sqref="V67:V79">
    <cfRule type="cellIs" priority="9" operator="greaterThan" dxfId="2">
      <formula>0</formula>
    </cfRule>
    <cfRule type="cellIs" priority="10" operator="lessThan" dxfId="3">
      <formula>0</formula>
    </cfRule>
  </conditionalFormatting>
  <conditionalFormatting sqref="AA67:AA79">
    <cfRule type="colorScale" priority="11">
      <colorScale>
        <cfvo type="min"/>
        <cfvo type="max"/>
        <color rgb="00FFFFFF"/>
        <color rgb="0063BE7B"/>
      </colorScale>
    </cfRule>
  </conditionalFormatting>
  <conditionalFormatting sqref="AE67:AE79">
    <cfRule type="cellIs" priority="12" operator="greaterThan" dxfId="2">
      <formula>0</formula>
    </cfRule>
    <cfRule type="cellIs" priority="13" operator="lessThan" dxfId="3">
      <formula>0</formula>
    </cfRule>
  </conditionalFormatting>
  <conditionalFormatting sqref="AJ67:AJ79">
    <cfRule type="colorScale" priority="14">
      <colorScale>
        <cfvo type="min"/>
        <cfvo type="max"/>
        <color rgb="00FFFFFF"/>
        <color rgb="0063BE7B"/>
      </colorScale>
    </cfRule>
  </conditionalFormatting>
  <conditionalFormatting sqref="AN67:AN79">
    <cfRule type="cellIs" priority="15" operator="greaterThan" dxfId="2">
      <formula>0</formula>
    </cfRule>
    <cfRule type="cellIs" priority="16" operator="lessThan" dxfId="3">
      <formula>0</formula>
    </cfRule>
  </conditionalFormatting>
  <conditionalFormatting sqref="AS67:AS79">
    <cfRule type="colorScale" priority="17">
      <colorScale>
        <cfvo type="min"/>
        <cfvo type="max"/>
        <color rgb="00FFFFFF"/>
        <color rgb="0063BE7B"/>
      </colorScale>
    </cfRule>
  </conditionalFormatting>
  <conditionalFormatting sqref="AW67:AW79">
    <cfRule type="cellIs" priority="18" operator="greaterThan" dxfId="2">
      <formula>0</formula>
    </cfRule>
    <cfRule type="cellIs" priority="19" operator="lessThan" dxfId="3">
      <formula>0</formula>
    </cfRule>
  </conditionalFormatting>
  <conditionalFormatting sqref="BB67:BB79">
    <cfRule type="colorScale" priority="20">
      <colorScale>
        <cfvo type="min"/>
        <cfvo type="max"/>
        <color rgb="00FFFFFF"/>
        <color rgb="0063BE7B"/>
      </colorScale>
    </cfRule>
  </conditionalFormatting>
  <conditionalFormatting sqref="BF67:BF79">
    <cfRule type="cellIs" priority="21" operator="greaterThan" dxfId="2">
      <formula>0</formula>
    </cfRule>
    <cfRule type="cellIs" priority="22" operator="lessThan" dxfId="3">
      <formula>0</formula>
    </cfRule>
  </conditionalFormatting>
  <conditionalFormatting sqref="BK67:BK79">
    <cfRule type="colorScale" priority="23">
      <colorScale>
        <cfvo type="min"/>
        <cfvo type="max"/>
        <color rgb="00FFFFFF"/>
        <color rgb="0063BE7B"/>
      </colorScale>
    </cfRule>
  </conditionalFormatting>
  <conditionalFormatting sqref="BO67:BO79">
    <cfRule type="cellIs" priority="24" operator="greaterThan" dxfId="2">
      <formula>0</formula>
    </cfRule>
    <cfRule type="cellIs" priority="25" operator="lessThan" dxfId="3">
      <formula>0</formula>
    </cfRule>
  </conditionalFormatting>
  <conditionalFormatting sqref="BT67:BT79">
    <cfRule type="colorScale" priority="26">
      <colorScale>
        <cfvo type="min"/>
        <cfvo type="max"/>
        <color rgb="00FFFFFF"/>
        <color rgb="0063BE7B"/>
      </colorScale>
    </cfRule>
  </conditionalFormatting>
  <conditionalFormatting sqref="BX67:BX79">
    <cfRule type="cellIs" priority="27" operator="greaterThan" dxfId="2">
      <formula>0</formula>
    </cfRule>
    <cfRule type="cellIs" priority="28" operator="lessThan" dxfId="3">
      <formula>0</formula>
    </cfRule>
  </conditionalFormatting>
  <conditionalFormatting sqref="CC67:CC79">
    <cfRule type="colorScale" priority="29">
      <colorScale>
        <cfvo type="min"/>
        <cfvo type="max"/>
        <color rgb="00FFFFFF"/>
        <color rgb="0063BE7B"/>
      </colorScale>
    </cfRule>
  </conditionalFormatting>
  <conditionalFormatting sqref="CG67:CG79">
    <cfRule type="cellIs" priority="30" operator="greaterThan" dxfId="2">
      <formula>0</formula>
    </cfRule>
    <cfRule type="cellIs" priority="31" operator="lessThan" dxfId="3">
      <formula>0</formula>
    </cfRule>
  </conditionalFormatting>
  <conditionalFormatting sqref="CL67:CL79">
    <cfRule type="colorScale" priority="32">
      <colorScale>
        <cfvo type="min"/>
        <cfvo type="max"/>
        <color rgb="00FFFFFF"/>
        <color rgb="0063BE7B"/>
      </colorScale>
    </cfRule>
  </conditionalFormatting>
  <conditionalFormatting sqref="CP67:CP79">
    <cfRule type="cellIs" priority="33" operator="greaterThan" dxfId="2">
      <formula>0</formula>
    </cfRule>
    <cfRule type="cellIs" priority="34" operator="lessThan" dxfId="3">
      <formula>0</formula>
    </cfRule>
  </conditionalFormatting>
  <conditionalFormatting sqref="CU67:CU79">
    <cfRule type="colorScale" priority="35">
      <colorScale>
        <cfvo type="min"/>
        <cfvo type="max"/>
        <color rgb="00FFFFFF"/>
        <color rgb="0063BE7B"/>
      </colorScale>
    </cfRule>
  </conditionalFormatting>
  <conditionalFormatting sqref="CY67:CY79">
    <cfRule type="cellIs" priority="36" operator="greaterThan" dxfId="2">
      <formula>0</formula>
    </cfRule>
    <cfRule type="cellIs" priority="37" operator="lessThan" dxfId="3">
      <formula>0</formula>
    </cfRule>
  </conditionalFormatting>
  <conditionalFormatting sqref="DD67:DD79">
    <cfRule type="colorScale" priority="38">
      <colorScale>
        <cfvo type="min"/>
        <cfvo type="max"/>
        <color rgb="00FFFFFF"/>
        <color rgb="0063BE7B"/>
      </colorScale>
    </cfRule>
  </conditionalFormatting>
  <conditionalFormatting sqref="DH67:DH79">
    <cfRule type="cellIs" priority="39" operator="greaterThan" dxfId="2">
      <formula>0</formula>
    </cfRule>
    <cfRule type="cellIs" priority="40" operator="lessThan" dxfId="3">
      <formula>0</formula>
    </cfRule>
  </conditionalFormatting>
  <conditionalFormatting sqref="DM67:DM79">
    <cfRule type="colorScale" priority="41">
      <colorScale>
        <cfvo type="min"/>
        <cfvo type="max"/>
        <color rgb="00FFFFFF"/>
        <color rgb="0063BE7B"/>
      </colorScale>
    </cfRule>
  </conditionalFormatting>
  <conditionalFormatting sqref="DQ67:DQ79">
    <cfRule type="cellIs" priority="42" operator="greaterThan" dxfId="2">
      <formula>0</formula>
    </cfRule>
    <cfRule type="cellIs" priority="43" operator="lessThan" dxfId="3">
      <formula>0</formula>
    </cfRule>
  </conditionalFormatting>
  <conditionalFormatting sqref="DV67:DV79">
    <cfRule type="colorScale" priority="44">
      <colorScale>
        <cfvo type="min"/>
        <cfvo type="max"/>
        <color rgb="00FFFFFF"/>
        <color rgb="0063BE7B"/>
      </colorScale>
    </cfRule>
  </conditionalFormatting>
  <conditionalFormatting sqref="DZ67:DZ79">
    <cfRule type="cellIs" priority="45" operator="greaterThan" dxfId="2">
      <formula>0</formula>
    </cfRule>
    <cfRule type="cellIs" priority="46" operator="lessThan" dxfId="3">
      <formula>0</formula>
    </cfRule>
  </conditionalFormatting>
  <conditionalFormatting sqref="EE67:EE79">
    <cfRule type="colorScale" priority="47">
      <colorScale>
        <cfvo type="min"/>
        <cfvo type="max"/>
        <color rgb="00FFFFFF"/>
        <color rgb="0063BE7B"/>
      </colorScale>
    </cfRule>
  </conditionalFormatting>
  <conditionalFormatting sqref="EI67:EI79">
    <cfRule type="cellIs" priority="48" operator="greaterThan" dxfId="2">
      <formula>0</formula>
    </cfRule>
    <cfRule type="cellIs" priority="49" operator="lessThan" dxfId="3">
      <formula>0</formula>
    </cfRule>
  </conditionalFormatting>
  <conditionalFormatting sqref="EN67:EN79">
    <cfRule type="colorScale" priority="50">
      <colorScale>
        <cfvo type="min"/>
        <cfvo type="max"/>
        <color rgb="00FFFFFF"/>
        <color rgb="0063BE7B"/>
      </colorScale>
    </cfRule>
  </conditionalFormatting>
  <conditionalFormatting sqref="ER67:ER79">
    <cfRule type="cellIs" priority="51" operator="greaterThan" dxfId="2">
      <formula>0</formula>
    </cfRule>
    <cfRule type="cellIs" priority="52" operator="lessThan" dxfId="3">
      <formula>0</formula>
    </cfRule>
  </conditionalFormatting>
  <conditionalFormatting sqref="EW67:EW79">
    <cfRule type="colorScale" priority="53">
      <colorScale>
        <cfvo type="min"/>
        <cfvo type="max"/>
        <color rgb="00FFFFFF"/>
        <color rgb="0063BE7B"/>
      </colorScale>
    </cfRule>
  </conditionalFormatting>
  <conditionalFormatting sqref="FA67:FA79">
    <cfRule type="cellIs" priority="54" operator="greaterThan" dxfId="2">
      <formula>0</formula>
    </cfRule>
    <cfRule type="cellIs" priority="55" operator="lessThan" dxfId="3">
      <formula>0</formula>
    </cfRule>
  </conditionalFormatting>
  <conditionalFormatting sqref="FF67:FF79">
    <cfRule type="colorScale" priority="56">
      <colorScale>
        <cfvo type="min"/>
        <cfvo type="max"/>
        <color rgb="00FFFFFF"/>
        <color rgb="0063BE7B"/>
      </colorScale>
    </cfRule>
  </conditionalFormatting>
  <conditionalFormatting sqref="FJ67:FJ79">
    <cfRule type="cellIs" priority="57" operator="greaterThan" dxfId="2">
      <formula>0</formula>
    </cfRule>
    <cfRule type="cellIs" priority="58" operator="lessThan" dxfId="3">
      <formula>0</formula>
    </cfRule>
  </conditionalFormatting>
  <conditionalFormatting sqref="FO67:FO79">
    <cfRule type="colorScale" priority="59">
      <colorScale>
        <cfvo type="min"/>
        <cfvo type="max"/>
        <color rgb="00FFFFFF"/>
        <color rgb="0063BE7B"/>
      </colorScale>
    </cfRule>
  </conditionalFormatting>
  <conditionalFormatting sqref="FS67:FS79">
    <cfRule type="cellIs" priority="60" operator="greaterThan" dxfId="2">
      <formula>0</formula>
    </cfRule>
    <cfRule type="cellIs" priority="61" operator="lessThan" dxfId="3">
      <formula>0</formula>
    </cfRule>
  </conditionalFormatting>
  <conditionalFormatting sqref="FX67:FX79">
    <cfRule type="colorScale" priority="62">
      <colorScale>
        <cfvo type="min"/>
        <cfvo type="max"/>
        <color rgb="00FFFFFF"/>
        <color rgb="0063BE7B"/>
      </colorScale>
    </cfRule>
  </conditionalFormatting>
  <conditionalFormatting sqref="GB67:GB79">
    <cfRule type="cellIs" priority="63" operator="greaterThan" dxfId="2">
      <formula>0</formula>
    </cfRule>
    <cfRule type="cellIs" priority="64" operator="lessThan" dxfId="3">
      <formula>0</formula>
    </cfRule>
  </conditionalFormatting>
  <conditionalFormatting sqref="GG67:GG79">
    <cfRule type="colorScale" priority="65">
      <colorScale>
        <cfvo type="min"/>
        <cfvo type="max"/>
        <color rgb="00FFFFFF"/>
        <color rgb="0063BE7B"/>
      </colorScale>
    </cfRule>
  </conditionalFormatting>
  <conditionalFormatting sqref="GK67:GK79">
    <cfRule type="cellIs" priority="66" operator="greaterThan" dxfId="2">
      <formula>0</formula>
    </cfRule>
    <cfRule type="cellIs" priority="67" operator="lessThan" dxfId="3">
      <formula>0</formula>
    </cfRule>
  </conditionalFormatting>
  <conditionalFormatting sqref="GP67:GP79">
    <cfRule type="colorScale" priority="68">
      <colorScale>
        <cfvo type="min"/>
        <cfvo type="max"/>
        <color rgb="00FFFFFF"/>
        <color rgb="0063BE7B"/>
      </colorScale>
    </cfRule>
  </conditionalFormatting>
  <conditionalFormatting sqref="GT67:GT79">
    <cfRule type="cellIs" priority="69" operator="greaterThan" dxfId="2">
      <formula>0</formula>
    </cfRule>
    <cfRule type="cellIs" priority="70" operator="lessThan" dxfId="3">
      <formula>0</formula>
    </cfRule>
  </conditionalFormatting>
  <conditionalFormatting sqref="GY67:GY79">
    <cfRule type="colorScale" priority="71">
      <colorScale>
        <cfvo type="min"/>
        <cfvo type="max"/>
        <color rgb="00FFFFFF"/>
        <color rgb="0063BE7B"/>
      </colorScale>
    </cfRule>
  </conditionalFormatting>
  <conditionalFormatting sqref="HC67:HC79">
    <cfRule type="cellIs" priority="72" operator="greaterThan" dxfId="2">
      <formula>0</formula>
    </cfRule>
    <cfRule type="cellIs" priority="73" operator="lessThan" dxfId="3">
      <formula>0</formula>
    </cfRule>
  </conditionalFormatting>
  <conditionalFormatting sqref="HH67:HH79">
    <cfRule type="colorScale" priority="74">
      <colorScale>
        <cfvo type="min"/>
        <cfvo type="max"/>
        <color rgb="00FFFFFF"/>
        <color rgb="0063BE7B"/>
      </colorScale>
    </cfRule>
  </conditionalFormatting>
  <conditionalFormatting sqref="HL67:HL79">
    <cfRule type="cellIs" priority="75" operator="greaterThan" dxfId="2">
      <formula>0</formula>
    </cfRule>
    <cfRule type="cellIs" priority="76" operator="lessThan" dxfId="3">
      <formula>0</formula>
    </cfRule>
  </conditionalFormatting>
  <conditionalFormatting sqref="HQ67:HQ79">
    <cfRule type="colorScale" priority="77">
      <colorScale>
        <cfvo type="min"/>
        <cfvo type="max"/>
        <color rgb="00FFFFFF"/>
        <color rgb="0063BE7B"/>
      </colorScale>
    </cfRule>
  </conditionalFormatting>
  <conditionalFormatting sqref="HU67:HU79">
    <cfRule type="cellIs" priority="78" operator="greaterThan" dxfId="2">
      <formula>0</formula>
    </cfRule>
    <cfRule type="cellIs" priority="79" operator="lessThan" dxfId="3">
      <formula>0</formula>
    </cfRule>
  </conditionalFormatting>
  <conditionalFormatting sqref="HZ67:HZ79">
    <cfRule type="colorScale" priority="80">
      <colorScale>
        <cfvo type="min"/>
        <cfvo type="max"/>
        <color rgb="00FFFFFF"/>
        <color rgb="0063BE7B"/>
      </colorScale>
    </cfRule>
  </conditionalFormatting>
  <conditionalFormatting sqref="ID67:ID79">
    <cfRule type="cellIs" priority="81" operator="greaterThan" dxfId="2">
      <formula>0</formula>
    </cfRule>
    <cfRule type="cellIs" priority="82" operator="lessThan" dxfId="3">
      <formula>0</formula>
    </cfRule>
  </conditionalFormatting>
  <conditionalFormatting sqref="II67:II79">
    <cfRule type="colorScale" priority="83">
      <colorScale>
        <cfvo type="min"/>
        <cfvo type="max"/>
        <color rgb="00FFFFFF"/>
        <color rgb="0063BE7B"/>
      </colorScale>
    </cfRule>
  </conditionalFormatting>
  <conditionalFormatting sqref="IM67:IM79">
    <cfRule type="cellIs" priority="84" operator="greaterThan" dxfId="2">
      <formula>0</formula>
    </cfRule>
    <cfRule type="cellIs" priority="85" operator="lessThan" dxfId="3">
      <formula>0</formula>
    </cfRule>
  </conditionalFormatting>
  <conditionalFormatting sqref="IR67:IR79">
    <cfRule type="colorScale" priority="86">
      <colorScale>
        <cfvo type="min"/>
        <cfvo type="max"/>
        <color rgb="00FFFFFF"/>
        <color rgb="0063BE7B"/>
      </colorScale>
    </cfRule>
  </conditionalFormatting>
  <conditionalFormatting sqref="IV67:IV79">
    <cfRule type="cellIs" priority="87" operator="greaterThan" dxfId="2">
      <formula>0</formula>
    </cfRule>
    <cfRule type="cellIs" priority="88" operator="lessThan" dxfId="3">
      <formula>0</formula>
    </cfRule>
  </conditionalFormatting>
  <conditionalFormatting sqref="JA67:JA79">
    <cfRule type="colorScale" priority="89">
      <colorScale>
        <cfvo type="min"/>
        <cfvo type="max"/>
        <color rgb="00FFFFFF"/>
        <color rgb="0063BE7B"/>
      </colorScale>
    </cfRule>
  </conditionalFormatting>
  <conditionalFormatting sqref="JE67:JE79">
    <cfRule type="cellIs" priority="90" operator="greaterThan" dxfId="2">
      <formula>0</formula>
    </cfRule>
    <cfRule type="cellIs" priority="91" operator="lessThan" dxfId="3">
      <formula>0</formula>
    </cfRule>
  </conditionalFormatting>
  <conditionalFormatting sqref="JJ67:JJ79">
    <cfRule type="colorScale" priority="92">
      <colorScale>
        <cfvo type="min"/>
        <cfvo type="max"/>
        <color rgb="00FFFFFF"/>
        <color rgb="0063BE7B"/>
      </colorScale>
    </cfRule>
  </conditionalFormatting>
  <conditionalFormatting sqref="JN67:JN79">
    <cfRule type="cellIs" priority="93" operator="greaterThan" dxfId="2">
      <formula>0</formula>
    </cfRule>
    <cfRule type="cellIs" priority="94" operator="lessThan" dxfId="3">
      <formula>0</formula>
    </cfRule>
  </conditionalFormatting>
  <conditionalFormatting sqref="JS67:JS79">
    <cfRule type="colorScale" priority="95">
      <colorScale>
        <cfvo type="min"/>
        <cfvo type="max"/>
        <color rgb="00FFFFFF"/>
        <color rgb="0063BE7B"/>
      </colorScale>
    </cfRule>
  </conditionalFormatting>
  <conditionalFormatting sqref="JZ67:JZ79">
    <cfRule type="expression" priority="96" dxfId="0">
      <formula>ISNUMBER(SEARCH("Atingida",JZ67))</formula>
    </cfRule>
  </conditionalFormatting>
  <dataValidations count="4">
    <dataValidation sqref="B67:B79 K67:K79 T67:T79 AC67:AC79 AL67:AL79 AU67:AU79 BD67:BD79 BM67:BM79 BV67:BV79 CE67:CE79 CN67:CN79 CW67:CW79 DF67:DF79 DO67:DO79 DX67:DX79 EG67:EG79 EP67:EP79 EY67:EY79 FH67:FH79 FQ67:FQ79 FZ67:FZ79 GI67:GI79 GR67:GR79 HA67:HA79 HJ67:HJ79 HS67:HS79 IB67:IB79 IK67:IK79 IT67:IT79 JC67:JC79 JL67:JL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D67:D79 M67:M79 V67:V79 AE67:AE79 AN67:AN79 AW67:AW79 BF67:BF79 BO67:BO79 BX67:BX79 CG67:CG79 CP67:CP79 CY67:CY79 DH67:DH79 DQ67:DQ79 DZ67:DZ79 EI67:EI79 ER67:ER79 FA67:FA79 FJ67:FJ79 FS67:FS79 GB67:GB79 GK67:GK79 GT67:GT79 HC67:HC79 HL67:HL79 HU67:HU79 ID67:ID79 IM67:IM79 IV67:IV79 JE67:JE79 JN67:JN79" showDropDown="0" showInputMessage="0" showErrorMessage="1" allowBlank="1" errorTitle="Valor inválido" error="Informe um valor numérico (positivo ou negativo)." type="decimal" operator="between">
      <formula1>-999999999</formula1>
      <formula2>999999999</formula2>
    </dataValidation>
    <dataValidation sqref="E67:E79 F67:F79 G67:G79 H67:H79 N67:N79 O67:O79 P67:P79 Q67:Q79 W67:W79 X67:X79 Y67:Y79 Z67:Z79 AF67:AF79 AG67:AG79 AH67:AH79 AI67:AI79 AO67:AO79 AP67:AP79 AQ67:AQ79 AR67:AR79 AX67:AX79 AY67:AY79 AZ67:AZ79 BA67:BA79 BG67:BG79 BH67:BH79 BI67:BI79 BJ67:BJ79 BP67:BP79 BQ67:BQ79 BR67:BR79 BS67:BS79 BY67:BY79 BZ67:BZ79 CA67:CA79 CB67:CB79 CH67:CH79 CI67:CI79 CJ67:CJ79 CK67:CK79 CQ67:CQ79 CR67:CR79 CS67:CS79 CT67:CT79 CZ67:CZ79 DA67:DA79 DB67:DB79 DC67:DC79 DI67:DI79 DJ67:DJ79 DK67:DK79 DL67:DL79 DR67:DR79 DS67:DS79 DT67:DT79 DU67:DU79 EA67:EA79 EB67:EB79 EC67:EC79 ED67:ED79 EJ67:EJ79 EK67:EK79 EL67:EL79 EM67:EM79 ES67:ES79 ET67:ET79 EU67:EU79 EV67:EV79 FB67:FB79 FC67:FC79 FD67:FD79 FE67:FE79 FK67:FK79 FL67:FL79 FM67:FM79 FN67:FN79 FT67:FT79 FU67:FU79 FV67:FV79 FW67:FW79 GC67:GC79 GD67:GD79 GE67:GE79 GF67:GF79 GL67:GL79 GM67:GM79 GN67:GN79 GO67:GO79 GU67:GU79 GV67:GV79 GW67:GW79 GX67:GX79 HD67:HD79 HE67:HE79 HF67:HF79 HG67:HG79 HM67:HM79 HN67:HN79 HO67:HO79 HP67:HP79 HV67:HV79 HW67:HW79 HX67:HX79 HY67:HY79 IE67:IE79 IF67:IF79 IG67:IG79 IH67:IH79 IN67:IN79 IO67:IO79 IP67:IP79 IQ67:IQ79 IW67:IW79 IX67:IX79 IY67:IY79 IZ67:IZ79 JF67:JF79 JG67:JG79 JH67:JH79 JI67:JI79 JO67:JO79 JP67:JP79 JQ67:JQ79 JR67:JR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J67:J79 S67:S79 AB67:AB79 AK67:AK79 AT67:AT79 BC67:BC79 BL67:BL79 BU67:BU79 CD67:CD79 CM67:CM79 CV67:CV79 DE67:DE79 DN67:DN79 DW67:DW79 EF67:EF79 EO67:EO79 EX67:EX79 FG67:FG79 FP67:FP79 FY67:FY79 GH67:GH79 GQ67:GQ79 GZ67:GZ79 HI67:HI79 HR67:HR79 IA67:IA79 IJ67:IJ79 IS67:IS79 JB67:JB79 JK67:JK79 JT67:JT79" showDropDown="0" showInputMessage="0" showErrorMessage="1" allowBlank="1" errorTitle="Texto muito longo" error="Limite de 300 caracteres." type="textLength" operator="lessThanOrEqual">
      <formula1>300</formula1>
    </dataValidation>
  </dataValidations>
  <pageMargins left="0.75" right="0.75" top="1" bottom="1" header="0.5" footer="0.5"/>
  <pageSetup orientation="landscape" fitToHeight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I79"/>
  <sheetViews>
    <sheetView showGridLines="0" zoomScale="90" workbookViewId="0">
      <pane xSplit="1" ySplit="66" topLeftCell="B6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11" customWidth="1" min="5" max="5"/>
    <col width="12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4" customWidth="1" min="13" max="13"/>
    <col width="11" customWidth="1" min="14" max="14"/>
    <col width="12" customWidth="1" min="15" max="15"/>
    <col width="13" customWidth="1" min="16" max="16"/>
    <col width="13" customWidth="1" min="17" max="17"/>
    <col width="13" customWidth="1" min="18" max="18"/>
    <col width="20" customWidth="1" min="19" max="19"/>
    <col width="13" customWidth="1" min="20" max="20"/>
    <col width="13" customWidth="1" min="21" max="21"/>
    <col width="14" customWidth="1" min="22" max="22"/>
    <col width="11" customWidth="1" min="23" max="23"/>
    <col width="12" customWidth="1" min="24" max="24"/>
    <col width="13" customWidth="1" min="25" max="25"/>
    <col width="13" customWidth="1" min="26" max="26"/>
    <col width="13" customWidth="1" min="27" max="27"/>
    <col width="20" customWidth="1" min="28" max="28"/>
    <col width="13" customWidth="1" min="29" max="29"/>
    <col width="13" customWidth="1" min="30" max="30"/>
    <col width="14" customWidth="1" min="31" max="31"/>
    <col width="11" customWidth="1" min="32" max="32"/>
    <col width="12" customWidth="1" min="33" max="33"/>
    <col width="13" customWidth="1" min="34" max="34"/>
    <col width="13" customWidth="1" min="35" max="35"/>
    <col width="13" customWidth="1" min="36" max="36"/>
    <col width="20" customWidth="1" min="37" max="37"/>
    <col width="13" customWidth="1" min="38" max="38"/>
    <col width="13" customWidth="1" min="39" max="39"/>
    <col width="14" customWidth="1" min="40" max="40"/>
    <col width="11" customWidth="1" min="41" max="41"/>
    <col width="12" customWidth="1" min="42" max="42"/>
    <col width="13" customWidth="1" min="43" max="43"/>
    <col width="13" customWidth="1" min="44" max="44"/>
    <col width="13" customWidth="1" min="45" max="45"/>
    <col width="20" customWidth="1" min="46" max="46"/>
    <col width="13" customWidth="1" min="47" max="47"/>
    <col width="13" customWidth="1" min="48" max="48"/>
    <col width="14" customWidth="1" min="49" max="49"/>
    <col width="11" customWidth="1" min="50" max="50"/>
    <col width="12" customWidth="1" min="51" max="51"/>
    <col width="13" customWidth="1" min="52" max="52"/>
    <col width="13" customWidth="1" min="53" max="53"/>
    <col width="13" customWidth="1" min="54" max="54"/>
    <col width="20" customWidth="1" min="55" max="55"/>
    <col width="13" customWidth="1" min="56" max="56"/>
    <col width="13" customWidth="1" min="57" max="57"/>
    <col width="14" customWidth="1" min="58" max="58"/>
    <col width="11" customWidth="1" min="59" max="59"/>
    <col width="12" customWidth="1" min="60" max="60"/>
    <col width="13" customWidth="1" min="61" max="61"/>
    <col width="13" customWidth="1" min="62" max="62"/>
    <col width="13" customWidth="1" min="63" max="63"/>
    <col width="20" customWidth="1" min="64" max="64"/>
    <col width="13" customWidth="1" min="65" max="65"/>
    <col width="13" customWidth="1" min="66" max="66"/>
    <col width="14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20" customWidth="1" min="73" max="73"/>
    <col width="13" customWidth="1" min="74" max="74"/>
    <col width="13" customWidth="1" min="75" max="75"/>
    <col width="14" customWidth="1" min="76" max="76"/>
    <col width="11" customWidth="1" min="77" max="77"/>
    <col width="12" customWidth="1" min="78" max="78"/>
    <col width="13" customWidth="1" min="79" max="79"/>
    <col width="13" customWidth="1" min="80" max="80"/>
    <col width="13" customWidth="1" min="81" max="81"/>
    <col width="20" customWidth="1" min="82" max="82"/>
    <col width="13" customWidth="1" min="83" max="83"/>
    <col width="13" customWidth="1" min="84" max="84"/>
    <col width="14" customWidth="1" min="85" max="85"/>
    <col width="11" customWidth="1" min="86" max="86"/>
    <col width="12" customWidth="1" min="87" max="87"/>
    <col width="13" customWidth="1" min="88" max="88"/>
    <col width="13" customWidth="1" min="89" max="89"/>
    <col width="13" customWidth="1" min="90" max="90"/>
    <col width="20" customWidth="1" min="91" max="91"/>
    <col width="13" customWidth="1" min="92" max="92"/>
    <col width="13" customWidth="1" min="93" max="93"/>
    <col width="14" customWidth="1" min="94" max="94"/>
    <col width="11" customWidth="1" min="95" max="95"/>
    <col width="12" customWidth="1" min="96" max="96"/>
    <col width="13" customWidth="1" min="97" max="97"/>
    <col width="13" customWidth="1" min="98" max="98"/>
    <col width="13" customWidth="1" min="99" max="99"/>
    <col width="20" customWidth="1" min="100" max="100"/>
    <col width="13" customWidth="1" min="101" max="101"/>
    <col width="13" customWidth="1" min="102" max="102"/>
    <col width="14" customWidth="1" min="103" max="103"/>
    <col width="11" customWidth="1" min="104" max="104"/>
    <col width="12" customWidth="1" min="105" max="105"/>
    <col width="13" customWidth="1" min="106" max="106"/>
    <col width="13" customWidth="1" min="107" max="107"/>
    <col width="13" customWidth="1" min="108" max="108"/>
    <col width="20" customWidth="1" min="109" max="109"/>
    <col width="13" customWidth="1" min="110" max="110"/>
    <col width="13" customWidth="1" min="111" max="111"/>
    <col width="14" customWidth="1" min="112" max="112"/>
    <col width="11" customWidth="1" min="113" max="113"/>
    <col width="12" customWidth="1" min="114" max="114"/>
    <col width="13" customWidth="1" min="115" max="115"/>
    <col width="13" customWidth="1" min="116" max="116"/>
    <col width="13" customWidth="1" min="117" max="117"/>
    <col width="20" customWidth="1" min="118" max="118"/>
    <col width="13" customWidth="1" min="119" max="119"/>
    <col width="13" customWidth="1" min="120" max="120"/>
    <col width="14" customWidth="1" min="121" max="121"/>
    <col width="11" customWidth="1" min="122" max="122"/>
    <col width="12" customWidth="1" min="123" max="123"/>
    <col width="13" customWidth="1" min="124" max="124"/>
    <col width="13" customWidth="1" min="125" max="125"/>
    <col width="13" customWidth="1" min="126" max="126"/>
    <col width="20" customWidth="1" min="127" max="127"/>
    <col width="13" customWidth="1" min="128" max="128"/>
    <col width="13" customWidth="1" min="129" max="129"/>
    <col width="14" customWidth="1" min="130" max="130"/>
    <col width="11" customWidth="1" min="131" max="131"/>
    <col width="12" customWidth="1" min="132" max="132"/>
    <col width="13" customWidth="1" min="133" max="133"/>
    <col width="13" customWidth="1" min="134" max="134"/>
    <col width="13" customWidth="1" min="135" max="135"/>
    <col width="20" customWidth="1" min="136" max="136"/>
    <col width="13" customWidth="1" min="137" max="137"/>
    <col width="13" customWidth="1" min="138" max="138"/>
    <col width="14" customWidth="1" min="139" max="139"/>
    <col width="11" customWidth="1" min="140" max="140"/>
    <col width="12" customWidth="1" min="141" max="141"/>
    <col width="13" customWidth="1" min="142" max="142"/>
    <col width="13" customWidth="1" min="143" max="143"/>
    <col width="13" customWidth="1" min="144" max="144"/>
    <col width="20" customWidth="1" min="145" max="145"/>
    <col width="13" customWidth="1" min="146" max="146"/>
    <col width="13" customWidth="1" min="147" max="147"/>
    <col width="14" customWidth="1" min="148" max="148"/>
    <col width="11" customWidth="1" min="149" max="149"/>
    <col width="12" customWidth="1" min="150" max="150"/>
    <col width="13" customWidth="1" min="151" max="151"/>
    <col width="13" customWidth="1" min="152" max="152"/>
    <col width="13" customWidth="1" min="153" max="153"/>
    <col width="20" customWidth="1" min="154" max="154"/>
    <col width="13" customWidth="1" min="155" max="155"/>
    <col width="13" customWidth="1" min="156" max="156"/>
    <col width="14" customWidth="1" min="157" max="157"/>
    <col width="11" customWidth="1" min="158" max="158"/>
    <col width="12" customWidth="1" min="159" max="159"/>
    <col width="13" customWidth="1" min="160" max="160"/>
    <col width="13" customWidth="1" min="161" max="161"/>
    <col width="13" customWidth="1" min="162" max="162"/>
    <col width="20" customWidth="1" min="163" max="163"/>
    <col width="13" customWidth="1" min="164" max="164"/>
    <col width="13" customWidth="1" min="165" max="165"/>
    <col width="14" customWidth="1" min="166" max="166"/>
    <col width="11" customWidth="1" min="167" max="167"/>
    <col width="12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13" customWidth="1" min="173" max="173"/>
    <col width="13" customWidth="1" min="174" max="174"/>
    <col width="14" customWidth="1" min="175" max="175"/>
    <col width="11" customWidth="1" min="176" max="176"/>
    <col width="12" customWidth="1" min="177" max="177"/>
    <col width="13" customWidth="1" min="178" max="178"/>
    <col width="13" customWidth="1" min="179" max="179"/>
    <col width="13" customWidth="1" min="180" max="180"/>
    <col width="20" customWidth="1" min="181" max="181"/>
    <col width="13" customWidth="1" min="182" max="182"/>
    <col width="13" customWidth="1" min="183" max="183"/>
    <col width="14" customWidth="1" min="184" max="184"/>
    <col width="11" customWidth="1" min="185" max="185"/>
    <col width="12" customWidth="1" min="186" max="186"/>
    <col width="13" customWidth="1" min="187" max="187"/>
    <col width="13" customWidth="1" min="188" max="188"/>
    <col width="13" customWidth="1" min="189" max="189"/>
    <col width="20" customWidth="1" min="190" max="190"/>
    <col width="13" customWidth="1" min="191" max="191"/>
    <col width="13" customWidth="1" min="192" max="192"/>
    <col width="14" customWidth="1" min="193" max="193"/>
    <col width="11" customWidth="1" min="194" max="194"/>
    <col width="12" customWidth="1" min="195" max="195"/>
    <col width="13" customWidth="1" min="196" max="196"/>
    <col width="13" customWidth="1" min="197" max="197"/>
    <col width="13" customWidth="1" min="198" max="198"/>
    <col width="20" customWidth="1" min="199" max="199"/>
    <col width="13" customWidth="1" min="200" max="200"/>
    <col width="13" customWidth="1" min="201" max="201"/>
    <col width="14" customWidth="1" min="202" max="202"/>
    <col width="11" customWidth="1" min="203" max="203"/>
    <col width="12" customWidth="1" min="204" max="204"/>
    <col width="13" customWidth="1" min="205" max="205"/>
    <col width="13" customWidth="1" min="206" max="206"/>
    <col width="13" customWidth="1" min="207" max="207"/>
    <col width="20" customWidth="1" min="208" max="208"/>
    <col width="13" customWidth="1" min="209" max="209"/>
    <col width="13" customWidth="1" min="210" max="210"/>
    <col width="14" customWidth="1" min="211" max="211"/>
    <col width="11" customWidth="1" min="212" max="212"/>
    <col width="12" customWidth="1" min="213" max="213"/>
    <col width="13" customWidth="1" min="214" max="214"/>
    <col width="13" customWidth="1" min="215" max="215"/>
    <col width="13" customWidth="1" min="216" max="216"/>
    <col width="20" customWidth="1" min="217" max="217"/>
    <col width="13" customWidth="1" min="218" max="218"/>
    <col width="13" customWidth="1" min="219" max="219"/>
    <col width="14" customWidth="1" min="220" max="220"/>
    <col width="11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20" customWidth="1" min="226" max="226"/>
    <col width="13" customWidth="1" min="227" max="227"/>
    <col width="13" customWidth="1" min="228" max="228"/>
    <col width="14" customWidth="1" min="229" max="229"/>
    <col width="11" customWidth="1" min="230" max="230"/>
    <col width="12" customWidth="1" min="231" max="231"/>
    <col width="13" customWidth="1" min="232" max="232"/>
    <col width="13" customWidth="1" min="233" max="233"/>
    <col width="13" customWidth="1" min="234" max="234"/>
    <col width="20" customWidth="1" min="235" max="235"/>
    <col width="13" customWidth="1" min="236" max="236"/>
    <col width="13" customWidth="1" min="237" max="237"/>
    <col width="14" customWidth="1" min="238" max="238"/>
    <col width="11" customWidth="1" min="239" max="239"/>
    <col width="12" customWidth="1" min="240" max="240"/>
    <col width="13" customWidth="1" min="241" max="241"/>
    <col width="13" customWidth="1" min="242" max="242"/>
    <col width="13" customWidth="1" min="243" max="243"/>
    <col width="20" customWidth="1" min="244" max="244"/>
    <col width="13" customWidth="1" min="245" max="245"/>
    <col width="13" customWidth="1" min="246" max="246"/>
    <col width="14" customWidth="1" min="247" max="247"/>
    <col width="11" customWidth="1" min="248" max="248"/>
    <col width="12" customWidth="1" min="249" max="249"/>
    <col width="13" customWidth="1" min="250" max="250"/>
    <col width="13" customWidth="1" min="251" max="251"/>
    <col width="13" customWidth="1" min="252" max="252"/>
    <col width="20" customWidth="1" min="253" max="253"/>
    <col width="13" customWidth="1" min="254" max="254"/>
    <col width="13" customWidth="1" min="255" max="255"/>
    <col width="14" customWidth="1" min="256" max="256"/>
    <col width="11" customWidth="1" min="257" max="257"/>
    <col width="12" customWidth="1" min="258" max="258"/>
    <col width="13" customWidth="1" min="259" max="259"/>
    <col width="13" customWidth="1" min="260" max="260"/>
    <col width="13" customWidth="1" min="261" max="261"/>
    <col width="20" customWidth="1" min="262" max="262"/>
    <col width="13" customWidth="1" min="263" max="263"/>
    <col width="13" customWidth="1" min="264" max="264"/>
    <col width="14" customWidth="1" min="265" max="265"/>
    <col width="11" customWidth="1" min="266" max="266"/>
    <col width="12" customWidth="1" min="267" max="267"/>
    <col width="13" customWidth="1" min="268" max="268"/>
    <col width="13" customWidth="1" min="269" max="269"/>
    <col width="13" customWidth="1" min="270" max="270"/>
    <col width="20" customWidth="1" min="271" max="271"/>
    <col width="13" customWidth="1" min="272" max="272"/>
    <col width="13" customWidth="1" min="273" max="273"/>
    <col width="14" customWidth="1" min="274" max="274"/>
    <col width="11" customWidth="1" min="275" max="275"/>
    <col width="12" customWidth="1" min="276" max="276"/>
    <col width="13" customWidth="1" min="277" max="277"/>
    <col width="13" customWidth="1" min="278" max="278"/>
    <col width="13" customWidth="1" min="279" max="279"/>
    <col width="20" customWidth="1" min="280" max="280"/>
    <col width="16" customWidth="1" min="281" max="281"/>
    <col width="16" customWidth="1" min="282" max="282"/>
    <col width="16" customWidth="1" min="283" max="283"/>
    <col width="14" customWidth="1" min="284" max="284"/>
    <col width="14" customWidth="1" min="285" max="285"/>
    <col width="14" customWidth="1" min="286" max="286"/>
    <col hidden="1" width="10" customWidth="1" min="287" max="287"/>
    <col hidden="1" width="16" customWidth="1" min="289" max="289"/>
    <col hidden="1" width="16" customWidth="1" min="290" max="290"/>
    <col hidden="1" width="16" customWidth="1" min="291" max="291"/>
    <col hidden="1" width="16" customWidth="1" min="292" max="292"/>
    <col hidden="1" width="16" customWidth="1" min="294" max="294"/>
    <col hidden="1" width="16" customWidth="1" min="295" max="295"/>
  </cols>
  <sheetData>
    <row r="1" ht="32" customHeight="1">
      <c r="A1" s="11">
        <f>"ACOMPANHAMENTO DIÁRIO DE ASSESSORES — JULHO / "&amp;Configurações!$B$3</f>
        <v/>
      </c>
      <c r="KC1" t="inlineStr">
        <is>
          <t>Dia</t>
        </is>
      </c>
      <c r="KD1" t="inlineStr">
        <is>
          <t>Data</t>
        </is>
      </c>
      <c r="KE1" t="inlineStr">
        <is>
          <t>Produção do Dia</t>
        </is>
      </c>
      <c r="KF1" t="inlineStr">
        <is>
          <t>Captação do Dia</t>
        </is>
      </c>
    </row>
    <row r="2" ht="18" customHeight="1">
      <c r="A2" s="12">
        <f>"Dias no mês: "&amp;$Z$3&amp;"   |   Cada assessor ocupa 1 linha. Role para a direita para ver os dias. Apenas as células destacadas em amarelo são editáveis."</f>
        <v/>
      </c>
      <c r="KC2" s="13" t="n">
        <v>1</v>
      </c>
      <c r="KD2" s="14">
        <f>IF(1&lt;=$Z$3,DATE(Configurações!$B$3,7,1),"")</f>
        <v/>
      </c>
      <c r="KE2" s="13">
        <f>SUM($I$67:$I$79)</f>
        <v/>
      </c>
      <c r="KF2" s="13">
        <f>SUM($D$67:$D$79)</f>
        <v/>
      </c>
      <c r="KH2" t="inlineStr">
        <is>
          <t>COE</t>
        </is>
      </c>
      <c r="KI2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</row>
    <row r="3">
      <c r="Y3" s="15" t="inlineStr">
        <is>
          <t>Dias no mês</t>
        </is>
      </c>
      <c r="Z3" s="16">
        <f>DAY(EOMONTH(DATE(Configurações!$B$3,7,1),0))</f>
        <v/>
      </c>
      <c r="KC3" s="13" t="n">
        <v>2</v>
      </c>
      <c r="KD3" s="14">
        <f>IF(2&lt;=$Z$3,DATE(Configurações!$B$3,7,2),"")</f>
        <v/>
      </c>
      <c r="KE3" s="13">
        <f>SUM($R$67:$R$79)</f>
        <v/>
      </c>
      <c r="KF3" s="13">
        <f>SUM($M$67:$M$79)</f>
        <v/>
      </c>
      <c r="KH3" t="inlineStr">
        <is>
          <t>PREVIDÊNCIA</t>
        </is>
      </c>
      <c r="KI3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</row>
    <row r="4" ht="22" customHeight="1">
      <c r="A4" s="17" t="inlineStr">
        <is>
          <t>📊  INDICADORES DO MÊS</t>
        </is>
      </c>
      <c r="KC4" s="13" t="n">
        <v>3</v>
      </c>
      <c r="KD4" s="14">
        <f>IF(3&lt;=$Z$3,DATE(Configurações!$B$3,7,3),"")</f>
        <v/>
      </c>
      <c r="KE4" s="13">
        <f>SUM($AA$67:$AA$79)</f>
        <v/>
      </c>
      <c r="KF4" s="13">
        <f>SUM($V$67:$V$79)</f>
        <v/>
      </c>
      <c r="KH4" t="inlineStr">
        <is>
          <t>CRÉDITO PRIVADO</t>
        </is>
      </c>
      <c r="KI4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</row>
    <row r="5" ht="26" customHeight="1">
      <c r="A5" s="18" t="inlineStr">
        <is>
          <t>PRODUÇÃO TOTAL DO MÊS</t>
        </is>
      </c>
      <c r="C5" s="18" t="inlineStr">
        <is>
          <t>CAPTAÇÃO LÍQUIDA DO MÊS</t>
        </is>
      </c>
      <c r="E5" s="18" t="inlineStr">
        <is>
          <t>SALDO PULSO TOTAL (ATUAL)</t>
        </is>
      </c>
      <c r="G5" s="18" t="inlineStr">
        <is>
          <t>MÉDIA DIÁRIA DA EQUIPE</t>
        </is>
      </c>
      <c r="I5" s="18" t="inlineStr">
        <is>
          <t>MELHOR DIA DE PRODUÇÃO</t>
        </is>
      </c>
      <c r="K5" s="18" t="inlineStr">
        <is>
          <t>MELHOR ASSESSOR DO MÊS</t>
        </is>
      </c>
      <c r="KC5" s="13" t="n">
        <v>4</v>
      </c>
      <c r="KD5" s="14">
        <f>IF(4&lt;=$Z$3,DATE(Configurações!$B$3,7,4),"")</f>
        <v/>
      </c>
      <c r="KE5" s="13">
        <f>SUM($AJ$67:$AJ$79)</f>
        <v/>
      </c>
      <c r="KF5" s="13">
        <f>SUM($AE$67:$AE$79)</f>
        <v/>
      </c>
      <c r="KH5" t="inlineStr">
        <is>
          <t>TÍTULOS PÚBLICOS</t>
        </is>
      </c>
      <c r="KI5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</row>
    <row r="6" ht="30" customHeight="1">
      <c r="A6" s="19">
        <f>SUM($JU$67:$JU$79)</f>
        <v/>
      </c>
      <c r="C6" s="19">
        <f>SUM($JV$67:$JV$79)</f>
        <v/>
      </c>
      <c r="E6" s="19">
        <f>SUM($JW$67:$JW$79)</f>
        <v/>
      </c>
      <c r="G6" s="19">
        <f>IFERROR(SUM($JU$67:$JU$79)/$Z$3,0)</f>
        <v/>
      </c>
      <c r="I6" s="20">
        <f>IFERROR("Dia "&amp;TEXT(INDEX($KD$2:$KD$32,MATCH(MAX($KE$2:$KE$32),$KE$2:$KE$32,0)),"dd/mm")&amp;"  -  "&amp;TEXT(MAX($KE$2:$KE$32),"R$ #,##0"),"—")</f>
        <v/>
      </c>
      <c r="K6" s="20">
        <f>IFERROR($B$14&amp;"  -  "&amp;TEXT($C$14,"R$ #,##0"),"—")</f>
        <v/>
      </c>
      <c r="KC6" s="13" t="n">
        <v>5</v>
      </c>
      <c r="KD6" s="14">
        <f>IF(5&lt;=$Z$3,DATE(Configurações!$B$3,7,5),"")</f>
        <v/>
      </c>
      <c r="KE6" s="13">
        <f>SUM($AS$67:$AS$79)</f>
        <v/>
      </c>
      <c r="KF6" s="13">
        <f>SUM($AN$67:$AN$79)</f>
        <v/>
      </c>
    </row>
    <row r="7">
      <c r="KC7" s="13" t="n">
        <v>6</v>
      </c>
      <c r="KD7" s="14">
        <f>IF(6&lt;=$Z$3,DATE(Configurações!$B$3,7,6),"")</f>
        <v/>
      </c>
      <c r="KE7" s="13">
        <f>SUM($BB$67:$BB$79)</f>
        <v/>
      </c>
      <c r="KF7" s="13">
        <f>SUM($AW$67:$AW$79)</f>
        <v/>
      </c>
    </row>
    <row r="8" ht="22" customHeight="1">
      <c r="A8" s="17" t="inlineStr">
        <is>
          <t>💰  TOTAIS POR PRODUTO</t>
        </is>
      </c>
      <c r="KC8" s="13" t="n">
        <v>7</v>
      </c>
      <c r="KD8" s="14">
        <f>IF(7&lt;=$Z$3,DATE(Configurações!$B$3,7,7),"")</f>
        <v/>
      </c>
      <c r="KE8" s="13">
        <f>SUM($BK$67:$BK$79)</f>
        <v/>
      </c>
      <c r="KF8" s="13">
        <f>SUM($BF$67:$BF$79)</f>
        <v/>
      </c>
    </row>
    <row r="9" ht="20" customHeight="1">
      <c r="A9" s="18" t="inlineStr">
        <is>
          <t>COE</t>
        </is>
      </c>
      <c r="D9" s="18" t="inlineStr">
        <is>
          <t>PREVIDÊNCIA</t>
        </is>
      </c>
      <c r="G9" s="18" t="inlineStr">
        <is>
          <t>CRÉDITO PRIVADO</t>
        </is>
      </c>
      <c r="J9" s="18" t="inlineStr">
        <is>
          <t>TÍTULOS PÚBLICOS</t>
        </is>
      </c>
      <c r="KC9" s="13" t="n">
        <v>8</v>
      </c>
      <c r="KD9" s="14">
        <f>IF(8&lt;=$Z$3,DATE(Configurações!$B$3,7,8),"")</f>
        <v/>
      </c>
      <c r="KE9" s="13">
        <f>SUM($BT$67:$BT$79)</f>
        <v/>
      </c>
      <c r="KF9" s="13">
        <f>SUM($BO$67:$BO$79)</f>
        <v/>
      </c>
    </row>
    <row r="10" ht="26" customHeight="1">
      <c r="A10" s="19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  <c r="D10" s="19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  <c r="G10" s="19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  <c r="J10" s="19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  <c r="KC10" s="13" t="n">
        <v>9</v>
      </c>
      <c r="KD10" s="14">
        <f>IF(9&lt;=$Z$3,DATE(Configurações!$B$3,7,9),"")</f>
        <v/>
      </c>
      <c r="KE10" s="13">
        <f>SUM($CC$67:$CC$79)</f>
        <v/>
      </c>
      <c r="KF10" s="13">
        <f>SUM($BX$67:$BX$79)</f>
        <v/>
      </c>
    </row>
    <row r="11">
      <c r="KC11" s="13" t="n">
        <v>10</v>
      </c>
      <c r="KD11" s="14">
        <f>IF(10&lt;=$Z$3,DATE(Configurações!$B$3,7,10),"")</f>
        <v/>
      </c>
      <c r="KE11" s="13">
        <f>SUM($CL$67:$CL$79)</f>
        <v/>
      </c>
      <c r="KF11" s="13">
        <f>SUM($CG$67:$CG$79)</f>
        <v/>
      </c>
    </row>
    <row r="12" ht="22" customHeight="1">
      <c r="A12" s="17" t="inlineStr">
        <is>
          <t>🏆  RANKING DE ASSESSORES (TOP 5 EM DESTAQUE)</t>
        </is>
      </c>
      <c r="KC12" s="13" t="n">
        <v>11</v>
      </c>
      <c r="KD12" s="14">
        <f>IF(11&lt;=$Z$3,DATE(Configurações!$B$3,7,11),"")</f>
        <v/>
      </c>
      <c r="KE12" s="13">
        <f>SUM($CU$67:$CU$79)</f>
        <v/>
      </c>
      <c r="KF12" s="13">
        <f>SUM($CP$67:$CP$79)</f>
        <v/>
      </c>
    </row>
    <row r="13" ht="22" customHeight="1">
      <c r="A13" s="5" t="inlineStr">
        <is>
          <t>Pos.</t>
        </is>
      </c>
      <c r="B13" s="5" t="inlineStr">
        <is>
          <t>Assessor</t>
        </is>
      </c>
      <c r="C13" s="5" t="inlineStr">
        <is>
          <t>Produção Total</t>
        </is>
      </c>
      <c r="D13" s="5" t="inlineStr">
        <is>
          <t>Captação Líquida</t>
        </is>
      </c>
      <c r="E13" s="5" t="inlineStr">
        <is>
          <t>Saldo Pulso Atual</t>
        </is>
      </c>
      <c r="F13" s="5" t="inlineStr">
        <is>
          <t>Média Diária</t>
        </is>
      </c>
      <c r="G13" s="5" t="inlineStr">
        <is>
          <t>Meta Mensal</t>
        </is>
      </c>
      <c r="H13" s="5" t="inlineStr">
        <is>
          <t>Status</t>
        </is>
      </c>
      <c r="KC13" s="13" t="n">
        <v>12</v>
      </c>
      <c r="KD13" s="14">
        <f>IF(12&lt;=$Z$3,DATE(Configurações!$B$3,7,12),"")</f>
        <v/>
      </c>
      <c r="KE13" s="13">
        <f>SUM($DD$67:$DD$79)</f>
        <v/>
      </c>
      <c r="KF13" s="13">
        <f>SUM($CY$67:$CY$79)</f>
        <v/>
      </c>
    </row>
    <row r="14" ht="18" customHeight="1">
      <c r="A14" s="21" t="n">
        <v>1</v>
      </c>
      <c r="B14" s="22">
        <f>INDEX($A$67:$A$79,MATCH(LARGE($KA$67:$KA$79,1),$KA$67:$KA$79,0))</f>
        <v/>
      </c>
      <c r="C14" s="23">
        <f>INDEX($JU$67:$JU$79,MATCH(LARGE($KA$67:$KA$79,1),$KA$67:$KA$79,0))</f>
        <v/>
      </c>
      <c r="D14" s="24">
        <f>INDEX($JV$67:$JV$79,MATCH(LARGE($KA$67:$KA$79,1),$KA$67:$KA$79,0))</f>
        <v/>
      </c>
      <c r="E14" s="23">
        <f>INDEX($JW$67:$JW$79,MATCH(LARGE($KA$67:$KA$79,1),$KA$67:$KA$79,0))</f>
        <v/>
      </c>
      <c r="F14" s="23">
        <f>INDEX($JX$67:$JX$79,MATCH(LARGE($KA$67:$KA$79,1),$KA$67:$KA$79,0))</f>
        <v/>
      </c>
      <c r="G14" s="23">
        <f>INDEX($JY$67:$JY$79,MATCH(LARGE($KA$67:$KA$79,1),$KA$67:$KA$79,0))</f>
        <v/>
      </c>
      <c r="H14" s="25">
        <f>IF(G14=0,"— Sem meta",IF(C14&gt;=G14,"✓ Meta atingida","Em andamento"))</f>
        <v/>
      </c>
      <c r="KC14" s="13" t="n">
        <v>13</v>
      </c>
      <c r="KD14" s="14">
        <f>IF(13&lt;=$Z$3,DATE(Configurações!$B$3,7,13),"")</f>
        <v/>
      </c>
      <c r="KE14" s="13">
        <f>SUM($DM$67:$DM$79)</f>
        <v/>
      </c>
      <c r="KF14" s="13">
        <f>SUM($DH$67:$DH$79)</f>
        <v/>
      </c>
    </row>
    <row r="15" ht="18" customHeight="1">
      <c r="A15" s="26" t="n">
        <v>2</v>
      </c>
      <c r="B15" s="27">
        <f>INDEX($A$67:$A$79,MATCH(LARGE($KA$67:$KA$79,2),$KA$67:$KA$79,0))</f>
        <v/>
      </c>
      <c r="C15" s="28">
        <f>INDEX($JU$67:$JU$79,MATCH(LARGE($KA$67:$KA$79,2),$KA$67:$KA$79,0))</f>
        <v/>
      </c>
      <c r="D15" s="29">
        <f>INDEX($JV$67:$JV$79,MATCH(LARGE($KA$67:$KA$79,2),$KA$67:$KA$79,0))</f>
        <v/>
      </c>
      <c r="E15" s="28">
        <f>INDEX($JW$67:$JW$79,MATCH(LARGE($KA$67:$KA$79,2),$KA$67:$KA$79,0))</f>
        <v/>
      </c>
      <c r="F15" s="28">
        <f>INDEX($JX$67:$JX$79,MATCH(LARGE($KA$67:$KA$79,2),$KA$67:$KA$79,0))</f>
        <v/>
      </c>
      <c r="G15" s="28">
        <f>INDEX($JY$67:$JY$79,MATCH(LARGE($KA$67:$KA$79,2),$KA$67:$KA$79,0))</f>
        <v/>
      </c>
      <c r="H15" s="30">
        <f>IF(G15=0,"— Sem meta",IF(C15&gt;=G15,"✓ Meta atingida","Em andamento"))</f>
        <v/>
      </c>
      <c r="KC15" s="13" t="n">
        <v>14</v>
      </c>
      <c r="KD15" s="14">
        <f>IF(14&lt;=$Z$3,DATE(Configurações!$B$3,7,14),"")</f>
        <v/>
      </c>
      <c r="KE15" s="13">
        <f>SUM($DV$67:$DV$79)</f>
        <v/>
      </c>
      <c r="KF15" s="13">
        <f>SUM($DQ$67:$DQ$79)</f>
        <v/>
      </c>
    </row>
    <row r="16" ht="18" customHeight="1">
      <c r="A16" s="31" t="n">
        <v>3</v>
      </c>
      <c r="B16" s="32">
        <f>INDEX($A$67:$A$79,MATCH(LARGE($KA$67:$KA$79,3),$KA$67:$KA$79,0))</f>
        <v/>
      </c>
      <c r="C16" s="33">
        <f>INDEX($JU$67:$JU$79,MATCH(LARGE($KA$67:$KA$79,3),$KA$67:$KA$79,0))</f>
        <v/>
      </c>
      <c r="D16" s="34">
        <f>INDEX($JV$67:$JV$79,MATCH(LARGE($KA$67:$KA$79,3),$KA$67:$KA$79,0))</f>
        <v/>
      </c>
      <c r="E16" s="33">
        <f>INDEX($JW$67:$JW$79,MATCH(LARGE($KA$67:$KA$79,3),$KA$67:$KA$79,0))</f>
        <v/>
      </c>
      <c r="F16" s="33">
        <f>INDEX($JX$67:$JX$79,MATCH(LARGE($KA$67:$KA$79,3),$KA$67:$KA$79,0))</f>
        <v/>
      </c>
      <c r="G16" s="33">
        <f>INDEX($JY$67:$JY$79,MATCH(LARGE($KA$67:$KA$79,3),$KA$67:$KA$79,0))</f>
        <v/>
      </c>
      <c r="H16" s="35">
        <f>IF(G16=0,"— Sem meta",IF(C16&gt;=G16,"✓ Meta atingida","Em andamento"))</f>
        <v/>
      </c>
      <c r="KC16" s="13" t="n">
        <v>15</v>
      </c>
      <c r="KD16" s="14">
        <f>IF(15&lt;=$Z$3,DATE(Configurações!$B$3,7,15),"")</f>
        <v/>
      </c>
      <c r="KE16" s="13">
        <f>SUM($EE$67:$EE$79)</f>
        <v/>
      </c>
      <c r="KF16" s="13">
        <f>SUM($DZ$67:$DZ$79)</f>
        <v/>
      </c>
    </row>
    <row r="17" ht="18" customHeight="1">
      <c r="A17" s="36" t="n">
        <v>4</v>
      </c>
      <c r="B17" s="37">
        <f>INDEX($A$67:$A$79,MATCH(LARGE($KA$67:$KA$79,4),$KA$67:$KA$79,0))</f>
        <v/>
      </c>
      <c r="C17" s="38">
        <f>INDEX($JU$67:$JU$79,MATCH(LARGE($KA$67:$KA$79,4),$KA$67:$KA$79,0))</f>
        <v/>
      </c>
      <c r="D17" s="39">
        <f>INDEX($JV$67:$JV$79,MATCH(LARGE($KA$67:$KA$79,4),$KA$67:$KA$79,0))</f>
        <v/>
      </c>
      <c r="E17" s="38">
        <f>INDEX($JW$67:$JW$79,MATCH(LARGE($KA$67:$KA$79,4),$KA$67:$KA$79,0))</f>
        <v/>
      </c>
      <c r="F17" s="38">
        <f>INDEX($JX$67:$JX$79,MATCH(LARGE($KA$67:$KA$79,4),$KA$67:$KA$79,0))</f>
        <v/>
      </c>
      <c r="G17" s="38">
        <f>INDEX($JY$67:$JY$79,MATCH(LARGE($KA$67:$KA$79,4),$KA$67:$KA$79,0))</f>
        <v/>
      </c>
      <c r="H17" s="40">
        <f>IF(G17=0,"— Sem meta",IF(C17&gt;=G17,"✓ Meta atingida","Em andamento"))</f>
        <v/>
      </c>
      <c r="KC17" s="13" t="n">
        <v>16</v>
      </c>
      <c r="KD17" s="14">
        <f>IF(16&lt;=$Z$3,DATE(Configurações!$B$3,7,16),"")</f>
        <v/>
      </c>
      <c r="KE17" s="13">
        <f>SUM($EN$67:$EN$79)</f>
        <v/>
      </c>
      <c r="KF17" s="13">
        <f>SUM($EI$67:$EI$79)</f>
        <v/>
      </c>
    </row>
    <row r="18" ht="18" customHeight="1">
      <c r="A18" s="36" t="n">
        <v>5</v>
      </c>
      <c r="B18" s="37">
        <f>INDEX($A$67:$A$79,MATCH(LARGE($KA$67:$KA$79,5),$KA$67:$KA$79,0))</f>
        <v/>
      </c>
      <c r="C18" s="38">
        <f>INDEX($JU$67:$JU$79,MATCH(LARGE($KA$67:$KA$79,5),$KA$67:$KA$79,0))</f>
        <v/>
      </c>
      <c r="D18" s="39">
        <f>INDEX($JV$67:$JV$79,MATCH(LARGE($KA$67:$KA$79,5),$KA$67:$KA$79,0))</f>
        <v/>
      </c>
      <c r="E18" s="38">
        <f>INDEX($JW$67:$JW$79,MATCH(LARGE($KA$67:$KA$79,5),$KA$67:$KA$79,0))</f>
        <v/>
      </c>
      <c r="F18" s="38">
        <f>INDEX($JX$67:$JX$79,MATCH(LARGE($KA$67:$KA$79,5),$KA$67:$KA$79,0))</f>
        <v/>
      </c>
      <c r="G18" s="38">
        <f>INDEX($JY$67:$JY$79,MATCH(LARGE($KA$67:$KA$79,5),$KA$67:$KA$79,0))</f>
        <v/>
      </c>
      <c r="H18" s="40">
        <f>IF(G18=0,"— Sem meta",IF(C18&gt;=G18,"✓ Meta atingida","Em andamento"))</f>
        <v/>
      </c>
      <c r="KC18" s="13" t="n">
        <v>17</v>
      </c>
      <c r="KD18" s="14">
        <f>IF(17&lt;=$Z$3,DATE(Configurações!$B$3,7,17),"")</f>
        <v/>
      </c>
      <c r="KE18" s="13">
        <f>SUM($EW$67:$EW$79)</f>
        <v/>
      </c>
      <c r="KF18" s="13">
        <f>SUM($ER$67:$ER$79)</f>
        <v/>
      </c>
    </row>
    <row r="19" ht="18" customHeight="1">
      <c r="A19" s="41" t="n">
        <v>6</v>
      </c>
      <c r="B19" s="42">
        <f>INDEX($A$67:$A$79,MATCH(LARGE($KA$67:$KA$79,6),$KA$67:$KA$79,0))</f>
        <v/>
      </c>
      <c r="C19" s="43">
        <f>INDEX($JU$67:$JU$79,MATCH(LARGE($KA$67:$KA$79,6),$KA$67:$KA$79,0))</f>
        <v/>
      </c>
      <c r="D19" s="44">
        <f>INDEX($JV$67:$JV$79,MATCH(LARGE($KA$67:$KA$79,6),$KA$67:$KA$79,0))</f>
        <v/>
      </c>
      <c r="E19" s="43">
        <f>INDEX($JW$67:$JW$79,MATCH(LARGE($KA$67:$KA$79,6),$KA$67:$KA$79,0))</f>
        <v/>
      </c>
      <c r="F19" s="43">
        <f>INDEX($JX$67:$JX$79,MATCH(LARGE($KA$67:$KA$79,6),$KA$67:$KA$79,0))</f>
        <v/>
      </c>
      <c r="G19" s="43">
        <f>INDEX($JY$67:$JY$79,MATCH(LARGE($KA$67:$KA$79,6),$KA$67:$KA$79,0))</f>
        <v/>
      </c>
      <c r="H19" s="45">
        <f>IF(G19=0,"— Sem meta",IF(C19&gt;=G19,"✓ Meta atingida","Em andamento"))</f>
        <v/>
      </c>
      <c r="KC19" s="13" t="n">
        <v>18</v>
      </c>
      <c r="KD19" s="14">
        <f>IF(18&lt;=$Z$3,DATE(Configurações!$B$3,7,18),"")</f>
        <v/>
      </c>
      <c r="KE19" s="13">
        <f>SUM($FF$67:$FF$79)</f>
        <v/>
      </c>
      <c r="KF19" s="13">
        <f>SUM($FA$67:$FA$79)</f>
        <v/>
      </c>
    </row>
    <row r="20" ht="18" customHeight="1">
      <c r="A20" s="46" t="n">
        <v>7</v>
      </c>
      <c r="B20" s="47">
        <f>INDEX($A$67:$A$79,MATCH(LARGE($KA$67:$KA$79,7),$KA$67:$KA$79,0))</f>
        <v/>
      </c>
      <c r="C20" s="48">
        <f>INDEX($JU$67:$JU$79,MATCH(LARGE($KA$67:$KA$79,7),$KA$67:$KA$79,0))</f>
        <v/>
      </c>
      <c r="D20" s="49">
        <f>INDEX($JV$67:$JV$79,MATCH(LARGE($KA$67:$KA$79,7),$KA$67:$KA$79,0))</f>
        <v/>
      </c>
      <c r="E20" s="48">
        <f>INDEX($JW$67:$JW$79,MATCH(LARGE($KA$67:$KA$79,7),$KA$67:$KA$79,0))</f>
        <v/>
      </c>
      <c r="F20" s="48">
        <f>INDEX($JX$67:$JX$79,MATCH(LARGE($KA$67:$KA$79,7),$KA$67:$KA$79,0))</f>
        <v/>
      </c>
      <c r="G20" s="48">
        <f>INDEX($JY$67:$JY$79,MATCH(LARGE($KA$67:$KA$79,7),$KA$67:$KA$79,0))</f>
        <v/>
      </c>
      <c r="H20" s="50">
        <f>IF(G20=0,"— Sem meta",IF(C20&gt;=G20,"✓ Meta atingida","Em andamento"))</f>
        <v/>
      </c>
      <c r="KC20" s="13" t="n">
        <v>19</v>
      </c>
      <c r="KD20" s="14">
        <f>IF(19&lt;=$Z$3,DATE(Configurações!$B$3,7,19),"")</f>
        <v/>
      </c>
      <c r="KE20" s="13">
        <f>SUM($FO$67:$FO$79)</f>
        <v/>
      </c>
      <c r="KF20" s="13">
        <f>SUM($FJ$67:$FJ$79)</f>
        <v/>
      </c>
    </row>
    <row r="21" ht="18" customHeight="1">
      <c r="A21" s="41" t="n">
        <v>8</v>
      </c>
      <c r="B21" s="42">
        <f>INDEX($A$67:$A$79,MATCH(LARGE($KA$67:$KA$79,8),$KA$67:$KA$79,0))</f>
        <v/>
      </c>
      <c r="C21" s="43">
        <f>INDEX($JU$67:$JU$79,MATCH(LARGE($KA$67:$KA$79,8),$KA$67:$KA$79,0))</f>
        <v/>
      </c>
      <c r="D21" s="44">
        <f>INDEX($JV$67:$JV$79,MATCH(LARGE($KA$67:$KA$79,8),$KA$67:$KA$79,0))</f>
        <v/>
      </c>
      <c r="E21" s="43">
        <f>INDEX($JW$67:$JW$79,MATCH(LARGE($KA$67:$KA$79,8),$KA$67:$KA$79,0))</f>
        <v/>
      </c>
      <c r="F21" s="43">
        <f>INDEX($JX$67:$JX$79,MATCH(LARGE($KA$67:$KA$79,8),$KA$67:$KA$79,0))</f>
        <v/>
      </c>
      <c r="G21" s="43">
        <f>INDEX($JY$67:$JY$79,MATCH(LARGE($KA$67:$KA$79,8),$KA$67:$KA$79,0))</f>
        <v/>
      </c>
      <c r="H21" s="45">
        <f>IF(G21=0,"— Sem meta",IF(C21&gt;=G21,"✓ Meta atingida","Em andamento"))</f>
        <v/>
      </c>
      <c r="KC21" s="13" t="n">
        <v>20</v>
      </c>
      <c r="KD21" s="14">
        <f>IF(20&lt;=$Z$3,DATE(Configurações!$B$3,7,20),"")</f>
        <v/>
      </c>
      <c r="KE21" s="13">
        <f>SUM($FX$67:$FX$79)</f>
        <v/>
      </c>
      <c r="KF21" s="13">
        <f>SUM($FS$67:$FS$79)</f>
        <v/>
      </c>
    </row>
    <row r="22" ht="18" customHeight="1">
      <c r="A22" s="46" t="n">
        <v>9</v>
      </c>
      <c r="B22" s="47">
        <f>INDEX($A$67:$A$79,MATCH(LARGE($KA$67:$KA$79,9),$KA$67:$KA$79,0))</f>
        <v/>
      </c>
      <c r="C22" s="48">
        <f>INDEX($JU$67:$JU$79,MATCH(LARGE($KA$67:$KA$79,9),$KA$67:$KA$79,0))</f>
        <v/>
      </c>
      <c r="D22" s="49">
        <f>INDEX($JV$67:$JV$79,MATCH(LARGE($KA$67:$KA$79,9),$KA$67:$KA$79,0))</f>
        <v/>
      </c>
      <c r="E22" s="48">
        <f>INDEX($JW$67:$JW$79,MATCH(LARGE($KA$67:$KA$79,9),$KA$67:$KA$79,0))</f>
        <v/>
      </c>
      <c r="F22" s="48">
        <f>INDEX($JX$67:$JX$79,MATCH(LARGE($KA$67:$KA$79,9),$KA$67:$KA$79,0))</f>
        <v/>
      </c>
      <c r="G22" s="48">
        <f>INDEX($JY$67:$JY$79,MATCH(LARGE($KA$67:$KA$79,9),$KA$67:$KA$79,0))</f>
        <v/>
      </c>
      <c r="H22" s="50">
        <f>IF(G22=0,"— Sem meta",IF(C22&gt;=G22,"✓ Meta atingida","Em andamento"))</f>
        <v/>
      </c>
      <c r="KC22" s="13" t="n">
        <v>21</v>
      </c>
      <c r="KD22" s="14">
        <f>IF(21&lt;=$Z$3,DATE(Configurações!$B$3,7,21),"")</f>
        <v/>
      </c>
      <c r="KE22" s="13">
        <f>SUM($GG$67:$GG$79)</f>
        <v/>
      </c>
      <c r="KF22" s="13">
        <f>SUM($GB$67:$GB$79)</f>
        <v/>
      </c>
    </row>
    <row r="23" ht="18" customHeight="1">
      <c r="A23" s="41" t="n">
        <v>10</v>
      </c>
      <c r="B23" s="42">
        <f>INDEX($A$67:$A$79,MATCH(LARGE($KA$67:$KA$79,10),$KA$67:$KA$79,0))</f>
        <v/>
      </c>
      <c r="C23" s="43">
        <f>INDEX($JU$67:$JU$79,MATCH(LARGE($KA$67:$KA$79,10),$KA$67:$KA$79,0))</f>
        <v/>
      </c>
      <c r="D23" s="44">
        <f>INDEX($JV$67:$JV$79,MATCH(LARGE($KA$67:$KA$79,10),$KA$67:$KA$79,0))</f>
        <v/>
      </c>
      <c r="E23" s="43">
        <f>INDEX($JW$67:$JW$79,MATCH(LARGE($KA$67:$KA$79,10),$KA$67:$KA$79,0))</f>
        <v/>
      </c>
      <c r="F23" s="43">
        <f>INDEX($JX$67:$JX$79,MATCH(LARGE($KA$67:$KA$79,10),$KA$67:$KA$79,0))</f>
        <v/>
      </c>
      <c r="G23" s="43">
        <f>INDEX($JY$67:$JY$79,MATCH(LARGE($KA$67:$KA$79,10),$KA$67:$KA$79,0))</f>
        <v/>
      </c>
      <c r="H23" s="45">
        <f>IF(G23=0,"— Sem meta",IF(C23&gt;=G23,"✓ Meta atingida","Em andamento"))</f>
        <v/>
      </c>
      <c r="KC23" s="13" t="n">
        <v>22</v>
      </c>
      <c r="KD23" s="14">
        <f>IF(22&lt;=$Z$3,DATE(Configurações!$B$3,7,22),"")</f>
        <v/>
      </c>
      <c r="KE23" s="13">
        <f>SUM($GP$67:$GP$79)</f>
        <v/>
      </c>
      <c r="KF23" s="13">
        <f>SUM($GK$67:$GK$79)</f>
        <v/>
      </c>
    </row>
    <row r="24" ht="18" customHeight="1">
      <c r="A24" s="46" t="n">
        <v>11</v>
      </c>
      <c r="B24" s="47">
        <f>INDEX($A$67:$A$79,MATCH(LARGE($KA$67:$KA$79,11),$KA$67:$KA$79,0))</f>
        <v/>
      </c>
      <c r="C24" s="48">
        <f>INDEX($JU$67:$JU$79,MATCH(LARGE($KA$67:$KA$79,11),$KA$67:$KA$79,0))</f>
        <v/>
      </c>
      <c r="D24" s="49">
        <f>INDEX($JV$67:$JV$79,MATCH(LARGE($KA$67:$KA$79,11),$KA$67:$KA$79,0))</f>
        <v/>
      </c>
      <c r="E24" s="48">
        <f>INDEX($JW$67:$JW$79,MATCH(LARGE($KA$67:$KA$79,11),$KA$67:$KA$79,0))</f>
        <v/>
      </c>
      <c r="F24" s="48">
        <f>INDEX($JX$67:$JX$79,MATCH(LARGE($KA$67:$KA$79,11),$KA$67:$KA$79,0))</f>
        <v/>
      </c>
      <c r="G24" s="48">
        <f>INDEX($JY$67:$JY$79,MATCH(LARGE($KA$67:$KA$79,11),$KA$67:$KA$79,0))</f>
        <v/>
      </c>
      <c r="H24" s="50">
        <f>IF(G24=0,"— Sem meta",IF(C24&gt;=G24,"✓ Meta atingida","Em andamento"))</f>
        <v/>
      </c>
      <c r="KC24" s="13" t="n">
        <v>23</v>
      </c>
      <c r="KD24" s="14">
        <f>IF(23&lt;=$Z$3,DATE(Configurações!$B$3,7,23),"")</f>
        <v/>
      </c>
      <c r="KE24" s="13">
        <f>SUM($GY$67:$GY$79)</f>
        <v/>
      </c>
      <c r="KF24" s="13">
        <f>SUM($GT$67:$GT$79)</f>
        <v/>
      </c>
    </row>
    <row r="25" ht="18" customHeight="1">
      <c r="A25" s="41" t="n">
        <v>12</v>
      </c>
      <c r="B25" s="42">
        <f>INDEX($A$67:$A$79,MATCH(LARGE($KA$67:$KA$79,12),$KA$67:$KA$79,0))</f>
        <v/>
      </c>
      <c r="C25" s="43">
        <f>INDEX($JU$67:$JU$79,MATCH(LARGE($KA$67:$KA$79,12),$KA$67:$KA$79,0))</f>
        <v/>
      </c>
      <c r="D25" s="44">
        <f>INDEX($JV$67:$JV$79,MATCH(LARGE($KA$67:$KA$79,12),$KA$67:$KA$79,0))</f>
        <v/>
      </c>
      <c r="E25" s="43">
        <f>INDEX($JW$67:$JW$79,MATCH(LARGE($KA$67:$KA$79,12),$KA$67:$KA$79,0))</f>
        <v/>
      </c>
      <c r="F25" s="43">
        <f>INDEX($JX$67:$JX$79,MATCH(LARGE($KA$67:$KA$79,12),$KA$67:$KA$79,0))</f>
        <v/>
      </c>
      <c r="G25" s="43">
        <f>INDEX($JY$67:$JY$79,MATCH(LARGE($KA$67:$KA$79,12),$KA$67:$KA$79,0))</f>
        <v/>
      </c>
      <c r="H25" s="45">
        <f>IF(G25=0,"— Sem meta",IF(C25&gt;=G25,"✓ Meta atingida","Em andamento"))</f>
        <v/>
      </c>
      <c r="KC25" s="13" t="n">
        <v>24</v>
      </c>
      <c r="KD25" s="14">
        <f>IF(24&lt;=$Z$3,DATE(Configurações!$B$3,7,24),"")</f>
        <v/>
      </c>
      <c r="KE25" s="13">
        <f>SUM($HH$67:$HH$79)</f>
        <v/>
      </c>
      <c r="KF25" s="13">
        <f>SUM($HC$67:$HC$79)</f>
        <v/>
      </c>
    </row>
    <row r="26" ht="18" customHeight="1">
      <c r="A26" s="46" t="n">
        <v>13</v>
      </c>
      <c r="B26" s="47">
        <f>INDEX($A$67:$A$79,MATCH(LARGE($KA$67:$KA$79,13),$KA$67:$KA$79,0))</f>
        <v/>
      </c>
      <c r="C26" s="48">
        <f>INDEX($JU$67:$JU$79,MATCH(LARGE($KA$67:$KA$79,13),$KA$67:$KA$79,0))</f>
        <v/>
      </c>
      <c r="D26" s="49">
        <f>INDEX($JV$67:$JV$79,MATCH(LARGE($KA$67:$KA$79,13),$KA$67:$KA$79,0))</f>
        <v/>
      </c>
      <c r="E26" s="48">
        <f>INDEX($JW$67:$JW$79,MATCH(LARGE($KA$67:$KA$79,13),$KA$67:$KA$79,0))</f>
        <v/>
      </c>
      <c r="F26" s="48">
        <f>INDEX($JX$67:$JX$79,MATCH(LARGE($KA$67:$KA$79,13),$KA$67:$KA$79,0))</f>
        <v/>
      </c>
      <c r="G26" s="48">
        <f>INDEX($JY$67:$JY$79,MATCH(LARGE($KA$67:$KA$79,13),$KA$67:$KA$79,0))</f>
        <v/>
      </c>
      <c r="H26" s="50">
        <f>IF(G26=0,"— Sem meta",IF(C26&gt;=G26,"✓ Meta atingida","Em andamento"))</f>
        <v/>
      </c>
      <c r="KC26" s="13" t="n">
        <v>25</v>
      </c>
      <c r="KD26" s="14">
        <f>IF(25&lt;=$Z$3,DATE(Configurações!$B$3,7,25),"")</f>
        <v/>
      </c>
      <c r="KE26" s="13">
        <f>SUM($HQ$67:$HQ$79)</f>
        <v/>
      </c>
      <c r="KF26" s="13">
        <f>SUM($HL$67:$HL$79)</f>
        <v/>
      </c>
    </row>
    <row r="27">
      <c r="KC27" s="13" t="n">
        <v>26</v>
      </c>
      <c r="KD27" s="14">
        <f>IF(26&lt;=$Z$3,DATE(Configurações!$B$3,7,26),"")</f>
        <v/>
      </c>
      <c r="KE27" s="13">
        <f>SUM($HZ$67:$HZ$79)</f>
        <v/>
      </c>
      <c r="KF27" s="13">
        <f>SUM($HU$67:$HU$79)</f>
        <v/>
      </c>
    </row>
    <row r="28">
      <c r="KC28" s="13" t="n">
        <v>27</v>
      </c>
      <c r="KD28" s="14">
        <f>IF(27&lt;=$Z$3,DATE(Configurações!$B$3,7,27),"")</f>
        <v/>
      </c>
      <c r="KE28" s="13">
        <f>SUM($II$67:$II$79)</f>
        <v/>
      </c>
      <c r="KF28" s="13">
        <f>SUM($ID$67:$ID$79)</f>
        <v/>
      </c>
    </row>
    <row r="29">
      <c r="KC29" s="13" t="n">
        <v>28</v>
      </c>
      <c r="KD29" s="14">
        <f>IF(28&lt;=$Z$3,DATE(Configurações!$B$3,7,28),"")</f>
        <v/>
      </c>
      <c r="KE29" s="13">
        <f>SUM($IR$67:$IR$79)</f>
        <v/>
      </c>
      <c r="KF29" s="13">
        <f>SUM($IM$67:$IM$79)</f>
        <v/>
      </c>
    </row>
    <row r="30">
      <c r="KC30" s="13" t="n">
        <v>29</v>
      </c>
      <c r="KD30" s="14">
        <f>IF(29&lt;=$Z$3,DATE(Configurações!$B$3,7,29),"")</f>
        <v/>
      </c>
      <c r="KE30" s="13">
        <f>SUM($JA$67:$JA$79)</f>
        <v/>
      </c>
      <c r="KF30" s="13">
        <f>SUM($IV$67:$IV$79)</f>
        <v/>
      </c>
    </row>
    <row r="31">
      <c r="KC31" s="13" t="n">
        <v>30</v>
      </c>
      <c r="KD31" s="14">
        <f>IF(30&lt;=$Z$3,DATE(Configurações!$B$3,7,30),"")</f>
        <v/>
      </c>
      <c r="KE31" s="13">
        <f>SUM($JJ$67:$JJ$79)</f>
        <v/>
      </c>
      <c r="KF31" s="13">
        <f>SUM($JE$67:$JE$79)</f>
        <v/>
      </c>
    </row>
    <row r="32">
      <c r="KC32" s="13" t="n">
        <v>31</v>
      </c>
      <c r="KD32" s="14">
        <f>IF(31&lt;=$Z$3,DATE(Configurações!$B$3,7,31),"")</f>
        <v/>
      </c>
      <c r="KE32" s="13">
        <f>SUM($JS$67:$JS$79)</f>
        <v/>
      </c>
      <c r="KF32" s="13">
        <f>SUM($JN$67:$JN$79)</f>
        <v/>
      </c>
    </row>
    <row r="64" ht="22" customHeight="1">
      <c r="A64" s="51" t="inlineStr">
        <is>
          <t>📋  LANÇAMENTOS DIÁRIOS POR ASSESSOR (role para a direita)</t>
        </is>
      </c>
    </row>
    <row r="65" ht="20" customHeight="1">
      <c r="A65" s="52" t="inlineStr">
        <is>
          <t>Assessor</t>
        </is>
      </c>
      <c r="B65" s="18">
        <f>"Dia 1 — "&amp;IF(1&lt;=$Z$3,TEXT(DATE(Configurações!$B$3,7,1),"dd/mm")&amp;" ("&amp;CHOOSE(WEEKDAY(DATE(Configurações!$B$3,7,1)),"Dom","Seg","Ter","Qua","Qui","Sex","Sáb")&amp;")","—")</f>
        <v/>
      </c>
      <c r="K65" s="18">
        <f>"Dia 2 — "&amp;IF(2&lt;=$Z$3,TEXT(DATE(Configurações!$B$3,7,2),"dd/mm")&amp;" ("&amp;CHOOSE(WEEKDAY(DATE(Configurações!$B$3,7,2)),"Dom","Seg","Ter","Qua","Qui","Sex","Sáb")&amp;")","—")</f>
        <v/>
      </c>
      <c r="T65" s="18">
        <f>"Dia 3 — "&amp;IF(3&lt;=$Z$3,TEXT(DATE(Configurações!$B$3,7,3),"dd/mm")&amp;" ("&amp;CHOOSE(WEEKDAY(DATE(Configurações!$B$3,7,3)),"Dom","Seg","Ter","Qua","Qui","Sex","Sáb")&amp;")","—")</f>
        <v/>
      </c>
      <c r="AC65" s="18">
        <f>"Dia 4 — "&amp;IF(4&lt;=$Z$3,TEXT(DATE(Configurações!$B$3,7,4),"dd/mm")&amp;" ("&amp;CHOOSE(WEEKDAY(DATE(Configurações!$B$3,7,4)),"Dom","Seg","Ter","Qua","Qui","Sex","Sáb")&amp;")","—")</f>
        <v/>
      </c>
      <c r="AL65" s="18">
        <f>"Dia 5 — "&amp;IF(5&lt;=$Z$3,TEXT(DATE(Configurações!$B$3,7,5),"dd/mm")&amp;" ("&amp;CHOOSE(WEEKDAY(DATE(Configurações!$B$3,7,5)),"Dom","Seg","Ter","Qua","Qui","Sex","Sáb")&amp;")","—")</f>
        <v/>
      </c>
      <c r="AU65" s="18">
        <f>"Dia 6 — "&amp;IF(6&lt;=$Z$3,TEXT(DATE(Configurações!$B$3,7,6),"dd/mm")&amp;" ("&amp;CHOOSE(WEEKDAY(DATE(Configurações!$B$3,7,6)),"Dom","Seg","Ter","Qua","Qui","Sex","Sáb")&amp;")","—")</f>
        <v/>
      </c>
      <c r="BD65" s="18">
        <f>"Dia 7 — "&amp;IF(7&lt;=$Z$3,TEXT(DATE(Configurações!$B$3,7,7),"dd/mm")&amp;" ("&amp;CHOOSE(WEEKDAY(DATE(Configurações!$B$3,7,7)),"Dom","Seg","Ter","Qua","Qui","Sex","Sáb")&amp;")","—")</f>
        <v/>
      </c>
      <c r="BM65" s="18">
        <f>"Dia 8 — "&amp;IF(8&lt;=$Z$3,TEXT(DATE(Configurações!$B$3,7,8),"dd/mm")&amp;" ("&amp;CHOOSE(WEEKDAY(DATE(Configurações!$B$3,7,8)),"Dom","Seg","Ter","Qua","Qui","Sex","Sáb")&amp;")","—")</f>
        <v/>
      </c>
      <c r="BV65" s="18">
        <f>"Dia 9 — "&amp;IF(9&lt;=$Z$3,TEXT(DATE(Configurações!$B$3,7,9),"dd/mm")&amp;" ("&amp;CHOOSE(WEEKDAY(DATE(Configurações!$B$3,7,9)),"Dom","Seg","Ter","Qua","Qui","Sex","Sáb")&amp;")","—")</f>
        <v/>
      </c>
      <c r="CE65" s="18">
        <f>"Dia 10 — "&amp;IF(10&lt;=$Z$3,TEXT(DATE(Configurações!$B$3,7,10),"dd/mm")&amp;" ("&amp;CHOOSE(WEEKDAY(DATE(Configurações!$B$3,7,10)),"Dom","Seg","Ter","Qua","Qui","Sex","Sáb")&amp;")","—")</f>
        <v/>
      </c>
      <c r="CN65" s="18">
        <f>"Dia 11 — "&amp;IF(11&lt;=$Z$3,TEXT(DATE(Configurações!$B$3,7,11),"dd/mm")&amp;" ("&amp;CHOOSE(WEEKDAY(DATE(Configurações!$B$3,7,11)),"Dom","Seg","Ter","Qua","Qui","Sex","Sáb")&amp;")","—")</f>
        <v/>
      </c>
      <c r="CW65" s="18">
        <f>"Dia 12 — "&amp;IF(12&lt;=$Z$3,TEXT(DATE(Configurações!$B$3,7,12),"dd/mm")&amp;" ("&amp;CHOOSE(WEEKDAY(DATE(Configurações!$B$3,7,12)),"Dom","Seg","Ter","Qua","Qui","Sex","Sáb")&amp;")","—")</f>
        <v/>
      </c>
      <c r="DF65" s="18">
        <f>"Dia 13 — "&amp;IF(13&lt;=$Z$3,TEXT(DATE(Configurações!$B$3,7,13),"dd/mm")&amp;" ("&amp;CHOOSE(WEEKDAY(DATE(Configurações!$B$3,7,13)),"Dom","Seg","Ter","Qua","Qui","Sex","Sáb")&amp;")","—")</f>
        <v/>
      </c>
      <c r="DO65" s="18">
        <f>"Dia 14 — "&amp;IF(14&lt;=$Z$3,TEXT(DATE(Configurações!$B$3,7,14),"dd/mm")&amp;" ("&amp;CHOOSE(WEEKDAY(DATE(Configurações!$B$3,7,14)),"Dom","Seg","Ter","Qua","Qui","Sex","Sáb")&amp;")","—")</f>
        <v/>
      </c>
      <c r="DX65" s="18">
        <f>"Dia 15 — "&amp;IF(15&lt;=$Z$3,TEXT(DATE(Configurações!$B$3,7,15),"dd/mm")&amp;" ("&amp;CHOOSE(WEEKDAY(DATE(Configurações!$B$3,7,15)),"Dom","Seg","Ter","Qua","Qui","Sex","Sáb")&amp;")","—")</f>
        <v/>
      </c>
      <c r="EG65" s="18">
        <f>"Dia 16 — "&amp;IF(16&lt;=$Z$3,TEXT(DATE(Configurações!$B$3,7,16),"dd/mm")&amp;" ("&amp;CHOOSE(WEEKDAY(DATE(Configurações!$B$3,7,16)),"Dom","Seg","Ter","Qua","Qui","Sex","Sáb")&amp;")","—")</f>
        <v/>
      </c>
      <c r="EP65" s="18">
        <f>"Dia 17 — "&amp;IF(17&lt;=$Z$3,TEXT(DATE(Configurações!$B$3,7,17),"dd/mm")&amp;" ("&amp;CHOOSE(WEEKDAY(DATE(Configurações!$B$3,7,17)),"Dom","Seg","Ter","Qua","Qui","Sex","Sáb")&amp;")","—")</f>
        <v/>
      </c>
      <c r="EY65" s="18">
        <f>"Dia 18 — "&amp;IF(18&lt;=$Z$3,TEXT(DATE(Configurações!$B$3,7,18),"dd/mm")&amp;" ("&amp;CHOOSE(WEEKDAY(DATE(Configurações!$B$3,7,18)),"Dom","Seg","Ter","Qua","Qui","Sex","Sáb")&amp;")","—")</f>
        <v/>
      </c>
      <c r="FH65" s="18">
        <f>"Dia 19 — "&amp;IF(19&lt;=$Z$3,TEXT(DATE(Configurações!$B$3,7,19),"dd/mm")&amp;" ("&amp;CHOOSE(WEEKDAY(DATE(Configurações!$B$3,7,19)),"Dom","Seg","Ter","Qua","Qui","Sex","Sáb")&amp;")","—")</f>
        <v/>
      </c>
      <c r="FQ65" s="18">
        <f>"Dia 20 — "&amp;IF(20&lt;=$Z$3,TEXT(DATE(Configurações!$B$3,7,20),"dd/mm")&amp;" ("&amp;CHOOSE(WEEKDAY(DATE(Configurações!$B$3,7,20)),"Dom","Seg","Ter","Qua","Qui","Sex","Sáb")&amp;")","—")</f>
        <v/>
      </c>
      <c r="FZ65" s="18">
        <f>"Dia 21 — "&amp;IF(21&lt;=$Z$3,TEXT(DATE(Configurações!$B$3,7,21),"dd/mm")&amp;" ("&amp;CHOOSE(WEEKDAY(DATE(Configurações!$B$3,7,21)),"Dom","Seg","Ter","Qua","Qui","Sex","Sáb")&amp;")","—")</f>
        <v/>
      </c>
      <c r="GI65" s="18">
        <f>"Dia 22 — "&amp;IF(22&lt;=$Z$3,TEXT(DATE(Configurações!$B$3,7,22),"dd/mm")&amp;" ("&amp;CHOOSE(WEEKDAY(DATE(Configurações!$B$3,7,22)),"Dom","Seg","Ter","Qua","Qui","Sex","Sáb")&amp;")","—")</f>
        <v/>
      </c>
      <c r="GR65" s="18">
        <f>"Dia 23 — "&amp;IF(23&lt;=$Z$3,TEXT(DATE(Configurações!$B$3,7,23),"dd/mm")&amp;" ("&amp;CHOOSE(WEEKDAY(DATE(Configurações!$B$3,7,23)),"Dom","Seg","Ter","Qua","Qui","Sex","Sáb")&amp;")","—")</f>
        <v/>
      </c>
      <c r="HA65" s="18">
        <f>"Dia 24 — "&amp;IF(24&lt;=$Z$3,TEXT(DATE(Configurações!$B$3,7,24),"dd/mm")&amp;" ("&amp;CHOOSE(WEEKDAY(DATE(Configurações!$B$3,7,24)),"Dom","Seg","Ter","Qua","Qui","Sex","Sáb")&amp;")","—")</f>
        <v/>
      </c>
      <c r="HJ65" s="18">
        <f>"Dia 25 — "&amp;IF(25&lt;=$Z$3,TEXT(DATE(Configurações!$B$3,7,25),"dd/mm")&amp;" ("&amp;CHOOSE(WEEKDAY(DATE(Configurações!$B$3,7,25)),"Dom","Seg","Ter","Qua","Qui","Sex","Sáb")&amp;")","—")</f>
        <v/>
      </c>
      <c r="HS65" s="18">
        <f>"Dia 26 — "&amp;IF(26&lt;=$Z$3,TEXT(DATE(Configurações!$B$3,7,26),"dd/mm")&amp;" ("&amp;CHOOSE(WEEKDAY(DATE(Configurações!$B$3,7,26)),"Dom","Seg","Ter","Qua","Qui","Sex","Sáb")&amp;")","—")</f>
        <v/>
      </c>
      <c r="IB65" s="18">
        <f>"Dia 27 — "&amp;IF(27&lt;=$Z$3,TEXT(DATE(Configurações!$B$3,7,27),"dd/mm")&amp;" ("&amp;CHOOSE(WEEKDAY(DATE(Configurações!$B$3,7,27)),"Dom","Seg","Ter","Qua","Qui","Sex","Sáb")&amp;")","—")</f>
        <v/>
      </c>
      <c r="IK65" s="18">
        <f>"Dia 28 — "&amp;IF(28&lt;=$Z$3,TEXT(DATE(Configurações!$B$3,7,28),"dd/mm")&amp;" ("&amp;CHOOSE(WEEKDAY(DATE(Configurações!$B$3,7,28)),"Dom","Seg","Ter","Qua","Qui","Sex","Sáb")&amp;")","—")</f>
        <v/>
      </c>
      <c r="IT65" s="18">
        <f>"Dia 29 — "&amp;IF(29&lt;=$Z$3,TEXT(DATE(Configurações!$B$3,7,29),"dd/mm")&amp;" ("&amp;CHOOSE(WEEKDAY(DATE(Configurações!$B$3,7,29)),"Dom","Seg","Ter","Qua","Qui","Sex","Sáb")&amp;")","—")</f>
        <v/>
      </c>
      <c r="JC65" s="18">
        <f>"Dia 30 — "&amp;IF(30&lt;=$Z$3,TEXT(DATE(Configurações!$B$3,7,30),"dd/mm")&amp;" ("&amp;CHOOSE(WEEKDAY(DATE(Configurações!$B$3,7,30)),"Dom","Seg","Ter","Qua","Qui","Sex","Sáb")&amp;")","—")</f>
        <v/>
      </c>
      <c r="JL65" s="18">
        <f>"Dia 31 — "&amp;IF(31&lt;=$Z$3,TEXT(DATE(Configurações!$B$3,7,31),"dd/mm")&amp;" ("&amp;CHOOSE(WEEKDAY(DATE(Configurações!$B$3,7,31)),"Dom","Seg","Ter","Qua","Qui","Sex","Sáb")&amp;")","—")</f>
        <v/>
      </c>
      <c r="JU65" s="53" t="inlineStr">
        <is>
          <t>Produção Total (Mês)</t>
        </is>
      </c>
      <c r="JV65" s="53" t="inlineStr">
        <is>
          <t>Captação Líquida (Mês)</t>
        </is>
      </c>
      <c r="JW65" s="53" t="inlineStr">
        <is>
          <t>Saldo Pulso Atual</t>
        </is>
      </c>
      <c r="JX65" s="53" t="inlineStr">
        <is>
          <t>Média Diária</t>
        </is>
      </c>
      <c r="JY65" s="53" t="inlineStr">
        <is>
          <t>Meta Mensal</t>
        </is>
      </c>
      <c r="JZ65" s="53" t="inlineStr">
        <is>
          <t>Status Meta</t>
        </is>
      </c>
      <c r="KA65" s="53" t="inlineStr"/>
    </row>
    <row r="66" ht="26" customHeight="1">
      <c r="B66" s="54" t="inlineStr">
        <is>
          <t>Saldo Pulso</t>
        </is>
      </c>
      <c r="C66" s="54" t="inlineStr">
        <is>
          <t>Saldo Anterior</t>
        </is>
      </c>
      <c r="D66" s="54" t="inlineStr">
        <is>
          <t>Captação Líq.</t>
        </is>
      </c>
      <c r="E66" s="54" t="inlineStr">
        <is>
          <t>COE</t>
        </is>
      </c>
      <c r="F66" s="54" t="inlineStr">
        <is>
          <t>Previdência</t>
        </is>
      </c>
      <c r="G66" s="54" t="inlineStr">
        <is>
          <t>Créd. Privado</t>
        </is>
      </c>
      <c r="H66" s="54" t="inlineStr">
        <is>
          <t>Tít. Públicos</t>
        </is>
      </c>
      <c r="I66" s="54" t="inlineStr">
        <is>
          <t>Produção Tot.</t>
        </is>
      </c>
      <c r="J66" s="54" t="inlineStr">
        <is>
          <t>Obs.</t>
        </is>
      </c>
      <c r="K66" s="54" t="inlineStr">
        <is>
          <t>Saldo Pulso</t>
        </is>
      </c>
      <c r="L66" s="54" t="inlineStr">
        <is>
          <t>Saldo Anterior</t>
        </is>
      </c>
      <c r="M66" s="54" t="inlineStr">
        <is>
          <t>Captação Líq.</t>
        </is>
      </c>
      <c r="N66" s="54" t="inlineStr">
        <is>
          <t>COE</t>
        </is>
      </c>
      <c r="O66" s="54" t="inlineStr">
        <is>
          <t>Previdência</t>
        </is>
      </c>
      <c r="P66" s="54" t="inlineStr">
        <is>
          <t>Créd. Privado</t>
        </is>
      </c>
      <c r="Q66" s="54" t="inlineStr">
        <is>
          <t>Tít. Públicos</t>
        </is>
      </c>
      <c r="R66" s="54" t="inlineStr">
        <is>
          <t>Produção Tot.</t>
        </is>
      </c>
      <c r="S66" s="54" t="inlineStr">
        <is>
          <t>Obs.</t>
        </is>
      </c>
      <c r="T66" s="54" t="inlineStr">
        <is>
          <t>Saldo Pulso</t>
        </is>
      </c>
      <c r="U66" s="54" t="inlineStr">
        <is>
          <t>Saldo Anterior</t>
        </is>
      </c>
      <c r="V66" s="54" t="inlineStr">
        <is>
          <t>Captação Líq.</t>
        </is>
      </c>
      <c r="W66" s="54" t="inlineStr">
        <is>
          <t>COE</t>
        </is>
      </c>
      <c r="X66" s="54" t="inlineStr">
        <is>
          <t>Previdência</t>
        </is>
      </c>
      <c r="Y66" s="54" t="inlineStr">
        <is>
          <t>Créd. Privado</t>
        </is>
      </c>
      <c r="Z66" s="54" t="inlineStr">
        <is>
          <t>Tít. Públicos</t>
        </is>
      </c>
      <c r="AA66" s="54" t="inlineStr">
        <is>
          <t>Produção Tot.</t>
        </is>
      </c>
      <c r="AB66" s="54" t="inlineStr">
        <is>
          <t>Obs.</t>
        </is>
      </c>
      <c r="AC66" s="54" t="inlineStr">
        <is>
          <t>Saldo Pulso</t>
        </is>
      </c>
      <c r="AD66" s="54" t="inlineStr">
        <is>
          <t>Saldo Anterior</t>
        </is>
      </c>
      <c r="AE66" s="54" t="inlineStr">
        <is>
          <t>Captação Líq.</t>
        </is>
      </c>
      <c r="AF66" s="54" t="inlineStr">
        <is>
          <t>COE</t>
        </is>
      </c>
      <c r="AG66" s="54" t="inlineStr">
        <is>
          <t>Previdência</t>
        </is>
      </c>
      <c r="AH66" s="54" t="inlineStr">
        <is>
          <t>Créd. Privado</t>
        </is>
      </c>
      <c r="AI66" s="54" t="inlineStr">
        <is>
          <t>Tít. Públicos</t>
        </is>
      </c>
      <c r="AJ66" s="54" t="inlineStr">
        <is>
          <t>Produção Tot.</t>
        </is>
      </c>
      <c r="AK66" s="54" t="inlineStr">
        <is>
          <t>Obs.</t>
        </is>
      </c>
      <c r="AL66" s="54" t="inlineStr">
        <is>
          <t>Saldo Pulso</t>
        </is>
      </c>
      <c r="AM66" s="54" t="inlineStr">
        <is>
          <t>Saldo Anterior</t>
        </is>
      </c>
      <c r="AN66" s="54" t="inlineStr">
        <is>
          <t>Captação Líq.</t>
        </is>
      </c>
      <c r="AO66" s="54" t="inlineStr">
        <is>
          <t>COE</t>
        </is>
      </c>
      <c r="AP66" s="54" t="inlineStr">
        <is>
          <t>Previdência</t>
        </is>
      </c>
      <c r="AQ66" s="54" t="inlineStr">
        <is>
          <t>Créd. Privado</t>
        </is>
      </c>
      <c r="AR66" s="54" t="inlineStr">
        <is>
          <t>Tít. Públicos</t>
        </is>
      </c>
      <c r="AS66" s="54" t="inlineStr">
        <is>
          <t>Produção Tot.</t>
        </is>
      </c>
      <c r="AT66" s="54" t="inlineStr">
        <is>
          <t>Obs.</t>
        </is>
      </c>
      <c r="AU66" s="54" t="inlineStr">
        <is>
          <t>Saldo Pulso</t>
        </is>
      </c>
      <c r="AV66" s="54" t="inlineStr">
        <is>
          <t>Saldo Anterior</t>
        </is>
      </c>
      <c r="AW66" s="54" t="inlineStr">
        <is>
          <t>Captação Líq.</t>
        </is>
      </c>
      <c r="AX66" s="54" t="inlineStr">
        <is>
          <t>COE</t>
        </is>
      </c>
      <c r="AY66" s="54" t="inlineStr">
        <is>
          <t>Previdência</t>
        </is>
      </c>
      <c r="AZ66" s="54" t="inlineStr">
        <is>
          <t>Créd. Privado</t>
        </is>
      </c>
      <c r="BA66" s="54" t="inlineStr">
        <is>
          <t>Tít. Públicos</t>
        </is>
      </c>
      <c r="BB66" s="54" t="inlineStr">
        <is>
          <t>Produção Tot.</t>
        </is>
      </c>
      <c r="BC66" s="54" t="inlineStr">
        <is>
          <t>Obs.</t>
        </is>
      </c>
      <c r="BD66" s="54" t="inlineStr">
        <is>
          <t>Saldo Pulso</t>
        </is>
      </c>
      <c r="BE66" s="54" t="inlineStr">
        <is>
          <t>Saldo Anterior</t>
        </is>
      </c>
      <c r="BF66" s="54" t="inlineStr">
        <is>
          <t>Captação Líq.</t>
        </is>
      </c>
      <c r="BG66" s="54" t="inlineStr">
        <is>
          <t>COE</t>
        </is>
      </c>
      <c r="BH66" s="54" t="inlineStr">
        <is>
          <t>Previdência</t>
        </is>
      </c>
      <c r="BI66" s="54" t="inlineStr">
        <is>
          <t>Créd. Privado</t>
        </is>
      </c>
      <c r="BJ66" s="54" t="inlineStr">
        <is>
          <t>Tít. Públicos</t>
        </is>
      </c>
      <c r="BK66" s="54" t="inlineStr">
        <is>
          <t>Produção Tot.</t>
        </is>
      </c>
      <c r="BL66" s="54" t="inlineStr">
        <is>
          <t>Obs.</t>
        </is>
      </c>
      <c r="BM66" s="54" t="inlineStr">
        <is>
          <t>Saldo Pulso</t>
        </is>
      </c>
      <c r="BN66" s="54" t="inlineStr">
        <is>
          <t>Saldo Anterior</t>
        </is>
      </c>
      <c r="BO66" s="54" t="inlineStr">
        <is>
          <t>Captação Líq.</t>
        </is>
      </c>
      <c r="BP66" s="54" t="inlineStr">
        <is>
          <t>COE</t>
        </is>
      </c>
      <c r="BQ66" s="54" t="inlineStr">
        <is>
          <t>Previdência</t>
        </is>
      </c>
      <c r="BR66" s="54" t="inlineStr">
        <is>
          <t>Créd. Privado</t>
        </is>
      </c>
      <c r="BS66" s="54" t="inlineStr">
        <is>
          <t>Tít. Públicos</t>
        </is>
      </c>
      <c r="BT66" s="54" t="inlineStr">
        <is>
          <t>Produção Tot.</t>
        </is>
      </c>
      <c r="BU66" s="54" t="inlineStr">
        <is>
          <t>Obs.</t>
        </is>
      </c>
      <c r="BV66" s="54" t="inlineStr">
        <is>
          <t>Saldo Pulso</t>
        </is>
      </c>
      <c r="BW66" s="54" t="inlineStr">
        <is>
          <t>Saldo Anterior</t>
        </is>
      </c>
      <c r="BX66" s="54" t="inlineStr">
        <is>
          <t>Captação Líq.</t>
        </is>
      </c>
      <c r="BY66" s="54" t="inlineStr">
        <is>
          <t>COE</t>
        </is>
      </c>
      <c r="BZ66" s="54" t="inlineStr">
        <is>
          <t>Previdência</t>
        </is>
      </c>
      <c r="CA66" s="54" t="inlineStr">
        <is>
          <t>Créd. Privado</t>
        </is>
      </c>
      <c r="CB66" s="54" t="inlineStr">
        <is>
          <t>Tít. Públicos</t>
        </is>
      </c>
      <c r="CC66" s="54" t="inlineStr">
        <is>
          <t>Produção Tot.</t>
        </is>
      </c>
      <c r="CD66" s="54" t="inlineStr">
        <is>
          <t>Obs.</t>
        </is>
      </c>
      <c r="CE66" s="54" t="inlineStr">
        <is>
          <t>Saldo Pulso</t>
        </is>
      </c>
      <c r="CF66" s="54" t="inlineStr">
        <is>
          <t>Saldo Anterior</t>
        </is>
      </c>
      <c r="CG66" s="54" t="inlineStr">
        <is>
          <t>Captação Líq.</t>
        </is>
      </c>
      <c r="CH66" s="54" t="inlineStr">
        <is>
          <t>COE</t>
        </is>
      </c>
      <c r="CI66" s="54" t="inlineStr">
        <is>
          <t>Previdência</t>
        </is>
      </c>
      <c r="CJ66" s="54" t="inlineStr">
        <is>
          <t>Créd. Privado</t>
        </is>
      </c>
      <c r="CK66" s="54" t="inlineStr">
        <is>
          <t>Tít. Públicos</t>
        </is>
      </c>
      <c r="CL66" s="54" t="inlineStr">
        <is>
          <t>Produção Tot.</t>
        </is>
      </c>
      <c r="CM66" s="54" t="inlineStr">
        <is>
          <t>Obs.</t>
        </is>
      </c>
      <c r="CN66" s="54" t="inlineStr">
        <is>
          <t>Saldo Pulso</t>
        </is>
      </c>
      <c r="CO66" s="54" t="inlineStr">
        <is>
          <t>Saldo Anterior</t>
        </is>
      </c>
      <c r="CP66" s="54" t="inlineStr">
        <is>
          <t>Captação Líq.</t>
        </is>
      </c>
      <c r="CQ66" s="54" t="inlineStr">
        <is>
          <t>COE</t>
        </is>
      </c>
      <c r="CR66" s="54" t="inlineStr">
        <is>
          <t>Previdência</t>
        </is>
      </c>
      <c r="CS66" s="54" t="inlineStr">
        <is>
          <t>Créd. Privado</t>
        </is>
      </c>
      <c r="CT66" s="54" t="inlineStr">
        <is>
          <t>Tít. Públicos</t>
        </is>
      </c>
      <c r="CU66" s="54" t="inlineStr">
        <is>
          <t>Produção Tot.</t>
        </is>
      </c>
      <c r="CV66" s="54" t="inlineStr">
        <is>
          <t>Obs.</t>
        </is>
      </c>
      <c r="CW66" s="54" t="inlineStr">
        <is>
          <t>Saldo Pulso</t>
        </is>
      </c>
      <c r="CX66" s="54" t="inlineStr">
        <is>
          <t>Saldo Anterior</t>
        </is>
      </c>
      <c r="CY66" s="54" t="inlineStr">
        <is>
          <t>Captação Líq.</t>
        </is>
      </c>
      <c r="CZ66" s="54" t="inlineStr">
        <is>
          <t>COE</t>
        </is>
      </c>
      <c r="DA66" s="54" t="inlineStr">
        <is>
          <t>Previdência</t>
        </is>
      </c>
      <c r="DB66" s="54" t="inlineStr">
        <is>
          <t>Créd. Privado</t>
        </is>
      </c>
      <c r="DC66" s="54" t="inlineStr">
        <is>
          <t>Tít. Públicos</t>
        </is>
      </c>
      <c r="DD66" s="54" t="inlineStr">
        <is>
          <t>Produção Tot.</t>
        </is>
      </c>
      <c r="DE66" s="54" t="inlineStr">
        <is>
          <t>Obs.</t>
        </is>
      </c>
      <c r="DF66" s="54" t="inlineStr">
        <is>
          <t>Saldo Pulso</t>
        </is>
      </c>
      <c r="DG66" s="54" t="inlineStr">
        <is>
          <t>Saldo Anterior</t>
        </is>
      </c>
      <c r="DH66" s="54" t="inlineStr">
        <is>
          <t>Captação Líq.</t>
        </is>
      </c>
      <c r="DI66" s="54" t="inlineStr">
        <is>
          <t>COE</t>
        </is>
      </c>
      <c r="DJ66" s="54" t="inlineStr">
        <is>
          <t>Previdência</t>
        </is>
      </c>
      <c r="DK66" s="54" t="inlineStr">
        <is>
          <t>Créd. Privado</t>
        </is>
      </c>
      <c r="DL66" s="54" t="inlineStr">
        <is>
          <t>Tít. Públicos</t>
        </is>
      </c>
      <c r="DM66" s="54" t="inlineStr">
        <is>
          <t>Produção Tot.</t>
        </is>
      </c>
      <c r="DN66" s="54" t="inlineStr">
        <is>
          <t>Obs.</t>
        </is>
      </c>
      <c r="DO66" s="54" t="inlineStr">
        <is>
          <t>Saldo Pulso</t>
        </is>
      </c>
      <c r="DP66" s="54" t="inlineStr">
        <is>
          <t>Saldo Anterior</t>
        </is>
      </c>
      <c r="DQ66" s="54" t="inlineStr">
        <is>
          <t>Captação Líq.</t>
        </is>
      </c>
      <c r="DR66" s="54" t="inlineStr">
        <is>
          <t>COE</t>
        </is>
      </c>
      <c r="DS66" s="54" t="inlineStr">
        <is>
          <t>Previdência</t>
        </is>
      </c>
      <c r="DT66" s="54" t="inlineStr">
        <is>
          <t>Créd. Privado</t>
        </is>
      </c>
      <c r="DU66" s="54" t="inlineStr">
        <is>
          <t>Tít. Públicos</t>
        </is>
      </c>
      <c r="DV66" s="54" t="inlineStr">
        <is>
          <t>Produção Tot.</t>
        </is>
      </c>
      <c r="DW66" s="54" t="inlineStr">
        <is>
          <t>Obs.</t>
        </is>
      </c>
      <c r="DX66" s="54" t="inlineStr">
        <is>
          <t>Saldo Pulso</t>
        </is>
      </c>
      <c r="DY66" s="54" t="inlineStr">
        <is>
          <t>Saldo Anterior</t>
        </is>
      </c>
      <c r="DZ66" s="54" t="inlineStr">
        <is>
          <t>Captação Líq.</t>
        </is>
      </c>
      <c r="EA66" s="54" t="inlineStr">
        <is>
          <t>COE</t>
        </is>
      </c>
      <c r="EB66" s="54" t="inlineStr">
        <is>
          <t>Previdência</t>
        </is>
      </c>
      <c r="EC66" s="54" t="inlineStr">
        <is>
          <t>Créd. Privado</t>
        </is>
      </c>
      <c r="ED66" s="54" t="inlineStr">
        <is>
          <t>Tít. Públicos</t>
        </is>
      </c>
      <c r="EE66" s="54" t="inlineStr">
        <is>
          <t>Produção Tot.</t>
        </is>
      </c>
      <c r="EF66" s="54" t="inlineStr">
        <is>
          <t>Obs.</t>
        </is>
      </c>
      <c r="EG66" s="54" t="inlineStr">
        <is>
          <t>Saldo Pulso</t>
        </is>
      </c>
      <c r="EH66" s="54" t="inlineStr">
        <is>
          <t>Saldo Anterior</t>
        </is>
      </c>
      <c r="EI66" s="54" t="inlineStr">
        <is>
          <t>Captação Líq.</t>
        </is>
      </c>
      <c r="EJ66" s="54" t="inlineStr">
        <is>
          <t>COE</t>
        </is>
      </c>
      <c r="EK66" s="54" t="inlineStr">
        <is>
          <t>Previdência</t>
        </is>
      </c>
      <c r="EL66" s="54" t="inlineStr">
        <is>
          <t>Créd. Privado</t>
        </is>
      </c>
      <c r="EM66" s="54" t="inlineStr">
        <is>
          <t>Tít. Públicos</t>
        </is>
      </c>
      <c r="EN66" s="54" t="inlineStr">
        <is>
          <t>Produção Tot.</t>
        </is>
      </c>
      <c r="EO66" s="54" t="inlineStr">
        <is>
          <t>Obs.</t>
        </is>
      </c>
      <c r="EP66" s="54" t="inlineStr">
        <is>
          <t>Saldo Pulso</t>
        </is>
      </c>
      <c r="EQ66" s="54" t="inlineStr">
        <is>
          <t>Saldo Anterior</t>
        </is>
      </c>
      <c r="ER66" s="54" t="inlineStr">
        <is>
          <t>Captação Líq.</t>
        </is>
      </c>
      <c r="ES66" s="54" t="inlineStr">
        <is>
          <t>COE</t>
        </is>
      </c>
      <c r="ET66" s="54" t="inlineStr">
        <is>
          <t>Previdência</t>
        </is>
      </c>
      <c r="EU66" s="54" t="inlineStr">
        <is>
          <t>Créd. Privado</t>
        </is>
      </c>
      <c r="EV66" s="54" t="inlineStr">
        <is>
          <t>Tít. Públicos</t>
        </is>
      </c>
      <c r="EW66" s="54" t="inlineStr">
        <is>
          <t>Produção Tot.</t>
        </is>
      </c>
      <c r="EX66" s="54" t="inlineStr">
        <is>
          <t>Obs.</t>
        </is>
      </c>
      <c r="EY66" s="54" t="inlineStr">
        <is>
          <t>Saldo Pulso</t>
        </is>
      </c>
      <c r="EZ66" s="54" t="inlineStr">
        <is>
          <t>Saldo Anterior</t>
        </is>
      </c>
      <c r="FA66" s="54" t="inlineStr">
        <is>
          <t>Captação Líq.</t>
        </is>
      </c>
      <c r="FB66" s="54" t="inlineStr">
        <is>
          <t>COE</t>
        </is>
      </c>
      <c r="FC66" s="54" t="inlineStr">
        <is>
          <t>Previdência</t>
        </is>
      </c>
      <c r="FD66" s="54" t="inlineStr">
        <is>
          <t>Créd. Privado</t>
        </is>
      </c>
      <c r="FE66" s="54" t="inlineStr">
        <is>
          <t>Tít. Públicos</t>
        </is>
      </c>
      <c r="FF66" s="54" t="inlineStr">
        <is>
          <t>Produção Tot.</t>
        </is>
      </c>
      <c r="FG66" s="54" t="inlineStr">
        <is>
          <t>Obs.</t>
        </is>
      </c>
      <c r="FH66" s="54" t="inlineStr">
        <is>
          <t>Saldo Pulso</t>
        </is>
      </c>
      <c r="FI66" s="54" t="inlineStr">
        <is>
          <t>Saldo Anterior</t>
        </is>
      </c>
      <c r="FJ66" s="54" t="inlineStr">
        <is>
          <t>Captação Líq.</t>
        </is>
      </c>
      <c r="FK66" s="54" t="inlineStr">
        <is>
          <t>COE</t>
        </is>
      </c>
      <c r="FL66" s="54" t="inlineStr">
        <is>
          <t>Previdência</t>
        </is>
      </c>
      <c r="FM66" s="54" t="inlineStr">
        <is>
          <t>Créd. Privado</t>
        </is>
      </c>
      <c r="FN66" s="54" t="inlineStr">
        <is>
          <t>Tít. Públicos</t>
        </is>
      </c>
      <c r="FO66" s="54" t="inlineStr">
        <is>
          <t>Produção Tot.</t>
        </is>
      </c>
      <c r="FP66" s="54" t="inlineStr">
        <is>
          <t>Obs.</t>
        </is>
      </c>
      <c r="FQ66" s="54" t="inlineStr">
        <is>
          <t>Saldo Pulso</t>
        </is>
      </c>
      <c r="FR66" s="54" t="inlineStr">
        <is>
          <t>Saldo Anterior</t>
        </is>
      </c>
      <c r="FS66" s="54" t="inlineStr">
        <is>
          <t>Captação Líq.</t>
        </is>
      </c>
      <c r="FT66" s="54" t="inlineStr">
        <is>
          <t>COE</t>
        </is>
      </c>
      <c r="FU66" s="54" t="inlineStr">
        <is>
          <t>Previdência</t>
        </is>
      </c>
      <c r="FV66" s="54" t="inlineStr">
        <is>
          <t>Créd. Privado</t>
        </is>
      </c>
      <c r="FW66" s="54" t="inlineStr">
        <is>
          <t>Tít. Públicos</t>
        </is>
      </c>
      <c r="FX66" s="54" t="inlineStr">
        <is>
          <t>Produção Tot.</t>
        </is>
      </c>
      <c r="FY66" s="54" t="inlineStr">
        <is>
          <t>Obs.</t>
        </is>
      </c>
      <c r="FZ66" s="54" t="inlineStr">
        <is>
          <t>Saldo Pulso</t>
        </is>
      </c>
      <c r="GA66" s="54" t="inlineStr">
        <is>
          <t>Saldo Anterior</t>
        </is>
      </c>
      <c r="GB66" s="54" t="inlineStr">
        <is>
          <t>Captação Líq.</t>
        </is>
      </c>
      <c r="GC66" s="54" t="inlineStr">
        <is>
          <t>COE</t>
        </is>
      </c>
      <c r="GD66" s="54" t="inlineStr">
        <is>
          <t>Previdência</t>
        </is>
      </c>
      <c r="GE66" s="54" t="inlineStr">
        <is>
          <t>Créd. Privado</t>
        </is>
      </c>
      <c r="GF66" s="54" t="inlineStr">
        <is>
          <t>Tít. Públicos</t>
        </is>
      </c>
      <c r="GG66" s="54" t="inlineStr">
        <is>
          <t>Produção Tot.</t>
        </is>
      </c>
      <c r="GH66" s="54" t="inlineStr">
        <is>
          <t>Obs.</t>
        </is>
      </c>
      <c r="GI66" s="54" t="inlineStr">
        <is>
          <t>Saldo Pulso</t>
        </is>
      </c>
      <c r="GJ66" s="54" t="inlineStr">
        <is>
          <t>Saldo Anterior</t>
        </is>
      </c>
      <c r="GK66" s="54" t="inlineStr">
        <is>
          <t>Captação Líq.</t>
        </is>
      </c>
      <c r="GL66" s="54" t="inlineStr">
        <is>
          <t>COE</t>
        </is>
      </c>
      <c r="GM66" s="54" t="inlineStr">
        <is>
          <t>Previdência</t>
        </is>
      </c>
      <c r="GN66" s="54" t="inlineStr">
        <is>
          <t>Créd. Privado</t>
        </is>
      </c>
      <c r="GO66" s="54" t="inlineStr">
        <is>
          <t>Tít. Públicos</t>
        </is>
      </c>
      <c r="GP66" s="54" t="inlineStr">
        <is>
          <t>Produção Tot.</t>
        </is>
      </c>
      <c r="GQ66" s="54" t="inlineStr">
        <is>
          <t>Obs.</t>
        </is>
      </c>
      <c r="GR66" s="54" t="inlineStr">
        <is>
          <t>Saldo Pulso</t>
        </is>
      </c>
      <c r="GS66" s="54" t="inlineStr">
        <is>
          <t>Saldo Anterior</t>
        </is>
      </c>
      <c r="GT66" s="54" t="inlineStr">
        <is>
          <t>Captação Líq.</t>
        </is>
      </c>
      <c r="GU66" s="54" t="inlineStr">
        <is>
          <t>COE</t>
        </is>
      </c>
      <c r="GV66" s="54" t="inlineStr">
        <is>
          <t>Previdência</t>
        </is>
      </c>
      <c r="GW66" s="54" t="inlineStr">
        <is>
          <t>Créd. Privado</t>
        </is>
      </c>
      <c r="GX66" s="54" t="inlineStr">
        <is>
          <t>Tít. Públicos</t>
        </is>
      </c>
      <c r="GY66" s="54" t="inlineStr">
        <is>
          <t>Produção Tot.</t>
        </is>
      </c>
      <c r="GZ66" s="54" t="inlineStr">
        <is>
          <t>Obs.</t>
        </is>
      </c>
      <c r="HA66" s="54" t="inlineStr">
        <is>
          <t>Saldo Pulso</t>
        </is>
      </c>
      <c r="HB66" s="54" t="inlineStr">
        <is>
          <t>Saldo Anterior</t>
        </is>
      </c>
      <c r="HC66" s="54" t="inlineStr">
        <is>
          <t>Captação Líq.</t>
        </is>
      </c>
      <c r="HD66" s="54" t="inlineStr">
        <is>
          <t>COE</t>
        </is>
      </c>
      <c r="HE66" s="54" t="inlineStr">
        <is>
          <t>Previdência</t>
        </is>
      </c>
      <c r="HF66" s="54" t="inlineStr">
        <is>
          <t>Créd. Privado</t>
        </is>
      </c>
      <c r="HG66" s="54" t="inlineStr">
        <is>
          <t>Tít. Públicos</t>
        </is>
      </c>
      <c r="HH66" s="54" t="inlineStr">
        <is>
          <t>Produção Tot.</t>
        </is>
      </c>
      <c r="HI66" s="54" t="inlineStr">
        <is>
          <t>Obs.</t>
        </is>
      </c>
      <c r="HJ66" s="54" t="inlineStr">
        <is>
          <t>Saldo Pulso</t>
        </is>
      </c>
      <c r="HK66" s="54" t="inlineStr">
        <is>
          <t>Saldo Anterior</t>
        </is>
      </c>
      <c r="HL66" s="54" t="inlineStr">
        <is>
          <t>Captação Líq.</t>
        </is>
      </c>
      <c r="HM66" s="54" t="inlineStr">
        <is>
          <t>COE</t>
        </is>
      </c>
      <c r="HN66" s="54" t="inlineStr">
        <is>
          <t>Previdência</t>
        </is>
      </c>
      <c r="HO66" s="54" t="inlineStr">
        <is>
          <t>Créd. Privado</t>
        </is>
      </c>
      <c r="HP66" s="54" t="inlineStr">
        <is>
          <t>Tít. Públicos</t>
        </is>
      </c>
      <c r="HQ66" s="54" t="inlineStr">
        <is>
          <t>Produção Tot.</t>
        </is>
      </c>
      <c r="HR66" s="54" t="inlineStr">
        <is>
          <t>Obs.</t>
        </is>
      </c>
      <c r="HS66" s="54" t="inlineStr">
        <is>
          <t>Saldo Pulso</t>
        </is>
      </c>
      <c r="HT66" s="54" t="inlineStr">
        <is>
          <t>Saldo Anterior</t>
        </is>
      </c>
      <c r="HU66" s="54" t="inlineStr">
        <is>
          <t>Captação Líq.</t>
        </is>
      </c>
      <c r="HV66" s="54" t="inlineStr">
        <is>
          <t>COE</t>
        </is>
      </c>
      <c r="HW66" s="54" t="inlineStr">
        <is>
          <t>Previdência</t>
        </is>
      </c>
      <c r="HX66" s="54" t="inlineStr">
        <is>
          <t>Créd. Privado</t>
        </is>
      </c>
      <c r="HY66" s="54" t="inlineStr">
        <is>
          <t>Tít. Públicos</t>
        </is>
      </c>
      <c r="HZ66" s="54" t="inlineStr">
        <is>
          <t>Produção Tot.</t>
        </is>
      </c>
      <c r="IA66" s="54" t="inlineStr">
        <is>
          <t>Obs.</t>
        </is>
      </c>
      <c r="IB66" s="54" t="inlineStr">
        <is>
          <t>Saldo Pulso</t>
        </is>
      </c>
      <c r="IC66" s="54" t="inlineStr">
        <is>
          <t>Saldo Anterior</t>
        </is>
      </c>
      <c r="ID66" s="54" t="inlineStr">
        <is>
          <t>Captação Líq.</t>
        </is>
      </c>
      <c r="IE66" s="54" t="inlineStr">
        <is>
          <t>COE</t>
        </is>
      </c>
      <c r="IF66" s="54" t="inlineStr">
        <is>
          <t>Previdência</t>
        </is>
      </c>
      <c r="IG66" s="54" t="inlineStr">
        <is>
          <t>Créd. Privado</t>
        </is>
      </c>
      <c r="IH66" s="54" t="inlineStr">
        <is>
          <t>Tít. Públicos</t>
        </is>
      </c>
      <c r="II66" s="54" t="inlineStr">
        <is>
          <t>Produção Tot.</t>
        </is>
      </c>
      <c r="IJ66" s="54" t="inlineStr">
        <is>
          <t>Obs.</t>
        </is>
      </c>
      <c r="IK66" s="54" t="inlineStr">
        <is>
          <t>Saldo Pulso</t>
        </is>
      </c>
      <c r="IL66" s="54" t="inlineStr">
        <is>
          <t>Saldo Anterior</t>
        </is>
      </c>
      <c r="IM66" s="54" t="inlineStr">
        <is>
          <t>Captação Líq.</t>
        </is>
      </c>
      <c r="IN66" s="54" t="inlineStr">
        <is>
          <t>COE</t>
        </is>
      </c>
      <c r="IO66" s="54" t="inlineStr">
        <is>
          <t>Previdência</t>
        </is>
      </c>
      <c r="IP66" s="54" t="inlineStr">
        <is>
          <t>Créd. Privado</t>
        </is>
      </c>
      <c r="IQ66" s="54" t="inlineStr">
        <is>
          <t>Tít. Públicos</t>
        </is>
      </c>
      <c r="IR66" s="54" t="inlineStr">
        <is>
          <t>Produção Tot.</t>
        </is>
      </c>
      <c r="IS66" s="54" t="inlineStr">
        <is>
          <t>Obs.</t>
        </is>
      </c>
      <c r="IT66" s="54" t="inlineStr">
        <is>
          <t>Saldo Pulso</t>
        </is>
      </c>
      <c r="IU66" s="54" t="inlineStr">
        <is>
          <t>Saldo Anterior</t>
        </is>
      </c>
      <c r="IV66" s="54" t="inlineStr">
        <is>
          <t>Captação Líq.</t>
        </is>
      </c>
      <c r="IW66" s="54" t="inlineStr">
        <is>
          <t>COE</t>
        </is>
      </c>
      <c r="IX66" s="54" t="inlineStr">
        <is>
          <t>Previdência</t>
        </is>
      </c>
      <c r="IY66" s="54" t="inlineStr">
        <is>
          <t>Créd. Privado</t>
        </is>
      </c>
      <c r="IZ66" s="54" t="inlineStr">
        <is>
          <t>Tít. Públicos</t>
        </is>
      </c>
      <c r="JA66" s="54" t="inlineStr">
        <is>
          <t>Produção Tot.</t>
        </is>
      </c>
      <c r="JB66" s="54" t="inlineStr">
        <is>
          <t>Obs.</t>
        </is>
      </c>
      <c r="JC66" s="54" t="inlineStr">
        <is>
          <t>Saldo Pulso</t>
        </is>
      </c>
      <c r="JD66" s="54" t="inlineStr">
        <is>
          <t>Saldo Anterior</t>
        </is>
      </c>
      <c r="JE66" s="54" t="inlineStr">
        <is>
          <t>Captação Líq.</t>
        </is>
      </c>
      <c r="JF66" s="54" t="inlineStr">
        <is>
          <t>COE</t>
        </is>
      </c>
      <c r="JG66" s="54" t="inlineStr">
        <is>
          <t>Previdência</t>
        </is>
      </c>
      <c r="JH66" s="54" t="inlineStr">
        <is>
          <t>Créd. Privado</t>
        </is>
      </c>
      <c r="JI66" s="54" t="inlineStr">
        <is>
          <t>Tít. Públicos</t>
        </is>
      </c>
      <c r="JJ66" s="54" t="inlineStr">
        <is>
          <t>Produção Tot.</t>
        </is>
      </c>
      <c r="JK66" s="54" t="inlineStr">
        <is>
          <t>Obs.</t>
        </is>
      </c>
      <c r="JL66" s="54" t="inlineStr">
        <is>
          <t>Saldo Pulso</t>
        </is>
      </c>
      <c r="JM66" s="54" t="inlineStr">
        <is>
          <t>Saldo Anterior</t>
        </is>
      </c>
      <c r="JN66" s="54" t="inlineStr">
        <is>
          <t>Captação Líq.</t>
        </is>
      </c>
      <c r="JO66" s="54" t="inlineStr">
        <is>
          <t>COE</t>
        </is>
      </c>
      <c r="JP66" s="54" t="inlineStr">
        <is>
          <t>Previdência</t>
        </is>
      </c>
      <c r="JQ66" s="54" t="inlineStr">
        <is>
          <t>Créd. Privado</t>
        </is>
      </c>
      <c r="JR66" s="54" t="inlineStr">
        <is>
          <t>Tít. Públicos</t>
        </is>
      </c>
      <c r="JS66" s="54" t="inlineStr">
        <is>
          <t>Produção Tot.</t>
        </is>
      </c>
      <c r="JT66" s="54" t="inlineStr">
        <is>
          <t>Obs.</t>
        </is>
      </c>
      <c r="JU66" s="55" t="n"/>
      <c r="JV66" s="55" t="n"/>
      <c r="JW66" s="55" t="n"/>
      <c r="JX66" s="55" t="n"/>
      <c r="JY66" s="55" t="n"/>
      <c r="JZ66" s="55" t="n"/>
      <c r="KA66" s="55" t="n"/>
    </row>
    <row r="67" ht="20" customHeight="1">
      <c r="A67" s="56">
        <f>IF(Configurações!$B$7="","Assessor 1",Configurações!$B$7)</f>
        <v/>
      </c>
      <c r="B67" s="57" t="n"/>
      <c r="C67" s="58">
        <f>'Junho'!$JW67</f>
        <v/>
      </c>
      <c r="D67" s="59" t="n"/>
      <c r="E67" s="57" t="n"/>
      <c r="F67" s="57" t="n"/>
      <c r="G67" s="57" t="n"/>
      <c r="H67" s="57" t="n"/>
      <c r="I67" s="60">
        <f>SUM(E67:H67)</f>
        <v/>
      </c>
      <c r="J67" s="61" t="n"/>
      <c r="K67" s="57" t="n"/>
      <c r="L67" s="58">
        <f>B67</f>
        <v/>
      </c>
      <c r="M67" s="59" t="n"/>
      <c r="N67" s="57" t="n"/>
      <c r="O67" s="57" t="n"/>
      <c r="P67" s="57" t="n"/>
      <c r="Q67" s="57" t="n"/>
      <c r="R67" s="60">
        <f>SUM(N67:Q67)</f>
        <v/>
      </c>
      <c r="S67" s="61" t="n"/>
      <c r="T67" s="57" t="n"/>
      <c r="U67" s="58">
        <f>K67</f>
        <v/>
      </c>
      <c r="V67" s="59" t="n"/>
      <c r="W67" s="57" t="n"/>
      <c r="X67" s="57" t="n"/>
      <c r="Y67" s="57" t="n"/>
      <c r="Z67" s="57" t="n"/>
      <c r="AA67" s="60">
        <f>SUM(W67:Z67)</f>
        <v/>
      </c>
      <c r="AB67" s="61" t="n"/>
      <c r="AC67" s="57" t="n"/>
      <c r="AD67" s="58">
        <f>T67</f>
        <v/>
      </c>
      <c r="AE67" s="59" t="n"/>
      <c r="AF67" s="57" t="n"/>
      <c r="AG67" s="57" t="n"/>
      <c r="AH67" s="57" t="n"/>
      <c r="AI67" s="57" t="n"/>
      <c r="AJ67" s="60">
        <f>SUM(AF67:AI67)</f>
        <v/>
      </c>
      <c r="AK67" s="61" t="n"/>
      <c r="AL67" s="57" t="n"/>
      <c r="AM67" s="58">
        <f>AC67</f>
        <v/>
      </c>
      <c r="AN67" s="59" t="n"/>
      <c r="AO67" s="57" t="n"/>
      <c r="AP67" s="57" t="n"/>
      <c r="AQ67" s="57" t="n"/>
      <c r="AR67" s="57" t="n"/>
      <c r="AS67" s="60">
        <f>SUM(AO67:AR67)</f>
        <v/>
      </c>
      <c r="AT67" s="61" t="n"/>
      <c r="AU67" s="57" t="n"/>
      <c r="AV67" s="58">
        <f>AL67</f>
        <v/>
      </c>
      <c r="AW67" s="59" t="n"/>
      <c r="AX67" s="57" t="n"/>
      <c r="AY67" s="57" t="n"/>
      <c r="AZ67" s="57" t="n"/>
      <c r="BA67" s="57" t="n"/>
      <c r="BB67" s="60">
        <f>SUM(AX67:BA67)</f>
        <v/>
      </c>
      <c r="BC67" s="61" t="n"/>
      <c r="BD67" s="57" t="n"/>
      <c r="BE67" s="58">
        <f>AU67</f>
        <v/>
      </c>
      <c r="BF67" s="59" t="n"/>
      <c r="BG67" s="57" t="n"/>
      <c r="BH67" s="57" t="n"/>
      <c r="BI67" s="57" t="n"/>
      <c r="BJ67" s="57" t="n"/>
      <c r="BK67" s="60">
        <f>SUM(BG67:BJ67)</f>
        <v/>
      </c>
      <c r="BL67" s="61" t="n"/>
      <c r="BM67" s="57" t="n"/>
      <c r="BN67" s="58">
        <f>BD67</f>
        <v/>
      </c>
      <c r="BO67" s="59" t="n"/>
      <c r="BP67" s="57" t="n"/>
      <c r="BQ67" s="57" t="n"/>
      <c r="BR67" s="57" t="n"/>
      <c r="BS67" s="57" t="n"/>
      <c r="BT67" s="60">
        <f>SUM(BP67:BS67)</f>
        <v/>
      </c>
      <c r="BU67" s="61" t="n"/>
      <c r="BV67" s="57" t="n"/>
      <c r="BW67" s="58">
        <f>BM67</f>
        <v/>
      </c>
      <c r="BX67" s="59" t="n"/>
      <c r="BY67" s="57" t="n"/>
      <c r="BZ67" s="57" t="n"/>
      <c r="CA67" s="57" t="n"/>
      <c r="CB67" s="57" t="n"/>
      <c r="CC67" s="60">
        <f>SUM(BY67:CB67)</f>
        <v/>
      </c>
      <c r="CD67" s="61" t="n"/>
      <c r="CE67" s="57" t="n"/>
      <c r="CF67" s="58">
        <f>BV67</f>
        <v/>
      </c>
      <c r="CG67" s="59" t="n"/>
      <c r="CH67" s="57" t="n"/>
      <c r="CI67" s="57" t="n"/>
      <c r="CJ67" s="57" t="n"/>
      <c r="CK67" s="57" t="n"/>
      <c r="CL67" s="60">
        <f>SUM(CH67:CK67)</f>
        <v/>
      </c>
      <c r="CM67" s="61" t="n"/>
      <c r="CN67" s="57" t="n"/>
      <c r="CO67" s="58">
        <f>CE67</f>
        <v/>
      </c>
      <c r="CP67" s="59" t="n"/>
      <c r="CQ67" s="57" t="n"/>
      <c r="CR67" s="57" t="n"/>
      <c r="CS67" s="57" t="n"/>
      <c r="CT67" s="57" t="n"/>
      <c r="CU67" s="60">
        <f>SUM(CQ67:CT67)</f>
        <v/>
      </c>
      <c r="CV67" s="61" t="n"/>
      <c r="CW67" s="57" t="n"/>
      <c r="CX67" s="58">
        <f>CN67</f>
        <v/>
      </c>
      <c r="CY67" s="59" t="n"/>
      <c r="CZ67" s="57" t="n"/>
      <c r="DA67" s="57" t="n"/>
      <c r="DB67" s="57" t="n"/>
      <c r="DC67" s="57" t="n"/>
      <c r="DD67" s="60">
        <f>SUM(CZ67:DC67)</f>
        <v/>
      </c>
      <c r="DE67" s="61" t="n"/>
      <c r="DF67" s="57" t="n"/>
      <c r="DG67" s="58">
        <f>CW67</f>
        <v/>
      </c>
      <c r="DH67" s="59" t="n"/>
      <c r="DI67" s="57" t="n"/>
      <c r="DJ67" s="57" t="n"/>
      <c r="DK67" s="57" t="n"/>
      <c r="DL67" s="57" t="n"/>
      <c r="DM67" s="60">
        <f>SUM(DI67:DL67)</f>
        <v/>
      </c>
      <c r="DN67" s="61" t="n"/>
      <c r="DO67" s="57" t="n"/>
      <c r="DP67" s="58">
        <f>DF67</f>
        <v/>
      </c>
      <c r="DQ67" s="59" t="n"/>
      <c r="DR67" s="57" t="n"/>
      <c r="DS67" s="57" t="n"/>
      <c r="DT67" s="57" t="n"/>
      <c r="DU67" s="57" t="n"/>
      <c r="DV67" s="60">
        <f>SUM(DR67:DU67)</f>
        <v/>
      </c>
      <c r="DW67" s="61" t="n"/>
      <c r="DX67" s="57" t="n"/>
      <c r="DY67" s="58">
        <f>DO67</f>
        <v/>
      </c>
      <c r="DZ67" s="59" t="n"/>
      <c r="EA67" s="57" t="n"/>
      <c r="EB67" s="57" t="n"/>
      <c r="EC67" s="57" t="n"/>
      <c r="ED67" s="57" t="n"/>
      <c r="EE67" s="60">
        <f>SUM(EA67:ED67)</f>
        <v/>
      </c>
      <c r="EF67" s="61" t="n"/>
      <c r="EG67" s="57" t="n"/>
      <c r="EH67" s="58">
        <f>DX67</f>
        <v/>
      </c>
      <c r="EI67" s="59" t="n"/>
      <c r="EJ67" s="57" t="n"/>
      <c r="EK67" s="57" t="n"/>
      <c r="EL67" s="57" t="n"/>
      <c r="EM67" s="57" t="n"/>
      <c r="EN67" s="60">
        <f>SUM(EJ67:EM67)</f>
        <v/>
      </c>
      <c r="EO67" s="61" t="n"/>
      <c r="EP67" s="57" t="n"/>
      <c r="EQ67" s="58">
        <f>EG67</f>
        <v/>
      </c>
      <c r="ER67" s="59" t="n"/>
      <c r="ES67" s="57" t="n"/>
      <c r="ET67" s="57" t="n"/>
      <c r="EU67" s="57" t="n"/>
      <c r="EV67" s="57" t="n"/>
      <c r="EW67" s="60">
        <f>SUM(ES67:EV67)</f>
        <v/>
      </c>
      <c r="EX67" s="61" t="n"/>
      <c r="EY67" s="57" t="n"/>
      <c r="EZ67" s="58">
        <f>EP67</f>
        <v/>
      </c>
      <c r="FA67" s="59" t="n"/>
      <c r="FB67" s="57" t="n"/>
      <c r="FC67" s="57" t="n"/>
      <c r="FD67" s="57" t="n"/>
      <c r="FE67" s="57" t="n"/>
      <c r="FF67" s="60">
        <f>SUM(FB67:FE67)</f>
        <v/>
      </c>
      <c r="FG67" s="61" t="n"/>
      <c r="FH67" s="57" t="n"/>
      <c r="FI67" s="58">
        <f>EY67</f>
        <v/>
      </c>
      <c r="FJ67" s="59" t="n"/>
      <c r="FK67" s="57" t="n"/>
      <c r="FL67" s="57" t="n"/>
      <c r="FM67" s="57" t="n"/>
      <c r="FN67" s="57" t="n"/>
      <c r="FO67" s="60">
        <f>SUM(FK67:FN67)</f>
        <v/>
      </c>
      <c r="FP67" s="61" t="n"/>
      <c r="FQ67" s="57" t="n"/>
      <c r="FR67" s="58">
        <f>FH67</f>
        <v/>
      </c>
      <c r="FS67" s="59" t="n"/>
      <c r="FT67" s="57" t="n"/>
      <c r="FU67" s="57" t="n"/>
      <c r="FV67" s="57" t="n"/>
      <c r="FW67" s="57" t="n"/>
      <c r="FX67" s="60">
        <f>SUM(FT67:FW67)</f>
        <v/>
      </c>
      <c r="FY67" s="61" t="n"/>
      <c r="FZ67" s="57" t="n"/>
      <c r="GA67" s="58">
        <f>FQ67</f>
        <v/>
      </c>
      <c r="GB67" s="59" t="n"/>
      <c r="GC67" s="57" t="n"/>
      <c r="GD67" s="57" t="n"/>
      <c r="GE67" s="57" t="n"/>
      <c r="GF67" s="57" t="n"/>
      <c r="GG67" s="60">
        <f>SUM(GC67:GF67)</f>
        <v/>
      </c>
      <c r="GH67" s="61" t="n"/>
      <c r="GI67" s="57" t="n"/>
      <c r="GJ67" s="58">
        <f>FZ67</f>
        <v/>
      </c>
      <c r="GK67" s="59" t="n"/>
      <c r="GL67" s="57" t="n"/>
      <c r="GM67" s="57" t="n"/>
      <c r="GN67" s="57" t="n"/>
      <c r="GO67" s="57" t="n"/>
      <c r="GP67" s="60">
        <f>SUM(GL67:GO67)</f>
        <v/>
      </c>
      <c r="GQ67" s="61" t="n"/>
      <c r="GR67" s="57" t="n"/>
      <c r="GS67" s="58">
        <f>GI67</f>
        <v/>
      </c>
      <c r="GT67" s="59" t="n"/>
      <c r="GU67" s="57" t="n"/>
      <c r="GV67" s="57" t="n"/>
      <c r="GW67" s="57" t="n"/>
      <c r="GX67" s="57" t="n"/>
      <c r="GY67" s="60">
        <f>SUM(GU67:GX67)</f>
        <v/>
      </c>
      <c r="GZ67" s="61" t="n"/>
      <c r="HA67" s="57" t="n"/>
      <c r="HB67" s="58">
        <f>GR67</f>
        <v/>
      </c>
      <c r="HC67" s="59" t="n"/>
      <c r="HD67" s="57" t="n"/>
      <c r="HE67" s="57" t="n"/>
      <c r="HF67" s="57" t="n"/>
      <c r="HG67" s="57" t="n"/>
      <c r="HH67" s="60">
        <f>SUM(HD67:HG67)</f>
        <v/>
      </c>
      <c r="HI67" s="61" t="n"/>
      <c r="HJ67" s="57" t="n"/>
      <c r="HK67" s="58">
        <f>HA67</f>
        <v/>
      </c>
      <c r="HL67" s="59" t="n"/>
      <c r="HM67" s="57" t="n"/>
      <c r="HN67" s="57" t="n"/>
      <c r="HO67" s="57" t="n"/>
      <c r="HP67" s="57" t="n"/>
      <c r="HQ67" s="60">
        <f>SUM(HM67:HP67)</f>
        <v/>
      </c>
      <c r="HR67" s="61" t="n"/>
      <c r="HS67" s="57" t="n"/>
      <c r="HT67" s="58">
        <f>HJ67</f>
        <v/>
      </c>
      <c r="HU67" s="59" t="n"/>
      <c r="HV67" s="57" t="n"/>
      <c r="HW67" s="57" t="n"/>
      <c r="HX67" s="57" t="n"/>
      <c r="HY67" s="57" t="n"/>
      <c r="HZ67" s="60">
        <f>SUM(HV67:HY67)</f>
        <v/>
      </c>
      <c r="IA67" s="61" t="n"/>
      <c r="IB67" s="57" t="n"/>
      <c r="IC67" s="58">
        <f>HS67</f>
        <v/>
      </c>
      <c r="ID67" s="59" t="n"/>
      <c r="IE67" s="57" t="n"/>
      <c r="IF67" s="57" t="n"/>
      <c r="IG67" s="57" t="n"/>
      <c r="IH67" s="57" t="n"/>
      <c r="II67" s="60">
        <f>SUM(IE67:IH67)</f>
        <v/>
      </c>
      <c r="IJ67" s="61" t="n"/>
      <c r="IK67" s="57" t="n"/>
      <c r="IL67" s="58">
        <f>IB67</f>
        <v/>
      </c>
      <c r="IM67" s="59" t="n"/>
      <c r="IN67" s="57" t="n"/>
      <c r="IO67" s="57" t="n"/>
      <c r="IP67" s="57" t="n"/>
      <c r="IQ67" s="57" t="n"/>
      <c r="IR67" s="60">
        <f>SUM(IN67:IQ67)</f>
        <v/>
      </c>
      <c r="IS67" s="61" t="n"/>
      <c r="IT67" s="57" t="n"/>
      <c r="IU67" s="58">
        <f>IK67</f>
        <v/>
      </c>
      <c r="IV67" s="59" t="n"/>
      <c r="IW67" s="57" t="n"/>
      <c r="IX67" s="57" t="n"/>
      <c r="IY67" s="57" t="n"/>
      <c r="IZ67" s="57" t="n"/>
      <c r="JA67" s="60">
        <f>SUM(IW67:IZ67)</f>
        <v/>
      </c>
      <c r="JB67" s="61" t="n"/>
      <c r="JC67" s="57" t="n"/>
      <c r="JD67" s="58">
        <f>IT67</f>
        <v/>
      </c>
      <c r="JE67" s="59" t="n"/>
      <c r="JF67" s="57" t="n"/>
      <c r="JG67" s="57" t="n"/>
      <c r="JH67" s="57" t="n"/>
      <c r="JI67" s="57" t="n"/>
      <c r="JJ67" s="60">
        <f>SUM(JF67:JI67)</f>
        <v/>
      </c>
      <c r="JK67" s="61" t="n"/>
      <c r="JL67" s="57" t="n"/>
      <c r="JM67" s="58">
        <f>JC67</f>
        <v/>
      </c>
      <c r="JN67" s="59" t="n"/>
      <c r="JO67" s="57" t="n"/>
      <c r="JP67" s="57" t="n"/>
      <c r="JQ67" s="57" t="n"/>
      <c r="JR67" s="57" t="n"/>
      <c r="JS67" s="60">
        <f>SUM(JO67:JR67)</f>
        <v/>
      </c>
      <c r="JT67" s="61" t="n"/>
      <c r="JU67" s="62">
        <f>I67+R67+AA67+AJ67+AS67+BB67+BK67+BT67+CC67+CL67+CU67+DD67+DM67+DV67+EE67+EN67+EW67+FF67+FO67+FX67+GG67+GP67+GY67+HH67+HQ67+HZ67+II67+IR67+JA67+JJ67+JS67</f>
        <v/>
      </c>
      <c r="JV67" s="63">
        <f>D67+M67+V67+AE67+AN67+AW67+BF67+BO67+BX67+CG67+CP67+CY67+DH67+DQ67+DZ67+EI67+ER67+FA67+FJ67+FS67+GB67+GK67+GT67+HC67+HL67+HU67+ID67+IM67+IV67+JE67+JN67</f>
        <v/>
      </c>
      <c r="JW67" s="62">
        <f>CHOOSE($Z$3,B67, K67, T67, AC67, AL67, AU67, BD67, BM67, BV67, CE67, CN67, CW67, DF67, DO67, DX67, EG67, EP67, EY67, FH67, FQ67, FZ67, GI67, GR67, HA67, HJ67, HS67, IB67, IK67, IT67, JC67, JL67)</f>
        <v/>
      </c>
      <c r="JX67" s="62">
        <f>IFERROR(JU67/$Z$3,0)</f>
        <v/>
      </c>
      <c r="JY67" s="62">
        <f>Configurações!$C$7</f>
        <v/>
      </c>
      <c r="JZ67" s="64">
        <f>IF(JY67=0,"— Sem meta",IF(JU67&gt;=JY67,"✓ Atingida","Em andamento"))</f>
        <v/>
      </c>
      <c r="KA67" s="65">
        <f>JU67+(13*0.0000001)</f>
        <v/>
      </c>
    </row>
    <row r="68" ht="20" customHeight="1">
      <c r="A68" s="56">
        <f>IF(Configurações!$B$8="","Assessor 2",Configurações!$B$8)</f>
        <v/>
      </c>
      <c r="B68" s="57" t="n"/>
      <c r="C68" s="66">
        <f>'Junho'!$JW68</f>
        <v/>
      </c>
      <c r="D68" s="59" t="n"/>
      <c r="E68" s="57" t="n"/>
      <c r="F68" s="57" t="n"/>
      <c r="G68" s="57" t="n"/>
      <c r="H68" s="57" t="n"/>
      <c r="I68" s="67">
        <f>SUM(E68:H68)</f>
        <v/>
      </c>
      <c r="J68" s="61" t="n"/>
      <c r="K68" s="57" t="n"/>
      <c r="L68" s="66">
        <f>B68</f>
        <v/>
      </c>
      <c r="M68" s="59" t="n"/>
      <c r="N68" s="57" t="n"/>
      <c r="O68" s="57" t="n"/>
      <c r="P68" s="57" t="n"/>
      <c r="Q68" s="57" t="n"/>
      <c r="R68" s="67">
        <f>SUM(N68:Q68)</f>
        <v/>
      </c>
      <c r="S68" s="61" t="n"/>
      <c r="T68" s="57" t="n"/>
      <c r="U68" s="66">
        <f>K68</f>
        <v/>
      </c>
      <c r="V68" s="59" t="n"/>
      <c r="W68" s="57" t="n"/>
      <c r="X68" s="57" t="n"/>
      <c r="Y68" s="57" t="n"/>
      <c r="Z68" s="57" t="n"/>
      <c r="AA68" s="67">
        <f>SUM(W68:Z68)</f>
        <v/>
      </c>
      <c r="AB68" s="61" t="n"/>
      <c r="AC68" s="57" t="n"/>
      <c r="AD68" s="66">
        <f>T68</f>
        <v/>
      </c>
      <c r="AE68" s="59" t="n"/>
      <c r="AF68" s="57" t="n"/>
      <c r="AG68" s="57" t="n"/>
      <c r="AH68" s="57" t="n"/>
      <c r="AI68" s="57" t="n"/>
      <c r="AJ68" s="67">
        <f>SUM(AF68:AI68)</f>
        <v/>
      </c>
      <c r="AK68" s="61" t="n"/>
      <c r="AL68" s="57" t="n"/>
      <c r="AM68" s="66">
        <f>AC68</f>
        <v/>
      </c>
      <c r="AN68" s="59" t="n"/>
      <c r="AO68" s="57" t="n"/>
      <c r="AP68" s="57" t="n"/>
      <c r="AQ68" s="57" t="n"/>
      <c r="AR68" s="57" t="n"/>
      <c r="AS68" s="67">
        <f>SUM(AO68:AR68)</f>
        <v/>
      </c>
      <c r="AT68" s="61" t="n"/>
      <c r="AU68" s="57" t="n"/>
      <c r="AV68" s="66">
        <f>AL68</f>
        <v/>
      </c>
      <c r="AW68" s="59" t="n"/>
      <c r="AX68" s="57" t="n"/>
      <c r="AY68" s="57" t="n"/>
      <c r="AZ68" s="57" t="n"/>
      <c r="BA68" s="57" t="n"/>
      <c r="BB68" s="67">
        <f>SUM(AX68:BA68)</f>
        <v/>
      </c>
      <c r="BC68" s="61" t="n"/>
      <c r="BD68" s="57" t="n"/>
      <c r="BE68" s="66">
        <f>AU68</f>
        <v/>
      </c>
      <c r="BF68" s="59" t="n"/>
      <c r="BG68" s="57" t="n"/>
      <c r="BH68" s="57" t="n"/>
      <c r="BI68" s="57" t="n"/>
      <c r="BJ68" s="57" t="n"/>
      <c r="BK68" s="67">
        <f>SUM(BG68:BJ68)</f>
        <v/>
      </c>
      <c r="BL68" s="61" t="n"/>
      <c r="BM68" s="57" t="n"/>
      <c r="BN68" s="66">
        <f>BD68</f>
        <v/>
      </c>
      <c r="BO68" s="59" t="n"/>
      <c r="BP68" s="57" t="n"/>
      <c r="BQ68" s="57" t="n"/>
      <c r="BR68" s="57" t="n"/>
      <c r="BS68" s="57" t="n"/>
      <c r="BT68" s="67">
        <f>SUM(BP68:BS68)</f>
        <v/>
      </c>
      <c r="BU68" s="61" t="n"/>
      <c r="BV68" s="57" t="n"/>
      <c r="BW68" s="66">
        <f>BM68</f>
        <v/>
      </c>
      <c r="BX68" s="59" t="n"/>
      <c r="BY68" s="57" t="n"/>
      <c r="BZ68" s="57" t="n"/>
      <c r="CA68" s="57" t="n"/>
      <c r="CB68" s="57" t="n"/>
      <c r="CC68" s="67">
        <f>SUM(BY68:CB68)</f>
        <v/>
      </c>
      <c r="CD68" s="61" t="n"/>
      <c r="CE68" s="57" t="n"/>
      <c r="CF68" s="66">
        <f>BV68</f>
        <v/>
      </c>
      <c r="CG68" s="59" t="n"/>
      <c r="CH68" s="57" t="n"/>
      <c r="CI68" s="57" t="n"/>
      <c r="CJ68" s="57" t="n"/>
      <c r="CK68" s="57" t="n"/>
      <c r="CL68" s="67">
        <f>SUM(CH68:CK68)</f>
        <v/>
      </c>
      <c r="CM68" s="61" t="n"/>
      <c r="CN68" s="57" t="n"/>
      <c r="CO68" s="66">
        <f>CE68</f>
        <v/>
      </c>
      <c r="CP68" s="59" t="n"/>
      <c r="CQ68" s="57" t="n"/>
      <c r="CR68" s="57" t="n"/>
      <c r="CS68" s="57" t="n"/>
      <c r="CT68" s="57" t="n"/>
      <c r="CU68" s="67">
        <f>SUM(CQ68:CT68)</f>
        <v/>
      </c>
      <c r="CV68" s="61" t="n"/>
      <c r="CW68" s="57" t="n"/>
      <c r="CX68" s="66">
        <f>CN68</f>
        <v/>
      </c>
      <c r="CY68" s="59" t="n"/>
      <c r="CZ68" s="57" t="n"/>
      <c r="DA68" s="57" t="n"/>
      <c r="DB68" s="57" t="n"/>
      <c r="DC68" s="57" t="n"/>
      <c r="DD68" s="67">
        <f>SUM(CZ68:DC68)</f>
        <v/>
      </c>
      <c r="DE68" s="61" t="n"/>
      <c r="DF68" s="57" t="n"/>
      <c r="DG68" s="66">
        <f>CW68</f>
        <v/>
      </c>
      <c r="DH68" s="59" t="n"/>
      <c r="DI68" s="57" t="n"/>
      <c r="DJ68" s="57" t="n"/>
      <c r="DK68" s="57" t="n"/>
      <c r="DL68" s="57" t="n"/>
      <c r="DM68" s="67">
        <f>SUM(DI68:DL68)</f>
        <v/>
      </c>
      <c r="DN68" s="61" t="n"/>
      <c r="DO68" s="57" t="n"/>
      <c r="DP68" s="66">
        <f>DF68</f>
        <v/>
      </c>
      <c r="DQ68" s="59" t="n"/>
      <c r="DR68" s="57" t="n"/>
      <c r="DS68" s="57" t="n"/>
      <c r="DT68" s="57" t="n"/>
      <c r="DU68" s="57" t="n"/>
      <c r="DV68" s="67">
        <f>SUM(DR68:DU68)</f>
        <v/>
      </c>
      <c r="DW68" s="61" t="n"/>
      <c r="DX68" s="57" t="n"/>
      <c r="DY68" s="66">
        <f>DO68</f>
        <v/>
      </c>
      <c r="DZ68" s="59" t="n"/>
      <c r="EA68" s="57" t="n"/>
      <c r="EB68" s="57" t="n"/>
      <c r="EC68" s="57" t="n"/>
      <c r="ED68" s="57" t="n"/>
      <c r="EE68" s="67">
        <f>SUM(EA68:ED68)</f>
        <v/>
      </c>
      <c r="EF68" s="61" t="n"/>
      <c r="EG68" s="57" t="n"/>
      <c r="EH68" s="66">
        <f>DX68</f>
        <v/>
      </c>
      <c r="EI68" s="59" t="n"/>
      <c r="EJ68" s="57" t="n"/>
      <c r="EK68" s="57" t="n"/>
      <c r="EL68" s="57" t="n"/>
      <c r="EM68" s="57" t="n"/>
      <c r="EN68" s="67">
        <f>SUM(EJ68:EM68)</f>
        <v/>
      </c>
      <c r="EO68" s="61" t="n"/>
      <c r="EP68" s="57" t="n"/>
      <c r="EQ68" s="66">
        <f>EG68</f>
        <v/>
      </c>
      <c r="ER68" s="59" t="n"/>
      <c r="ES68" s="57" t="n"/>
      <c r="ET68" s="57" t="n"/>
      <c r="EU68" s="57" t="n"/>
      <c r="EV68" s="57" t="n"/>
      <c r="EW68" s="67">
        <f>SUM(ES68:EV68)</f>
        <v/>
      </c>
      <c r="EX68" s="61" t="n"/>
      <c r="EY68" s="57" t="n"/>
      <c r="EZ68" s="66">
        <f>EP68</f>
        <v/>
      </c>
      <c r="FA68" s="59" t="n"/>
      <c r="FB68" s="57" t="n"/>
      <c r="FC68" s="57" t="n"/>
      <c r="FD68" s="57" t="n"/>
      <c r="FE68" s="57" t="n"/>
      <c r="FF68" s="67">
        <f>SUM(FB68:FE68)</f>
        <v/>
      </c>
      <c r="FG68" s="61" t="n"/>
      <c r="FH68" s="57" t="n"/>
      <c r="FI68" s="66">
        <f>EY68</f>
        <v/>
      </c>
      <c r="FJ68" s="59" t="n"/>
      <c r="FK68" s="57" t="n"/>
      <c r="FL68" s="57" t="n"/>
      <c r="FM68" s="57" t="n"/>
      <c r="FN68" s="57" t="n"/>
      <c r="FO68" s="67">
        <f>SUM(FK68:FN68)</f>
        <v/>
      </c>
      <c r="FP68" s="61" t="n"/>
      <c r="FQ68" s="57" t="n"/>
      <c r="FR68" s="66">
        <f>FH68</f>
        <v/>
      </c>
      <c r="FS68" s="59" t="n"/>
      <c r="FT68" s="57" t="n"/>
      <c r="FU68" s="57" t="n"/>
      <c r="FV68" s="57" t="n"/>
      <c r="FW68" s="57" t="n"/>
      <c r="FX68" s="67">
        <f>SUM(FT68:FW68)</f>
        <v/>
      </c>
      <c r="FY68" s="61" t="n"/>
      <c r="FZ68" s="57" t="n"/>
      <c r="GA68" s="66">
        <f>FQ68</f>
        <v/>
      </c>
      <c r="GB68" s="59" t="n"/>
      <c r="GC68" s="57" t="n"/>
      <c r="GD68" s="57" t="n"/>
      <c r="GE68" s="57" t="n"/>
      <c r="GF68" s="57" t="n"/>
      <c r="GG68" s="67">
        <f>SUM(GC68:GF68)</f>
        <v/>
      </c>
      <c r="GH68" s="61" t="n"/>
      <c r="GI68" s="57" t="n"/>
      <c r="GJ68" s="66">
        <f>FZ68</f>
        <v/>
      </c>
      <c r="GK68" s="59" t="n"/>
      <c r="GL68" s="57" t="n"/>
      <c r="GM68" s="57" t="n"/>
      <c r="GN68" s="57" t="n"/>
      <c r="GO68" s="57" t="n"/>
      <c r="GP68" s="67">
        <f>SUM(GL68:GO68)</f>
        <v/>
      </c>
      <c r="GQ68" s="61" t="n"/>
      <c r="GR68" s="57" t="n"/>
      <c r="GS68" s="66">
        <f>GI68</f>
        <v/>
      </c>
      <c r="GT68" s="59" t="n"/>
      <c r="GU68" s="57" t="n"/>
      <c r="GV68" s="57" t="n"/>
      <c r="GW68" s="57" t="n"/>
      <c r="GX68" s="57" t="n"/>
      <c r="GY68" s="67">
        <f>SUM(GU68:GX68)</f>
        <v/>
      </c>
      <c r="GZ68" s="61" t="n"/>
      <c r="HA68" s="57" t="n"/>
      <c r="HB68" s="66">
        <f>GR68</f>
        <v/>
      </c>
      <c r="HC68" s="59" t="n"/>
      <c r="HD68" s="57" t="n"/>
      <c r="HE68" s="57" t="n"/>
      <c r="HF68" s="57" t="n"/>
      <c r="HG68" s="57" t="n"/>
      <c r="HH68" s="67">
        <f>SUM(HD68:HG68)</f>
        <v/>
      </c>
      <c r="HI68" s="61" t="n"/>
      <c r="HJ68" s="57" t="n"/>
      <c r="HK68" s="66">
        <f>HA68</f>
        <v/>
      </c>
      <c r="HL68" s="59" t="n"/>
      <c r="HM68" s="57" t="n"/>
      <c r="HN68" s="57" t="n"/>
      <c r="HO68" s="57" t="n"/>
      <c r="HP68" s="57" t="n"/>
      <c r="HQ68" s="67">
        <f>SUM(HM68:HP68)</f>
        <v/>
      </c>
      <c r="HR68" s="61" t="n"/>
      <c r="HS68" s="57" t="n"/>
      <c r="HT68" s="66">
        <f>HJ68</f>
        <v/>
      </c>
      <c r="HU68" s="59" t="n"/>
      <c r="HV68" s="57" t="n"/>
      <c r="HW68" s="57" t="n"/>
      <c r="HX68" s="57" t="n"/>
      <c r="HY68" s="57" t="n"/>
      <c r="HZ68" s="67">
        <f>SUM(HV68:HY68)</f>
        <v/>
      </c>
      <c r="IA68" s="61" t="n"/>
      <c r="IB68" s="57" t="n"/>
      <c r="IC68" s="66">
        <f>HS68</f>
        <v/>
      </c>
      <c r="ID68" s="59" t="n"/>
      <c r="IE68" s="57" t="n"/>
      <c r="IF68" s="57" t="n"/>
      <c r="IG68" s="57" t="n"/>
      <c r="IH68" s="57" t="n"/>
      <c r="II68" s="67">
        <f>SUM(IE68:IH68)</f>
        <v/>
      </c>
      <c r="IJ68" s="61" t="n"/>
      <c r="IK68" s="57" t="n"/>
      <c r="IL68" s="66">
        <f>IB68</f>
        <v/>
      </c>
      <c r="IM68" s="59" t="n"/>
      <c r="IN68" s="57" t="n"/>
      <c r="IO68" s="57" t="n"/>
      <c r="IP68" s="57" t="n"/>
      <c r="IQ68" s="57" t="n"/>
      <c r="IR68" s="67">
        <f>SUM(IN68:IQ68)</f>
        <v/>
      </c>
      <c r="IS68" s="61" t="n"/>
      <c r="IT68" s="57" t="n"/>
      <c r="IU68" s="66">
        <f>IK68</f>
        <v/>
      </c>
      <c r="IV68" s="59" t="n"/>
      <c r="IW68" s="57" t="n"/>
      <c r="IX68" s="57" t="n"/>
      <c r="IY68" s="57" t="n"/>
      <c r="IZ68" s="57" t="n"/>
      <c r="JA68" s="67">
        <f>SUM(IW68:IZ68)</f>
        <v/>
      </c>
      <c r="JB68" s="61" t="n"/>
      <c r="JC68" s="57" t="n"/>
      <c r="JD68" s="66">
        <f>IT68</f>
        <v/>
      </c>
      <c r="JE68" s="59" t="n"/>
      <c r="JF68" s="57" t="n"/>
      <c r="JG68" s="57" t="n"/>
      <c r="JH68" s="57" t="n"/>
      <c r="JI68" s="57" t="n"/>
      <c r="JJ68" s="67">
        <f>SUM(JF68:JI68)</f>
        <v/>
      </c>
      <c r="JK68" s="61" t="n"/>
      <c r="JL68" s="57" t="n"/>
      <c r="JM68" s="66">
        <f>JC68</f>
        <v/>
      </c>
      <c r="JN68" s="59" t="n"/>
      <c r="JO68" s="57" t="n"/>
      <c r="JP68" s="57" t="n"/>
      <c r="JQ68" s="57" t="n"/>
      <c r="JR68" s="57" t="n"/>
      <c r="JS68" s="67">
        <f>SUM(JO68:JR68)</f>
        <v/>
      </c>
      <c r="JT68" s="61" t="n"/>
      <c r="JU68" s="62">
        <f>I68+R68+AA68+AJ68+AS68+BB68+BK68+BT68+CC68+CL68+CU68+DD68+DM68+DV68+EE68+EN68+EW68+FF68+FO68+FX68+GG68+GP68+GY68+HH68+HQ68+HZ68+II68+IR68+JA68+JJ68+JS68</f>
        <v/>
      </c>
      <c r="JV68" s="63">
        <f>D68+M68+V68+AE68+AN68+AW68+BF68+BO68+BX68+CG68+CP68+CY68+DH68+DQ68+DZ68+EI68+ER68+FA68+FJ68+FS68+GB68+GK68+GT68+HC68+HL68+HU68+ID68+IM68+IV68+JE68+JN68</f>
        <v/>
      </c>
      <c r="JW68" s="62">
        <f>CHOOSE($Z$3,B68, K68, T68, AC68, AL68, AU68, BD68, BM68, BV68, CE68, CN68, CW68, DF68, DO68, DX68, EG68, EP68, EY68, FH68, FQ68, FZ68, GI68, GR68, HA68, HJ68, HS68, IB68, IK68, IT68, JC68, JL68)</f>
        <v/>
      </c>
      <c r="JX68" s="62">
        <f>IFERROR(JU68/$Z$3,0)</f>
        <v/>
      </c>
      <c r="JY68" s="62">
        <f>Configurações!$C$8</f>
        <v/>
      </c>
      <c r="JZ68" s="64">
        <f>IF(JY68=0,"— Sem meta",IF(JU68&gt;=JY68,"✓ Atingida","Em andamento"))</f>
        <v/>
      </c>
      <c r="KA68" s="65">
        <f>JU68+(12*0.0000001)</f>
        <v/>
      </c>
    </row>
    <row r="69" ht="20" customHeight="1">
      <c r="A69" s="56">
        <f>IF(Configurações!$B$9="","Assessor 3",Configurações!$B$9)</f>
        <v/>
      </c>
      <c r="B69" s="57" t="n"/>
      <c r="C69" s="58">
        <f>'Junho'!$JW69</f>
        <v/>
      </c>
      <c r="D69" s="59" t="n"/>
      <c r="E69" s="57" t="n"/>
      <c r="F69" s="57" t="n"/>
      <c r="G69" s="57" t="n"/>
      <c r="H69" s="57" t="n"/>
      <c r="I69" s="60">
        <f>SUM(E69:H69)</f>
        <v/>
      </c>
      <c r="J69" s="61" t="n"/>
      <c r="K69" s="57" t="n"/>
      <c r="L69" s="58">
        <f>B69</f>
        <v/>
      </c>
      <c r="M69" s="59" t="n"/>
      <c r="N69" s="57" t="n"/>
      <c r="O69" s="57" t="n"/>
      <c r="P69" s="57" t="n"/>
      <c r="Q69" s="57" t="n"/>
      <c r="R69" s="60">
        <f>SUM(N69:Q69)</f>
        <v/>
      </c>
      <c r="S69" s="61" t="n"/>
      <c r="T69" s="57" t="n"/>
      <c r="U69" s="58">
        <f>K69</f>
        <v/>
      </c>
      <c r="V69" s="59" t="n"/>
      <c r="W69" s="57" t="n"/>
      <c r="X69" s="57" t="n"/>
      <c r="Y69" s="57" t="n"/>
      <c r="Z69" s="57" t="n"/>
      <c r="AA69" s="60">
        <f>SUM(W69:Z69)</f>
        <v/>
      </c>
      <c r="AB69" s="61" t="n"/>
      <c r="AC69" s="57" t="n"/>
      <c r="AD69" s="58">
        <f>T69</f>
        <v/>
      </c>
      <c r="AE69" s="59" t="n"/>
      <c r="AF69" s="57" t="n"/>
      <c r="AG69" s="57" t="n"/>
      <c r="AH69" s="57" t="n"/>
      <c r="AI69" s="57" t="n"/>
      <c r="AJ69" s="60">
        <f>SUM(AF69:AI69)</f>
        <v/>
      </c>
      <c r="AK69" s="61" t="n"/>
      <c r="AL69" s="57" t="n"/>
      <c r="AM69" s="58">
        <f>AC69</f>
        <v/>
      </c>
      <c r="AN69" s="59" t="n"/>
      <c r="AO69" s="57" t="n"/>
      <c r="AP69" s="57" t="n"/>
      <c r="AQ69" s="57" t="n"/>
      <c r="AR69" s="57" t="n"/>
      <c r="AS69" s="60">
        <f>SUM(AO69:AR69)</f>
        <v/>
      </c>
      <c r="AT69" s="61" t="n"/>
      <c r="AU69" s="57" t="n"/>
      <c r="AV69" s="58">
        <f>AL69</f>
        <v/>
      </c>
      <c r="AW69" s="59" t="n"/>
      <c r="AX69" s="57" t="n"/>
      <c r="AY69" s="57" t="n"/>
      <c r="AZ69" s="57" t="n"/>
      <c r="BA69" s="57" t="n"/>
      <c r="BB69" s="60">
        <f>SUM(AX69:BA69)</f>
        <v/>
      </c>
      <c r="BC69" s="61" t="n"/>
      <c r="BD69" s="57" t="n"/>
      <c r="BE69" s="58">
        <f>AU69</f>
        <v/>
      </c>
      <c r="BF69" s="59" t="n"/>
      <c r="BG69" s="57" t="n"/>
      <c r="BH69" s="57" t="n"/>
      <c r="BI69" s="57" t="n"/>
      <c r="BJ69" s="57" t="n"/>
      <c r="BK69" s="60">
        <f>SUM(BG69:BJ69)</f>
        <v/>
      </c>
      <c r="BL69" s="61" t="n"/>
      <c r="BM69" s="57" t="n"/>
      <c r="BN69" s="58">
        <f>BD69</f>
        <v/>
      </c>
      <c r="BO69" s="59" t="n"/>
      <c r="BP69" s="57" t="n"/>
      <c r="BQ69" s="57" t="n"/>
      <c r="BR69" s="57" t="n"/>
      <c r="BS69" s="57" t="n"/>
      <c r="BT69" s="60">
        <f>SUM(BP69:BS69)</f>
        <v/>
      </c>
      <c r="BU69" s="61" t="n"/>
      <c r="BV69" s="57" t="n"/>
      <c r="BW69" s="58">
        <f>BM69</f>
        <v/>
      </c>
      <c r="BX69" s="59" t="n"/>
      <c r="BY69" s="57" t="n"/>
      <c r="BZ69" s="57" t="n"/>
      <c r="CA69" s="57" t="n"/>
      <c r="CB69" s="57" t="n"/>
      <c r="CC69" s="60">
        <f>SUM(BY69:CB69)</f>
        <v/>
      </c>
      <c r="CD69" s="61" t="n"/>
      <c r="CE69" s="57" t="n"/>
      <c r="CF69" s="58">
        <f>BV69</f>
        <v/>
      </c>
      <c r="CG69" s="59" t="n"/>
      <c r="CH69" s="57" t="n"/>
      <c r="CI69" s="57" t="n"/>
      <c r="CJ69" s="57" t="n"/>
      <c r="CK69" s="57" t="n"/>
      <c r="CL69" s="60">
        <f>SUM(CH69:CK69)</f>
        <v/>
      </c>
      <c r="CM69" s="61" t="n"/>
      <c r="CN69" s="57" t="n"/>
      <c r="CO69" s="58">
        <f>CE69</f>
        <v/>
      </c>
      <c r="CP69" s="59" t="n"/>
      <c r="CQ69" s="57" t="n"/>
      <c r="CR69" s="57" t="n"/>
      <c r="CS69" s="57" t="n"/>
      <c r="CT69" s="57" t="n"/>
      <c r="CU69" s="60">
        <f>SUM(CQ69:CT69)</f>
        <v/>
      </c>
      <c r="CV69" s="61" t="n"/>
      <c r="CW69" s="57" t="n"/>
      <c r="CX69" s="58">
        <f>CN69</f>
        <v/>
      </c>
      <c r="CY69" s="59" t="n"/>
      <c r="CZ69" s="57" t="n"/>
      <c r="DA69" s="57" t="n"/>
      <c r="DB69" s="57" t="n"/>
      <c r="DC69" s="57" t="n"/>
      <c r="DD69" s="60">
        <f>SUM(CZ69:DC69)</f>
        <v/>
      </c>
      <c r="DE69" s="61" t="n"/>
      <c r="DF69" s="57" t="n"/>
      <c r="DG69" s="58">
        <f>CW69</f>
        <v/>
      </c>
      <c r="DH69" s="59" t="n"/>
      <c r="DI69" s="57" t="n"/>
      <c r="DJ69" s="57" t="n"/>
      <c r="DK69" s="57" t="n"/>
      <c r="DL69" s="57" t="n"/>
      <c r="DM69" s="60">
        <f>SUM(DI69:DL69)</f>
        <v/>
      </c>
      <c r="DN69" s="61" t="n"/>
      <c r="DO69" s="57" t="n"/>
      <c r="DP69" s="58">
        <f>DF69</f>
        <v/>
      </c>
      <c r="DQ69" s="59" t="n"/>
      <c r="DR69" s="57" t="n"/>
      <c r="DS69" s="57" t="n"/>
      <c r="DT69" s="57" t="n"/>
      <c r="DU69" s="57" t="n"/>
      <c r="DV69" s="60">
        <f>SUM(DR69:DU69)</f>
        <v/>
      </c>
      <c r="DW69" s="61" t="n"/>
      <c r="DX69" s="57" t="n"/>
      <c r="DY69" s="58">
        <f>DO69</f>
        <v/>
      </c>
      <c r="DZ69" s="59" t="n"/>
      <c r="EA69" s="57" t="n"/>
      <c r="EB69" s="57" t="n"/>
      <c r="EC69" s="57" t="n"/>
      <c r="ED69" s="57" t="n"/>
      <c r="EE69" s="60">
        <f>SUM(EA69:ED69)</f>
        <v/>
      </c>
      <c r="EF69" s="61" t="n"/>
      <c r="EG69" s="57" t="n"/>
      <c r="EH69" s="58">
        <f>DX69</f>
        <v/>
      </c>
      <c r="EI69" s="59" t="n"/>
      <c r="EJ69" s="57" t="n"/>
      <c r="EK69" s="57" t="n"/>
      <c r="EL69" s="57" t="n"/>
      <c r="EM69" s="57" t="n"/>
      <c r="EN69" s="60">
        <f>SUM(EJ69:EM69)</f>
        <v/>
      </c>
      <c r="EO69" s="61" t="n"/>
      <c r="EP69" s="57" t="n"/>
      <c r="EQ69" s="58">
        <f>EG69</f>
        <v/>
      </c>
      <c r="ER69" s="59" t="n"/>
      <c r="ES69" s="57" t="n"/>
      <c r="ET69" s="57" t="n"/>
      <c r="EU69" s="57" t="n"/>
      <c r="EV69" s="57" t="n"/>
      <c r="EW69" s="60">
        <f>SUM(ES69:EV69)</f>
        <v/>
      </c>
      <c r="EX69" s="61" t="n"/>
      <c r="EY69" s="57" t="n"/>
      <c r="EZ69" s="58">
        <f>EP69</f>
        <v/>
      </c>
      <c r="FA69" s="59" t="n"/>
      <c r="FB69" s="57" t="n"/>
      <c r="FC69" s="57" t="n"/>
      <c r="FD69" s="57" t="n"/>
      <c r="FE69" s="57" t="n"/>
      <c r="FF69" s="60">
        <f>SUM(FB69:FE69)</f>
        <v/>
      </c>
      <c r="FG69" s="61" t="n"/>
      <c r="FH69" s="57" t="n"/>
      <c r="FI69" s="58">
        <f>EY69</f>
        <v/>
      </c>
      <c r="FJ69" s="59" t="n"/>
      <c r="FK69" s="57" t="n"/>
      <c r="FL69" s="57" t="n"/>
      <c r="FM69" s="57" t="n"/>
      <c r="FN69" s="57" t="n"/>
      <c r="FO69" s="60">
        <f>SUM(FK69:FN69)</f>
        <v/>
      </c>
      <c r="FP69" s="61" t="n"/>
      <c r="FQ69" s="57" t="n"/>
      <c r="FR69" s="58">
        <f>FH69</f>
        <v/>
      </c>
      <c r="FS69" s="59" t="n"/>
      <c r="FT69" s="57" t="n"/>
      <c r="FU69" s="57" t="n"/>
      <c r="FV69" s="57" t="n"/>
      <c r="FW69" s="57" t="n"/>
      <c r="FX69" s="60">
        <f>SUM(FT69:FW69)</f>
        <v/>
      </c>
      <c r="FY69" s="61" t="n"/>
      <c r="FZ69" s="57" t="n"/>
      <c r="GA69" s="58">
        <f>FQ69</f>
        <v/>
      </c>
      <c r="GB69" s="59" t="n"/>
      <c r="GC69" s="57" t="n"/>
      <c r="GD69" s="57" t="n"/>
      <c r="GE69" s="57" t="n"/>
      <c r="GF69" s="57" t="n"/>
      <c r="GG69" s="60">
        <f>SUM(GC69:GF69)</f>
        <v/>
      </c>
      <c r="GH69" s="61" t="n"/>
      <c r="GI69" s="57" t="n"/>
      <c r="GJ69" s="58">
        <f>FZ69</f>
        <v/>
      </c>
      <c r="GK69" s="59" t="n"/>
      <c r="GL69" s="57" t="n"/>
      <c r="GM69" s="57" t="n"/>
      <c r="GN69" s="57" t="n"/>
      <c r="GO69" s="57" t="n"/>
      <c r="GP69" s="60">
        <f>SUM(GL69:GO69)</f>
        <v/>
      </c>
      <c r="GQ69" s="61" t="n"/>
      <c r="GR69" s="57" t="n"/>
      <c r="GS69" s="58">
        <f>GI69</f>
        <v/>
      </c>
      <c r="GT69" s="59" t="n"/>
      <c r="GU69" s="57" t="n"/>
      <c r="GV69" s="57" t="n"/>
      <c r="GW69" s="57" t="n"/>
      <c r="GX69" s="57" t="n"/>
      <c r="GY69" s="60">
        <f>SUM(GU69:GX69)</f>
        <v/>
      </c>
      <c r="GZ69" s="61" t="n"/>
      <c r="HA69" s="57" t="n"/>
      <c r="HB69" s="58">
        <f>GR69</f>
        <v/>
      </c>
      <c r="HC69" s="59" t="n"/>
      <c r="HD69" s="57" t="n"/>
      <c r="HE69" s="57" t="n"/>
      <c r="HF69" s="57" t="n"/>
      <c r="HG69" s="57" t="n"/>
      <c r="HH69" s="60">
        <f>SUM(HD69:HG69)</f>
        <v/>
      </c>
      <c r="HI69" s="61" t="n"/>
      <c r="HJ69" s="57" t="n"/>
      <c r="HK69" s="58">
        <f>HA69</f>
        <v/>
      </c>
      <c r="HL69" s="59" t="n"/>
      <c r="HM69" s="57" t="n"/>
      <c r="HN69" s="57" t="n"/>
      <c r="HO69" s="57" t="n"/>
      <c r="HP69" s="57" t="n"/>
      <c r="HQ69" s="60">
        <f>SUM(HM69:HP69)</f>
        <v/>
      </c>
      <c r="HR69" s="61" t="n"/>
      <c r="HS69" s="57" t="n"/>
      <c r="HT69" s="58">
        <f>HJ69</f>
        <v/>
      </c>
      <c r="HU69" s="59" t="n"/>
      <c r="HV69" s="57" t="n"/>
      <c r="HW69" s="57" t="n"/>
      <c r="HX69" s="57" t="n"/>
      <c r="HY69" s="57" t="n"/>
      <c r="HZ69" s="60">
        <f>SUM(HV69:HY69)</f>
        <v/>
      </c>
      <c r="IA69" s="61" t="n"/>
      <c r="IB69" s="57" t="n"/>
      <c r="IC69" s="58">
        <f>HS69</f>
        <v/>
      </c>
      <c r="ID69" s="59" t="n"/>
      <c r="IE69" s="57" t="n"/>
      <c r="IF69" s="57" t="n"/>
      <c r="IG69" s="57" t="n"/>
      <c r="IH69" s="57" t="n"/>
      <c r="II69" s="60">
        <f>SUM(IE69:IH69)</f>
        <v/>
      </c>
      <c r="IJ69" s="61" t="n"/>
      <c r="IK69" s="57" t="n"/>
      <c r="IL69" s="58">
        <f>IB69</f>
        <v/>
      </c>
      <c r="IM69" s="59" t="n"/>
      <c r="IN69" s="57" t="n"/>
      <c r="IO69" s="57" t="n"/>
      <c r="IP69" s="57" t="n"/>
      <c r="IQ69" s="57" t="n"/>
      <c r="IR69" s="60">
        <f>SUM(IN69:IQ69)</f>
        <v/>
      </c>
      <c r="IS69" s="61" t="n"/>
      <c r="IT69" s="57" t="n"/>
      <c r="IU69" s="58">
        <f>IK69</f>
        <v/>
      </c>
      <c r="IV69" s="59" t="n"/>
      <c r="IW69" s="57" t="n"/>
      <c r="IX69" s="57" t="n"/>
      <c r="IY69" s="57" t="n"/>
      <c r="IZ69" s="57" t="n"/>
      <c r="JA69" s="60">
        <f>SUM(IW69:IZ69)</f>
        <v/>
      </c>
      <c r="JB69" s="61" t="n"/>
      <c r="JC69" s="57" t="n"/>
      <c r="JD69" s="58">
        <f>IT69</f>
        <v/>
      </c>
      <c r="JE69" s="59" t="n"/>
      <c r="JF69" s="57" t="n"/>
      <c r="JG69" s="57" t="n"/>
      <c r="JH69" s="57" t="n"/>
      <c r="JI69" s="57" t="n"/>
      <c r="JJ69" s="60">
        <f>SUM(JF69:JI69)</f>
        <v/>
      </c>
      <c r="JK69" s="61" t="n"/>
      <c r="JL69" s="57" t="n"/>
      <c r="JM69" s="58">
        <f>JC69</f>
        <v/>
      </c>
      <c r="JN69" s="59" t="n"/>
      <c r="JO69" s="57" t="n"/>
      <c r="JP69" s="57" t="n"/>
      <c r="JQ69" s="57" t="n"/>
      <c r="JR69" s="57" t="n"/>
      <c r="JS69" s="60">
        <f>SUM(JO69:JR69)</f>
        <v/>
      </c>
      <c r="JT69" s="61" t="n"/>
      <c r="JU69" s="62">
        <f>I69+R69+AA69+AJ69+AS69+BB69+BK69+BT69+CC69+CL69+CU69+DD69+DM69+DV69+EE69+EN69+EW69+FF69+FO69+FX69+GG69+GP69+GY69+HH69+HQ69+HZ69+II69+IR69+JA69+JJ69+JS69</f>
        <v/>
      </c>
      <c r="JV69" s="63">
        <f>D69+M69+V69+AE69+AN69+AW69+BF69+BO69+BX69+CG69+CP69+CY69+DH69+DQ69+DZ69+EI69+ER69+FA69+FJ69+FS69+GB69+GK69+GT69+HC69+HL69+HU69+ID69+IM69+IV69+JE69+JN69</f>
        <v/>
      </c>
      <c r="JW69" s="62">
        <f>CHOOSE($Z$3,B69, K69, T69, AC69, AL69, AU69, BD69, BM69, BV69, CE69, CN69, CW69, DF69, DO69, DX69, EG69, EP69, EY69, FH69, FQ69, FZ69, GI69, GR69, HA69, HJ69, HS69, IB69, IK69, IT69, JC69, JL69)</f>
        <v/>
      </c>
      <c r="JX69" s="62">
        <f>IFERROR(JU69/$Z$3,0)</f>
        <v/>
      </c>
      <c r="JY69" s="62">
        <f>Configurações!$C$9</f>
        <v/>
      </c>
      <c r="JZ69" s="64">
        <f>IF(JY69=0,"— Sem meta",IF(JU69&gt;=JY69,"✓ Atingida","Em andamento"))</f>
        <v/>
      </c>
      <c r="KA69" s="65">
        <f>JU69+(11*0.0000001)</f>
        <v/>
      </c>
    </row>
    <row r="70" ht="20" customHeight="1">
      <c r="A70" s="56">
        <f>IF(Configurações!$B$10="","Assessor 4",Configurações!$B$10)</f>
        <v/>
      </c>
      <c r="B70" s="57" t="n"/>
      <c r="C70" s="66">
        <f>'Junho'!$JW70</f>
        <v/>
      </c>
      <c r="D70" s="59" t="n"/>
      <c r="E70" s="57" t="n"/>
      <c r="F70" s="57" t="n"/>
      <c r="G70" s="57" t="n"/>
      <c r="H70" s="57" t="n"/>
      <c r="I70" s="67">
        <f>SUM(E70:H70)</f>
        <v/>
      </c>
      <c r="J70" s="61" t="n"/>
      <c r="K70" s="57" t="n"/>
      <c r="L70" s="66">
        <f>B70</f>
        <v/>
      </c>
      <c r="M70" s="59" t="n"/>
      <c r="N70" s="57" t="n"/>
      <c r="O70" s="57" t="n"/>
      <c r="P70" s="57" t="n"/>
      <c r="Q70" s="57" t="n"/>
      <c r="R70" s="67">
        <f>SUM(N70:Q70)</f>
        <v/>
      </c>
      <c r="S70" s="61" t="n"/>
      <c r="T70" s="57" t="n"/>
      <c r="U70" s="66">
        <f>K70</f>
        <v/>
      </c>
      <c r="V70" s="59" t="n"/>
      <c r="W70" s="57" t="n"/>
      <c r="X70" s="57" t="n"/>
      <c r="Y70" s="57" t="n"/>
      <c r="Z70" s="57" t="n"/>
      <c r="AA70" s="67">
        <f>SUM(W70:Z70)</f>
        <v/>
      </c>
      <c r="AB70" s="61" t="n"/>
      <c r="AC70" s="57" t="n"/>
      <c r="AD70" s="66">
        <f>T70</f>
        <v/>
      </c>
      <c r="AE70" s="59" t="n"/>
      <c r="AF70" s="57" t="n"/>
      <c r="AG70" s="57" t="n"/>
      <c r="AH70" s="57" t="n"/>
      <c r="AI70" s="57" t="n"/>
      <c r="AJ70" s="67">
        <f>SUM(AF70:AI70)</f>
        <v/>
      </c>
      <c r="AK70" s="61" t="n"/>
      <c r="AL70" s="57" t="n"/>
      <c r="AM70" s="66">
        <f>AC70</f>
        <v/>
      </c>
      <c r="AN70" s="59" t="n"/>
      <c r="AO70" s="57" t="n"/>
      <c r="AP70" s="57" t="n"/>
      <c r="AQ70" s="57" t="n"/>
      <c r="AR70" s="57" t="n"/>
      <c r="AS70" s="67">
        <f>SUM(AO70:AR70)</f>
        <v/>
      </c>
      <c r="AT70" s="61" t="n"/>
      <c r="AU70" s="57" t="n"/>
      <c r="AV70" s="66">
        <f>AL70</f>
        <v/>
      </c>
      <c r="AW70" s="59" t="n"/>
      <c r="AX70" s="57" t="n"/>
      <c r="AY70" s="57" t="n"/>
      <c r="AZ70" s="57" t="n"/>
      <c r="BA70" s="57" t="n"/>
      <c r="BB70" s="67">
        <f>SUM(AX70:BA70)</f>
        <v/>
      </c>
      <c r="BC70" s="61" t="n"/>
      <c r="BD70" s="57" t="n"/>
      <c r="BE70" s="66">
        <f>AU70</f>
        <v/>
      </c>
      <c r="BF70" s="59" t="n"/>
      <c r="BG70" s="57" t="n"/>
      <c r="BH70" s="57" t="n"/>
      <c r="BI70" s="57" t="n"/>
      <c r="BJ70" s="57" t="n"/>
      <c r="BK70" s="67">
        <f>SUM(BG70:BJ70)</f>
        <v/>
      </c>
      <c r="BL70" s="61" t="n"/>
      <c r="BM70" s="57" t="n"/>
      <c r="BN70" s="66">
        <f>BD70</f>
        <v/>
      </c>
      <c r="BO70" s="59" t="n"/>
      <c r="BP70" s="57" t="n"/>
      <c r="BQ70" s="57" t="n"/>
      <c r="BR70" s="57" t="n"/>
      <c r="BS70" s="57" t="n"/>
      <c r="BT70" s="67">
        <f>SUM(BP70:BS70)</f>
        <v/>
      </c>
      <c r="BU70" s="61" t="n"/>
      <c r="BV70" s="57" t="n"/>
      <c r="BW70" s="66">
        <f>BM70</f>
        <v/>
      </c>
      <c r="BX70" s="59" t="n"/>
      <c r="BY70" s="57" t="n"/>
      <c r="BZ70" s="57" t="n"/>
      <c r="CA70" s="57" t="n"/>
      <c r="CB70" s="57" t="n"/>
      <c r="CC70" s="67">
        <f>SUM(BY70:CB70)</f>
        <v/>
      </c>
      <c r="CD70" s="61" t="n"/>
      <c r="CE70" s="57" t="n"/>
      <c r="CF70" s="66">
        <f>BV70</f>
        <v/>
      </c>
      <c r="CG70" s="59" t="n"/>
      <c r="CH70" s="57" t="n"/>
      <c r="CI70" s="57" t="n"/>
      <c r="CJ70" s="57" t="n"/>
      <c r="CK70" s="57" t="n"/>
      <c r="CL70" s="67">
        <f>SUM(CH70:CK70)</f>
        <v/>
      </c>
      <c r="CM70" s="61" t="n"/>
      <c r="CN70" s="57" t="n"/>
      <c r="CO70" s="66">
        <f>CE70</f>
        <v/>
      </c>
      <c r="CP70" s="59" t="n"/>
      <c r="CQ70" s="57" t="n"/>
      <c r="CR70" s="57" t="n"/>
      <c r="CS70" s="57" t="n"/>
      <c r="CT70" s="57" t="n"/>
      <c r="CU70" s="67">
        <f>SUM(CQ70:CT70)</f>
        <v/>
      </c>
      <c r="CV70" s="61" t="n"/>
      <c r="CW70" s="57" t="n"/>
      <c r="CX70" s="66">
        <f>CN70</f>
        <v/>
      </c>
      <c r="CY70" s="59" t="n"/>
      <c r="CZ70" s="57" t="n"/>
      <c r="DA70" s="57" t="n"/>
      <c r="DB70" s="57" t="n"/>
      <c r="DC70" s="57" t="n"/>
      <c r="DD70" s="67">
        <f>SUM(CZ70:DC70)</f>
        <v/>
      </c>
      <c r="DE70" s="61" t="n"/>
      <c r="DF70" s="57" t="n"/>
      <c r="DG70" s="66">
        <f>CW70</f>
        <v/>
      </c>
      <c r="DH70" s="59" t="n"/>
      <c r="DI70" s="57" t="n"/>
      <c r="DJ70" s="57" t="n"/>
      <c r="DK70" s="57" t="n"/>
      <c r="DL70" s="57" t="n"/>
      <c r="DM70" s="67">
        <f>SUM(DI70:DL70)</f>
        <v/>
      </c>
      <c r="DN70" s="61" t="n"/>
      <c r="DO70" s="57" t="n"/>
      <c r="DP70" s="66">
        <f>DF70</f>
        <v/>
      </c>
      <c r="DQ70" s="59" t="n"/>
      <c r="DR70" s="57" t="n"/>
      <c r="DS70" s="57" t="n"/>
      <c r="DT70" s="57" t="n"/>
      <c r="DU70" s="57" t="n"/>
      <c r="DV70" s="67">
        <f>SUM(DR70:DU70)</f>
        <v/>
      </c>
      <c r="DW70" s="61" t="n"/>
      <c r="DX70" s="57" t="n"/>
      <c r="DY70" s="66">
        <f>DO70</f>
        <v/>
      </c>
      <c r="DZ70" s="59" t="n"/>
      <c r="EA70" s="57" t="n"/>
      <c r="EB70" s="57" t="n"/>
      <c r="EC70" s="57" t="n"/>
      <c r="ED70" s="57" t="n"/>
      <c r="EE70" s="67">
        <f>SUM(EA70:ED70)</f>
        <v/>
      </c>
      <c r="EF70" s="61" t="n"/>
      <c r="EG70" s="57" t="n"/>
      <c r="EH70" s="66">
        <f>DX70</f>
        <v/>
      </c>
      <c r="EI70" s="59" t="n"/>
      <c r="EJ70" s="57" t="n"/>
      <c r="EK70" s="57" t="n"/>
      <c r="EL70" s="57" t="n"/>
      <c r="EM70" s="57" t="n"/>
      <c r="EN70" s="67">
        <f>SUM(EJ70:EM70)</f>
        <v/>
      </c>
      <c r="EO70" s="61" t="n"/>
      <c r="EP70" s="57" t="n"/>
      <c r="EQ70" s="66">
        <f>EG70</f>
        <v/>
      </c>
      <c r="ER70" s="59" t="n"/>
      <c r="ES70" s="57" t="n"/>
      <c r="ET70" s="57" t="n"/>
      <c r="EU70" s="57" t="n"/>
      <c r="EV70" s="57" t="n"/>
      <c r="EW70" s="67">
        <f>SUM(ES70:EV70)</f>
        <v/>
      </c>
      <c r="EX70" s="61" t="n"/>
      <c r="EY70" s="57" t="n"/>
      <c r="EZ70" s="66">
        <f>EP70</f>
        <v/>
      </c>
      <c r="FA70" s="59" t="n"/>
      <c r="FB70" s="57" t="n"/>
      <c r="FC70" s="57" t="n"/>
      <c r="FD70" s="57" t="n"/>
      <c r="FE70" s="57" t="n"/>
      <c r="FF70" s="67">
        <f>SUM(FB70:FE70)</f>
        <v/>
      </c>
      <c r="FG70" s="61" t="n"/>
      <c r="FH70" s="57" t="n"/>
      <c r="FI70" s="66">
        <f>EY70</f>
        <v/>
      </c>
      <c r="FJ70" s="59" t="n"/>
      <c r="FK70" s="57" t="n"/>
      <c r="FL70" s="57" t="n"/>
      <c r="FM70" s="57" t="n"/>
      <c r="FN70" s="57" t="n"/>
      <c r="FO70" s="67">
        <f>SUM(FK70:FN70)</f>
        <v/>
      </c>
      <c r="FP70" s="61" t="n"/>
      <c r="FQ70" s="57" t="n"/>
      <c r="FR70" s="66">
        <f>FH70</f>
        <v/>
      </c>
      <c r="FS70" s="59" t="n"/>
      <c r="FT70" s="57" t="n"/>
      <c r="FU70" s="57" t="n"/>
      <c r="FV70" s="57" t="n"/>
      <c r="FW70" s="57" t="n"/>
      <c r="FX70" s="67">
        <f>SUM(FT70:FW70)</f>
        <v/>
      </c>
      <c r="FY70" s="61" t="n"/>
      <c r="FZ70" s="57" t="n"/>
      <c r="GA70" s="66">
        <f>FQ70</f>
        <v/>
      </c>
      <c r="GB70" s="59" t="n"/>
      <c r="GC70" s="57" t="n"/>
      <c r="GD70" s="57" t="n"/>
      <c r="GE70" s="57" t="n"/>
      <c r="GF70" s="57" t="n"/>
      <c r="GG70" s="67">
        <f>SUM(GC70:GF70)</f>
        <v/>
      </c>
      <c r="GH70" s="61" t="n"/>
      <c r="GI70" s="57" t="n"/>
      <c r="GJ70" s="66">
        <f>FZ70</f>
        <v/>
      </c>
      <c r="GK70" s="59" t="n"/>
      <c r="GL70" s="57" t="n"/>
      <c r="GM70" s="57" t="n"/>
      <c r="GN70" s="57" t="n"/>
      <c r="GO70" s="57" t="n"/>
      <c r="GP70" s="67">
        <f>SUM(GL70:GO70)</f>
        <v/>
      </c>
      <c r="GQ70" s="61" t="n"/>
      <c r="GR70" s="57" t="n"/>
      <c r="GS70" s="66">
        <f>GI70</f>
        <v/>
      </c>
      <c r="GT70" s="59" t="n"/>
      <c r="GU70" s="57" t="n"/>
      <c r="GV70" s="57" t="n"/>
      <c r="GW70" s="57" t="n"/>
      <c r="GX70" s="57" t="n"/>
      <c r="GY70" s="67">
        <f>SUM(GU70:GX70)</f>
        <v/>
      </c>
      <c r="GZ70" s="61" t="n"/>
      <c r="HA70" s="57" t="n"/>
      <c r="HB70" s="66">
        <f>GR70</f>
        <v/>
      </c>
      <c r="HC70" s="59" t="n"/>
      <c r="HD70" s="57" t="n"/>
      <c r="HE70" s="57" t="n"/>
      <c r="HF70" s="57" t="n"/>
      <c r="HG70" s="57" t="n"/>
      <c r="HH70" s="67">
        <f>SUM(HD70:HG70)</f>
        <v/>
      </c>
      <c r="HI70" s="61" t="n"/>
      <c r="HJ70" s="57" t="n"/>
      <c r="HK70" s="66">
        <f>HA70</f>
        <v/>
      </c>
      <c r="HL70" s="59" t="n"/>
      <c r="HM70" s="57" t="n"/>
      <c r="HN70" s="57" t="n"/>
      <c r="HO70" s="57" t="n"/>
      <c r="HP70" s="57" t="n"/>
      <c r="HQ70" s="67">
        <f>SUM(HM70:HP70)</f>
        <v/>
      </c>
      <c r="HR70" s="61" t="n"/>
      <c r="HS70" s="57" t="n"/>
      <c r="HT70" s="66">
        <f>HJ70</f>
        <v/>
      </c>
      <c r="HU70" s="59" t="n"/>
      <c r="HV70" s="57" t="n"/>
      <c r="HW70" s="57" t="n"/>
      <c r="HX70" s="57" t="n"/>
      <c r="HY70" s="57" t="n"/>
      <c r="HZ70" s="67">
        <f>SUM(HV70:HY70)</f>
        <v/>
      </c>
      <c r="IA70" s="61" t="n"/>
      <c r="IB70" s="57" t="n"/>
      <c r="IC70" s="66">
        <f>HS70</f>
        <v/>
      </c>
      <c r="ID70" s="59" t="n"/>
      <c r="IE70" s="57" t="n"/>
      <c r="IF70" s="57" t="n"/>
      <c r="IG70" s="57" t="n"/>
      <c r="IH70" s="57" t="n"/>
      <c r="II70" s="67">
        <f>SUM(IE70:IH70)</f>
        <v/>
      </c>
      <c r="IJ70" s="61" t="n"/>
      <c r="IK70" s="57" t="n"/>
      <c r="IL70" s="66">
        <f>IB70</f>
        <v/>
      </c>
      <c r="IM70" s="59" t="n"/>
      <c r="IN70" s="57" t="n"/>
      <c r="IO70" s="57" t="n"/>
      <c r="IP70" s="57" t="n"/>
      <c r="IQ70" s="57" t="n"/>
      <c r="IR70" s="67">
        <f>SUM(IN70:IQ70)</f>
        <v/>
      </c>
      <c r="IS70" s="61" t="n"/>
      <c r="IT70" s="57" t="n"/>
      <c r="IU70" s="66">
        <f>IK70</f>
        <v/>
      </c>
      <c r="IV70" s="59" t="n"/>
      <c r="IW70" s="57" t="n"/>
      <c r="IX70" s="57" t="n"/>
      <c r="IY70" s="57" t="n"/>
      <c r="IZ70" s="57" t="n"/>
      <c r="JA70" s="67">
        <f>SUM(IW70:IZ70)</f>
        <v/>
      </c>
      <c r="JB70" s="61" t="n"/>
      <c r="JC70" s="57" t="n"/>
      <c r="JD70" s="66">
        <f>IT70</f>
        <v/>
      </c>
      <c r="JE70" s="59" t="n"/>
      <c r="JF70" s="57" t="n"/>
      <c r="JG70" s="57" t="n"/>
      <c r="JH70" s="57" t="n"/>
      <c r="JI70" s="57" t="n"/>
      <c r="JJ70" s="67">
        <f>SUM(JF70:JI70)</f>
        <v/>
      </c>
      <c r="JK70" s="61" t="n"/>
      <c r="JL70" s="57" t="n"/>
      <c r="JM70" s="66">
        <f>JC70</f>
        <v/>
      </c>
      <c r="JN70" s="59" t="n"/>
      <c r="JO70" s="57" t="n"/>
      <c r="JP70" s="57" t="n"/>
      <c r="JQ70" s="57" t="n"/>
      <c r="JR70" s="57" t="n"/>
      <c r="JS70" s="67">
        <f>SUM(JO70:JR70)</f>
        <v/>
      </c>
      <c r="JT70" s="61" t="n"/>
      <c r="JU70" s="62">
        <f>I70+R70+AA70+AJ70+AS70+BB70+BK70+BT70+CC70+CL70+CU70+DD70+DM70+DV70+EE70+EN70+EW70+FF70+FO70+FX70+GG70+GP70+GY70+HH70+HQ70+HZ70+II70+IR70+JA70+JJ70+JS70</f>
        <v/>
      </c>
      <c r="JV70" s="63">
        <f>D70+M70+V70+AE70+AN70+AW70+BF70+BO70+BX70+CG70+CP70+CY70+DH70+DQ70+DZ70+EI70+ER70+FA70+FJ70+FS70+GB70+GK70+GT70+HC70+HL70+HU70+ID70+IM70+IV70+JE70+JN70</f>
        <v/>
      </c>
      <c r="JW70" s="62">
        <f>CHOOSE($Z$3,B70, K70, T70, AC70, AL70, AU70, BD70, BM70, BV70, CE70, CN70, CW70, DF70, DO70, DX70, EG70, EP70, EY70, FH70, FQ70, FZ70, GI70, GR70, HA70, HJ70, HS70, IB70, IK70, IT70, JC70, JL70)</f>
        <v/>
      </c>
      <c r="JX70" s="62">
        <f>IFERROR(JU70/$Z$3,0)</f>
        <v/>
      </c>
      <c r="JY70" s="62">
        <f>Configurações!$C$10</f>
        <v/>
      </c>
      <c r="JZ70" s="64">
        <f>IF(JY70=0,"— Sem meta",IF(JU70&gt;=JY70,"✓ Atingida","Em andamento"))</f>
        <v/>
      </c>
      <c r="KA70" s="65">
        <f>JU70+(10*0.0000001)</f>
        <v/>
      </c>
    </row>
    <row r="71" ht="20" customHeight="1">
      <c r="A71" s="56">
        <f>IF(Configurações!$B$11="","Assessor 5",Configurações!$B$11)</f>
        <v/>
      </c>
      <c r="B71" s="57" t="n"/>
      <c r="C71" s="58">
        <f>'Junho'!$JW71</f>
        <v/>
      </c>
      <c r="D71" s="59" t="n"/>
      <c r="E71" s="57" t="n"/>
      <c r="F71" s="57" t="n"/>
      <c r="G71" s="57" t="n"/>
      <c r="H71" s="57" t="n"/>
      <c r="I71" s="60">
        <f>SUM(E71:H71)</f>
        <v/>
      </c>
      <c r="J71" s="61" t="n"/>
      <c r="K71" s="57" t="n"/>
      <c r="L71" s="58">
        <f>B71</f>
        <v/>
      </c>
      <c r="M71" s="59" t="n"/>
      <c r="N71" s="57" t="n"/>
      <c r="O71" s="57" t="n"/>
      <c r="P71" s="57" t="n"/>
      <c r="Q71" s="57" t="n"/>
      <c r="R71" s="60">
        <f>SUM(N71:Q71)</f>
        <v/>
      </c>
      <c r="S71" s="61" t="n"/>
      <c r="T71" s="57" t="n"/>
      <c r="U71" s="58">
        <f>K71</f>
        <v/>
      </c>
      <c r="V71" s="59" t="n"/>
      <c r="W71" s="57" t="n"/>
      <c r="X71" s="57" t="n"/>
      <c r="Y71" s="57" t="n"/>
      <c r="Z71" s="57" t="n"/>
      <c r="AA71" s="60">
        <f>SUM(W71:Z71)</f>
        <v/>
      </c>
      <c r="AB71" s="61" t="n"/>
      <c r="AC71" s="57" t="n"/>
      <c r="AD71" s="58">
        <f>T71</f>
        <v/>
      </c>
      <c r="AE71" s="59" t="n"/>
      <c r="AF71" s="57" t="n"/>
      <c r="AG71" s="57" t="n"/>
      <c r="AH71" s="57" t="n"/>
      <c r="AI71" s="57" t="n"/>
      <c r="AJ71" s="60">
        <f>SUM(AF71:AI71)</f>
        <v/>
      </c>
      <c r="AK71" s="61" t="n"/>
      <c r="AL71" s="57" t="n"/>
      <c r="AM71" s="58">
        <f>AC71</f>
        <v/>
      </c>
      <c r="AN71" s="59" t="n"/>
      <c r="AO71" s="57" t="n"/>
      <c r="AP71" s="57" t="n"/>
      <c r="AQ71" s="57" t="n"/>
      <c r="AR71" s="57" t="n"/>
      <c r="AS71" s="60">
        <f>SUM(AO71:AR71)</f>
        <v/>
      </c>
      <c r="AT71" s="61" t="n"/>
      <c r="AU71" s="57" t="n"/>
      <c r="AV71" s="58">
        <f>AL71</f>
        <v/>
      </c>
      <c r="AW71" s="59" t="n"/>
      <c r="AX71" s="57" t="n"/>
      <c r="AY71" s="57" t="n"/>
      <c r="AZ71" s="57" t="n"/>
      <c r="BA71" s="57" t="n"/>
      <c r="BB71" s="60">
        <f>SUM(AX71:BA71)</f>
        <v/>
      </c>
      <c r="BC71" s="61" t="n"/>
      <c r="BD71" s="57" t="n"/>
      <c r="BE71" s="58">
        <f>AU71</f>
        <v/>
      </c>
      <c r="BF71" s="59" t="n"/>
      <c r="BG71" s="57" t="n"/>
      <c r="BH71" s="57" t="n"/>
      <c r="BI71" s="57" t="n"/>
      <c r="BJ71" s="57" t="n"/>
      <c r="BK71" s="60">
        <f>SUM(BG71:BJ71)</f>
        <v/>
      </c>
      <c r="BL71" s="61" t="n"/>
      <c r="BM71" s="57" t="n"/>
      <c r="BN71" s="58">
        <f>BD71</f>
        <v/>
      </c>
      <c r="BO71" s="59" t="n"/>
      <c r="BP71" s="57" t="n"/>
      <c r="BQ71" s="57" t="n"/>
      <c r="BR71" s="57" t="n"/>
      <c r="BS71" s="57" t="n"/>
      <c r="BT71" s="60">
        <f>SUM(BP71:BS71)</f>
        <v/>
      </c>
      <c r="BU71" s="61" t="n"/>
      <c r="BV71" s="57" t="n"/>
      <c r="BW71" s="58">
        <f>BM71</f>
        <v/>
      </c>
      <c r="BX71" s="59" t="n"/>
      <c r="BY71" s="57" t="n"/>
      <c r="BZ71" s="57" t="n"/>
      <c r="CA71" s="57" t="n"/>
      <c r="CB71" s="57" t="n"/>
      <c r="CC71" s="60">
        <f>SUM(BY71:CB71)</f>
        <v/>
      </c>
      <c r="CD71" s="61" t="n"/>
      <c r="CE71" s="57" t="n"/>
      <c r="CF71" s="58">
        <f>BV71</f>
        <v/>
      </c>
      <c r="CG71" s="59" t="n"/>
      <c r="CH71" s="57" t="n"/>
      <c r="CI71" s="57" t="n"/>
      <c r="CJ71" s="57" t="n"/>
      <c r="CK71" s="57" t="n"/>
      <c r="CL71" s="60">
        <f>SUM(CH71:CK71)</f>
        <v/>
      </c>
      <c r="CM71" s="61" t="n"/>
      <c r="CN71" s="57" t="n"/>
      <c r="CO71" s="58">
        <f>CE71</f>
        <v/>
      </c>
      <c r="CP71" s="59" t="n"/>
      <c r="CQ71" s="57" t="n"/>
      <c r="CR71" s="57" t="n"/>
      <c r="CS71" s="57" t="n"/>
      <c r="CT71" s="57" t="n"/>
      <c r="CU71" s="60">
        <f>SUM(CQ71:CT71)</f>
        <v/>
      </c>
      <c r="CV71" s="61" t="n"/>
      <c r="CW71" s="57" t="n"/>
      <c r="CX71" s="58">
        <f>CN71</f>
        <v/>
      </c>
      <c r="CY71" s="59" t="n"/>
      <c r="CZ71" s="57" t="n"/>
      <c r="DA71" s="57" t="n"/>
      <c r="DB71" s="57" t="n"/>
      <c r="DC71" s="57" t="n"/>
      <c r="DD71" s="60">
        <f>SUM(CZ71:DC71)</f>
        <v/>
      </c>
      <c r="DE71" s="61" t="n"/>
      <c r="DF71" s="57" t="n"/>
      <c r="DG71" s="58">
        <f>CW71</f>
        <v/>
      </c>
      <c r="DH71" s="59" t="n"/>
      <c r="DI71" s="57" t="n"/>
      <c r="DJ71" s="57" t="n"/>
      <c r="DK71" s="57" t="n"/>
      <c r="DL71" s="57" t="n"/>
      <c r="DM71" s="60">
        <f>SUM(DI71:DL71)</f>
        <v/>
      </c>
      <c r="DN71" s="61" t="n"/>
      <c r="DO71" s="57" t="n"/>
      <c r="DP71" s="58">
        <f>DF71</f>
        <v/>
      </c>
      <c r="DQ71" s="59" t="n"/>
      <c r="DR71" s="57" t="n"/>
      <c r="DS71" s="57" t="n"/>
      <c r="DT71" s="57" t="n"/>
      <c r="DU71" s="57" t="n"/>
      <c r="DV71" s="60">
        <f>SUM(DR71:DU71)</f>
        <v/>
      </c>
      <c r="DW71" s="61" t="n"/>
      <c r="DX71" s="57" t="n"/>
      <c r="DY71" s="58">
        <f>DO71</f>
        <v/>
      </c>
      <c r="DZ71" s="59" t="n"/>
      <c r="EA71" s="57" t="n"/>
      <c r="EB71" s="57" t="n"/>
      <c r="EC71" s="57" t="n"/>
      <c r="ED71" s="57" t="n"/>
      <c r="EE71" s="60">
        <f>SUM(EA71:ED71)</f>
        <v/>
      </c>
      <c r="EF71" s="61" t="n"/>
      <c r="EG71" s="57" t="n"/>
      <c r="EH71" s="58">
        <f>DX71</f>
        <v/>
      </c>
      <c r="EI71" s="59" t="n"/>
      <c r="EJ71" s="57" t="n"/>
      <c r="EK71" s="57" t="n"/>
      <c r="EL71" s="57" t="n"/>
      <c r="EM71" s="57" t="n"/>
      <c r="EN71" s="60">
        <f>SUM(EJ71:EM71)</f>
        <v/>
      </c>
      <c r="EO71" s="61" t="n"/>
      <c r="EP71" s="57" t="n"/>
      <c r="EQ71" s="58">
        <f>EG71</f>
        <v/>
      </c>
      <c r="ER71" s="59" t="n"/>
      <c r="ES71" s="57" t="n"/>
      <c r="ET71" s="57" t="n"/>
      <c r="EU71" s="57" t="n"/>
      <c r="EV71" s="57" t="n"/>
      <c r="EW71" s="60">
        <f>SUM(ES71:EV71)</f>
        <v/>
      </c>
      <c r="EX71" s="61" t="n"/>
      <c r="EY71" s="57" t="n"/>
      <c r="EZ71" s="58">
        <f>EP71</f>
        <v/>
      </c>
      <c r="FA71" s="59" t="n"/>
      <c r="FB71" s="57" t="n"/>
      <c r="FC71" s="57" t="n"/>
      <c r="FD71" s="57" t="n"/>
      <c r="FE71" s="57" t="n"/>
      <c r="FF71" s="60">
        <f>SUM(FB71:FE71)</f>
        <v/>
      </c>
      <c r="FG71" s="61" t="n"/>
      <c r="FH71" s="57" t="n"/>
      <c r="FI71" s="58">
        <f>EY71</f>
        <v/>
      </c>
      <c r="FJ71" s="59" t="n"/>
      <c r="FK71" s="57" t="n"/>
      <c r="FL71" s="57" t="n"/>
      <c r="FM71" s="57" t="n"/>
      <c r="FN71" s="57" t="n"/>
      <c r="FO71" s="60">
        <f>SUM(FK71:FN71)</f>
        <v/>
      </c>
      <c r="FP71" s="61" t="n"/>
      <c r="FQ71" s="57" t="n"/>
      <c r="FR71" s="58">
        <f>FH71</f>
        <v/>
      </c>
      <c r="FS71" s="59" t="n"/>
      <c r="FT71" s="57" t="n"/>
      <c r="FU71" s="57" t="n"/>
      <c r="FV71" s="57" t="n"/>
      <c r="FW71" s="57" t="n"/>
      <c r="FX71" s="60">
        <f>SUM(FT71:FW71)</f>
        <v/>
      </c>
      <c r="FY71" s="61" t="n"/>
      <c r="FZ71" s="57" t="n"/>
      <c r="GA71" s="58">
        <f>FQ71</f>
        <v/>
      </c>
      <c r="GB71" s="59" t="n"/>
      <c r="GC71" s="57" t="n"/>
      <c r="GD71" s="57" t="n"/>
      <c r="GE71" s="57" t="n"/>
      <c r="GF71" s="57" t="n"/>
      <c r="GG71" s="60">
        <f>SUM(GC71:GF71)</f>
        <v/>
      </c>
      <c r="GH71" s="61" t="n"/>
      <c r="GI71" s="57" t="n"/>
      <c r="GJ71" s="58">
        <f>FZ71</f>
        <v/>
      </c>
      <c r="GK71" s="59" t="n"/>
      <c r="GL71" s="57" t="n"/>
      <c r="GM71" s="57" t="n"/>
      <c r="GN71" s="57" t="n"/>
      <c r="GO71" s="57" t="n"/>
      <c r="GP71" s="60">
        <f>SUM(GL71:GO71)</f>
        <v/>
      </c>
      <c r="GQ71" s="61" t="n"/>
      <c r="GR71" s="57" t="n"/>
      <c r="GS71" s="58">
        <f>GI71</f>
        <v/>
      </c>
      <c r="GT71" s="59" t="n"/>
      <c r="GU71" s="57" t="n"/>
      <c r="GV71" s="57" t="n"/>
      <c r="GW71" s="57" t="n"/>
      <c r="GX71" s="57" t="n"/>
      <c r="GY71" s="60">
        <f>SUM(GU71:GX71)</f>
        <v/>
      </c>
      <c r="GZ71" s="61" t="n"/>
      <c r="HA71" s="57" t="n"/>
      <c r="HB71" s="58">
        <f>GR71</f>
        <v/>
      </c>
      <c r="HC71" s="59" t="n"/>
      <c r="HD71" s="57" t="n"/>
      <c r="HE71" s="57" t="n"/>
      <c r="HF71" s="57" t="n"/>
      <c r="HG71" s="57" t="n"/>
      <c r="HH71" s="60">
        <f>SUM(HD71:HG71)</f>
        <v/>
      </c>
      <c r="HI71" s="61" t="n"/>
      <c r="HJ71" s="57" t="n"/>
      <c r="HK71" s="58">
        <f>HA71</f>
        <v/>
      </c>
      <c r="HL71" s="59" t="n"/>
      <c r="HM71" s="57" t="n"/>
      <c r="HN71" s="57" t="n"/>
      <c r="HO71" s="57" t="n"/>
      <c r="HP71" s="57" t="n"/>
      <c r="HQ71" s="60">
        <f>SUM(HM71:HP71)</f>
        <v/>
      </c>
      <c r="HR71" s="61" t="n"/>
      <c r="HS71" s="57" t="n"/>
      <c r="HT71" s="58">
        <f>HJ71</f>
        <v/>
      </c>
      <c r="HU71" s="59" t="n"/>
      <c r="HV71" s="57" t="n"/>
      <c r="HW71" s="57" t="n"/>
      <c r="HX71" s="57" t="n"/>
      <c r="HY71" s="57" t="n"/>
      <c r="HZ71" s="60">
        <f>SUM(HV71:HY71)</f>
        <v/>
      </c>
      <c r="IA71" s="61" t="n"/>
      <c r="IB71" s="57" t="n"/>
      <c r="IC71" s="58">
        <f>HS71</f>
        <v/>
      </c>
      <c r="ID71" s="59" t="n"/>
      <c r="IE71" s="57" t="n"/>
      <c r="IF71" s="57" t="n"/>
      <c r="IG71" s="57" t="n"/>
      <c r="IH71" s="57" t="n"/>
      <c r="II71" s="60">
        <f>SUM(IE71:IH71)</f>
        <v/>
      </c>
      <c r="IJ71" s="61" t="n"/>
      <c r="IK71" s="57" t="n"/>
      <c r="IL71" s="58">
        <f>IB71</f>
        <v/>
      </c>
      <c r="IM71" s="59" t="n"/>
      <c r="IN71" s="57" t="n"/>
      <c r="IO71" s="57" t="n"/>
      <c r="IP71" s="57" t="n"/>
      <c r="IQ71" s="57" t="n"/>
      <c r="IR71" s="60">
        <f>SUM(IN71:IQ71)</f>
        <v/>
      </c>
      <c r="IS71" s="61" t="n"/>
      <c r="IT71" s="57" t="n"/>
      <c r="IU71" s="58">
        <f>IK71</f>
        <v/>
      </c>
      <c r="IV71" s="59" t="n"/>
      <c r="IW71" s="57" t="n"/>
      <c r="IX71" s="57" t="n"/>
      <c r="IY71" s="57" t="n"/>
      <c r="IZ71" s="57" t="n"/>
      <c r="JA71" s="60">
        <f>SUM(IW71:IZ71)</f>
        <v/>
      </c>
      <c r="JB71" s="61" t="n"/>
      <c r="JC71" s="57" t="n"/>
      <c r="JD71" s="58">
        <f>IT71</f>
        <v/>
      </c>
      <c r="JE71" s="59" t="n"/>
      <c r="JF71" s="57" t="n"/>
      <c r="JG71" s="57" t="n"/>
      <c r="JH71" s="57" t="n"/>
      <c r="JI71" s="57" t="n"/>
      <c r="JJ71" s="60">
        <f>SUM(JF71:JI71)</f>
        <v/>
      </c>
      <c r="JK71" s="61" t="n"/>
      <c r="JL71" s="57" t="n"/>
      <c r="JM71" s="58">
        <f>JC71</f>
        <v/>
      </c>
      <c r="JN71" s="59" t="n"/>
      <c r="JO71" s="57" t="n"/>
      <c r="JP71" s="57" t="n"/>
      <c r="JQ71" s="57" t="n"/>
      <c r="JR71" s="57" t="n"/>
      <c r="JS71" s="60">
        <f>SUM(JO71:JR71)</f>
        <v/>
      </c>
      <c r="JT71" s="61" t="n"/>
      <c r="JU71" s="62">
        <f>I71+R71+AA71+AJ71+AS71+BB71+BK71+BT71+CC71+CL71+CU71+DD71+DM71+DV71+EE71+EN71+EW71+FF71+FO71+FX71+GG71+GP71+GY71+HH71+HQ71+HZ71+II71+IR71+JA71+JJ71+JS71</f>
        <v/>
      </c>
      <c r="JV71" s="63">
        <f>D71+M71+V71+AE71+AN71+AW71+BF71+BO71+BX71+CG71+CP71+CY71+DH71+DQ71+DZ71+EI71+ER71+FA71+FJ71+FS71+GB71+GK71+GT71+HC71+HL71+HU71+ID71+IM71+IV71+JE71+JN71</f>
        <v/>
      </c>
      <c r="JW71" s="62">
        <f>CHOOSE($Z$3,B71, K71, T71, AC71, AL71, AU71, BD71, BM71, BV71, CE71, CN71, CW71, DF71, DO71, DX71, EG71, EP71, EY71, FH71, FQ71, FZ71, GI71, GR71, HA71, HJ71, HS71, IB71, IK71, IT71, JC71, JL71)</f>
        <v/>
      </c>
      <c r="JX71" s="62">
        <f>IFERROR(JU71/$Z$3,0)</f>
        <v/>
      </c>
      <c r="JY71" s="62">
        <f>Configurações!$C$11</f>
        <v/>
      </c>
      <c r="JZ71" s="64">
        <f>IF(JY71=0,"— Sem meta",IF(JU71&gt;=JY71,"✓ Atingida","Em andamento"))</f>
        <v/>
      </c>
      <c r="KA71" s="65">
        <f>JU71+(9*0.0000001)</f>
        <v/>
      </c>
    </row>
    <row r="72" ht="20" customHeight="1">
      <c r="A72" s="56">
        <f>IF(Configurações!$B$12="","Assessor 6",Configurações!$B$12)</f>
        <v/>
      </c>
      <c r="B72" s="57" t="n"/>
      <c r="C72" s="66">
        <f>'Junho'!$JW72</f>
        <v/>
      </c>
      <c r="D72" s="59" t="n"/>
      <c r="E72" s="57" t="n"/>
      <c r="F72" s="57" t="n"/>
      <c r="G72" s="57" t="n"/>
      <c r="H72" s="57" t="n"/>
      <c r="I72" s="67">
        <f>SUM(E72:H72)</f>
        <v/>
      </c>
      <c r="J72" s="61" t="n"/>
      <c r="K72" s="57" t="n"/>
      <c r="L72" s="66">
        <f>B72</f>
        <v/>
      </c>
      <c r="M72" s="59" t="n"/>
      <c r="N72" s="57" t="n"/>
      <c r="O72" s="57" t="n"/>
      <c r="P72" s="57" t="n"/>
      <c r="Q72" s="57" t="n"/>
      <c r="R72" s="67">
        <f>SUM(N72:Q72)</f>
        <v/>
      </c>
      <c r="S72" s="61" t="n"/>
      <c r="T72" s="57" t="n"/>
      <c r="U72" s="66">
        <f>K72</f>
        <v/>
      </c>
      <c r="V72" s="59" t="n"/>
      <c r="W72" s="57" t="n"/>
      <c r="X72" s="57" t="n"/>
      <c r="Y72" s="57" t="n"/>
      <c r="Z72" s="57" t="n"/>
      <c r="AA72" s="67">
        <f>SUM(W72:Z72)</f>
        <v/>
      </c>
      <c r="AB72" s="61" t="n"/>
      <c r="AC72" s="57" t="n"/>
      <c r="AD72" s="66">
        <f>T72</f>
        <v/>
      </c>
      <c r="AE72" s="59" t="n"/>
      <c r="AF72" s="57" t="n"/>
      <c r="AG72" s="57" t="n"/>
      <c r="AH72" s="57" t="n"/>
      <c r="AI72" s="57" t="n"/>
      <c r="AJ72" s="67">
        <f>SUM(AF72:AI72)</f>
        <v/>
      </c>
      <c r="AK72" s="61" t="n"/>
      <c r="AL72" s="57" t="n"/>
      <c r="AM72" s="66">
        <f>AC72</f>
        <v/>
      </c>
      <c r="AN72" s="59" t="n"/>
      <c r="AO72" s="57" t="n"/>
      <c r="AP72" s="57" t="n"/>
      <c r="AQ72" s="57" t="n"/>
      <c r="AR72" s="57" t="n"/>
      <c r="AS72" s="67">
        <f>SUM(AO72:AR72)</f>
        <v/>
      </c>
      <c r="AT72" s="61" t="n"/>
      <c r="AU72" s="57" t="n"/>
      <c r="AV72" s="66">
        <f>AL72</f>
        <v/>
      </c>
      <c r="AW72" s="59" t="n"/>
      <c r="AX72" s="57" t="n"/>
      <c r="AY72" s="57" t="n"/>
      <c r="AZ72" s="57" t="n"/>
      <c r="BA72" s="57" t="n"/>
      <c r="BB72" s="67">
        <f>SUM(AX72:BA72)</f>
        <v/>
      </c>
      <c r="BC72" s="61" t="n"/>
      <c r="BD72" s="57" t="n"/>
      <c r="BE72" s="66">
        <f>AU72</f>
        <v/>
      </c>
      <c r="BF72" s="59" t="n"/>
      <c r="BG72" s="57" t="n"/>
      <c r="BH72" s="57" t="n"/>
      <c r="BI72" s="57" t="n"/>
      <c r="BJ72" s="57" t="n"/>
      <c r="BK72" s="67">
        <f>SUM(BG72:BJ72)</f>
        <v/>
      </c>
      <c r="BL72" s="61" t="n"/>
      <c r="BM72" s="57" t="n"/>
      <c r="BN72" s="66">
        <f>BD72</f>
        <v/>
      </c>
      <c r="BO72" s="59" t="n"/>
      <c r="BP72" s="57" t="n"/>
      <c r="BQ72" s="57" t="n"/>
      <c r="BR72" s="57" t="n"/>
      <c r="BS72" s="57" t="n"/>
      <c r="BT72" s="67">
        <f>SUM(BP72:BS72)</f>
        <v/>
      </c>
      <c r="BU72" s="61" t="n"/>
      <c r="BV72" s="57" t="n"/>
      <c r="BW72" s="66">
        <f>BM72</f>
        <v/>
      </c>
      <c r="BX72" s="59" t="n"/>
      <c r="BY72" s="57" t="n"/>
      <c r="BZ72" s="57" t="n"/>
      <c r="CA72" s="57" t="n"/>
      <c r="CB72" s="57" t="n"/>
      <c r="CC72" s="67">
        <f>SUM(BY72:CB72)</f>
        <v/>
      </c>
      <c r="CD72" s="61" t="n"/>
      <c r="CE72" s="57" t="n"/>
      <c r="CF72" s="66">
        <f>BV72</f>
        <v/>
      </c>
      <c r="CG72" s="59" t="n"/>
      <c r="CH72" s="57" t="n"/>
      <c r="CI72" s="57" t="n"/>
      <c r="CJ72" s="57" t="n"/>
      <c r="CK72" s="57" t="n"/>
      <c r="CL72" s="67">
        <f>SUM(CH72:CK72)</f>
        <v/>
      </c>
      <c r="CM72" s="61" t="n"/>
      <c r="CN72" s="57" t="n"/>
      <c r="CO72" s="66">
        <f>CE72</f>
        <v/>
      </c>
      <c r="CP72" s="59" t="n"/>
      <c r="CQ72" s="57" t="n"/>
      <c r="CR72" s="57" t="n"/>
      <c r="CS72" s="57" t="n"/>
      <c r="CT72" s="57" t="n"/>
      <c r="CU72" s="67">
        <f>SUM(CQ72:CT72)</f>
        <v/>
      </c>
      <c r="CV72" s="61" t="n"/>
      <c r="CW72" s="57" t="n"/>
      <c r="CX72" s="66">
        <f>CN72</f>
        <v/>
      </c>
      <c r="CY72" s="59" t="n"/>
      <c r="CZ72" s="57" t="n"/>
      <c r="DA72" s="57" t="n"/>
      <c r="DB72" s="57" t="n"/>
      <c r="DC72" s="57" t="n"/>
      <c r="DD72" s="67">
        <f>SUM(CZ72:DC72)</f>
        <v/>
      </c>
      <c r="DE72" s="61" t="n"/>
      <c r="DF72" s="57" t="n"/>
      <c r="DG72" s="66">
        <f>CW72</f>
        <v/>
      </c>
      <c r="DH72" s="59" t="n"/>
      <c r="DI72" s="57" t="n"/>
      <c r="DJ72" s="57" t="n"/>
      <c r="DK72" s="57" t="n"/>
      <c r="DL72" s="57" t="n"/>
      <c r="DM72" s="67">
        <f>SUM(DI72:DL72)</f>
        <v/>
      </c>
      <c r="DN72" s="61" t="n"/>
      <c r="DO72" s="57" t="n"/>
      <c r="DP72" s="66">
        <f>DF72</f>
        <v/>
      </c>
      <c r="DQ72" s="59" t="n"/>
      <c r="DR72" s="57" t="n"/>
      <c r="DS72" s="57" t="n"/>
      <c r="DT72" s="57" t="n"/>
      <c r="DU72" s="57" t="n"/>
      <c r="DV72" s="67">
        <f>SUM(DR72:DU72)</f>
        <v/>
      </c>
      <c r="DW72" s="61" t="n"/>
      <c r="DX72" s="57" t="n"/>
      <c r="DY72" s="66">
        <f>DO72</f>
        <v/>
      </c>
      <c r="DZ72" s="59" t="n"/>
      <c r="EA72" s="57" t="n"/>
      <c r="EB72" s="57" t="n"/>
      <c r="EC72" s="57" t="n"/>
      <c r="ED72" s="57" t="n"/>
      <c r="EE72" s="67">
        <f>SUM(EA72:ED72)</f>
        <v/>
      </c>
      <c r="EF72" s="61" t="n"/>
      <c r="EG72" s="57" t="n"/>
      <c r="EH72" s="66">
        <f>DX72</f>
        <v/>
      </c>
      <c r="EI72" s="59" t="n"/>
      <c r="EJ72" s="57" t="n"/>
      <c r="EK72" s="57" t="n"/>
      <c r="EL72" s="57" t="n"/>
      <c r="EM72" s="57" t="n"/>
      <c r="EN72" s="67">
        <f>SUM(EJ72:EM72)</f>
        <v/>
      </c>
      <c r="EO72" s="61" t="n"/>
      <c r="EP72" s="57" t="n"/>
      <c r="EQ72" s="66">
        <f>EG72</f>
        <v/>
      </c>
      <c r="ER72" s="59" t="n"/>
      <c r="ES72" s="57" t="n"/>
      <c r="ET72" s="57" t="n"/>
      <c r="EU72" s="57" t="n"/>
      <c r="EV72" s="57" t="n"/>
      <c r="EW72" s="67">
        <f>SUM(ES72:EV72)</f>
        <v/>
      </c>
      <c r="EX72" s="61" t="n"/>
      <c r="EY72" s="57" t="n"/>
      <c r="EZ72" s="66">
        <f>EP72</f>
        <v/>
      </c>
      <c r="FA72" s="59" t="n"/>
      <c r="FB72" s="57" t="n"/>
      <c r="FC72" s="57" t="n"/>
      <c r="FD72" s="57" t="n"/>
      <c r="FE72" s="57" t="n"/>
      <c r="FF72" s="67">
        <f>SUM(FB72:FE72)</f>
        <v/>
      </c>
      <c r="FG72" s="61" t="n"/>
      <c r="FH72" s="57" t="n"/>
      <c r="FI72" s="66">
        <f>EY72</f>
        <v/>
      </c>
      <c r="FJ72" s="59" t="n"/>
      <c r="FK72" s="57" t="n"/>
      <c r="FL72" s="57" t="n"/>
      <c r="FM72" s="57" t="n"/>
      <c r="FN72" s="57" t="n"/>
      <c r="FO72" s="67">
        <f>SUM(FK72:FN72)</f>
        <v/>
      </c>
      <c r="FP72" s="61" t="n"/>
      <c r="FQ72" s="57" t="n"/>
      <c r="FR72" s="66">
        <f>FH72</f>
        <v/>
      </c>
      <c r="FS72" s="59" t="n"/>
      <c r="FT72" s="57" t="n"/>
      <c r="FU72" s="57" t="n"/>
      <c r="FV72" s="57" t="n"/>
      <c r="FW72" s="57" t="n"/>
      <c r="FX72" s="67">
        <f>SUM(FT72:FW72)</f>
        <v/>
      </c>
      <c r="FY72" s="61" t="n"/>
      <c r="FZ72" s="57" t="n"/>
      <c r="GA72" s="66">
        <f>FQ72</f>
        <v/>
      </c>
      <c r="GB72" s="59" t="n"/>
      <c r="GC72" s="57" t="n"/>
      <c r="GD72" s="57" t="n"/>
      <c r="GE72" s="57" t="n"/>
      <c r="GF72" s="57" t="n"/>
      <c r="GG72" s="67">
        <f>SUM(GC72:GF72)</f>
        <v/>
      </c>
      <c r="GH72" s="61" t="n"/>
      <c r="GI72" s="57" t="n"/>
      <c r="GJ72" s="66">
        <f>FZ72</f>
        <v/>
      </c>
      <c r="GK72" s="59" t="n"/>
      <c r="GL72" s="57" t="n"/>
      <c r="GM72" s="57" t="n"/>
      <c r="GN72" s="57" t="n"/>
      <c r="GO72" s="57" t="n"/>
      <c r="GP72" s="67">
        <f>SUM(GL72:GO72)</f>
        <v/>
      </c>
      <c r="GQ72" s="61" t="n"/>
      <c r="GR72" s="57" t="n"/>
      <c r="GS72" s="66">
        <f>GI72</f>
        <v/>
      </c>
      <c r="GT72" s="59" t="n"/>
      <c r="GU72" s="57" t="n"/>
      <c r="GV72" s="57" t="n"/>
      <c r="GW72" s="57" t="n"/>
      <c r="GX72" s="57" t="n"/>
      <c r="GY72" s="67">
        <f>SUM(GU72:GX72)</f>
        <v/>
      </c>
      <c r="GZ72" s="61" t="n"/>
      <c r="HA72" s="57" t="n"/>
      <c r="HB72" s="66">
        <f>GR72</f>
        <v/>
      </c>
      <c r="HC72" s="59" t="n"/>
      <c r="HD72" s="57" t="n"/>
      <c r="HE72" s="57" t="n"/>
      <c r="HF72" s="57" t="n"/>
      <c r="HG72" s="57" t="n"/>
      <c r="HH72" s="67">
        <f>SUM(HD72:HG72)</f>
        <v/>
      </c>
      <c r="HI72" s="61" t="n"/>
      <c r="HJ72" s="57" t="n"/>
      <c r="HK72" s="66">
        <f>HA72</f>
        <v/>
      </c>
      <c r="HL72" s="59" t="n"/>
      <c r="HM72" s="57" t="n"/>
      <c r="HN72" s="57" t="n"/>
      <c r="HO72" s="57" t="n"/>
      <c r="HP72" s="57" t="n"/>
      <c r="HQ72" s="67">
        <f>SUM(HM72:HP72)</f>
        <v/>
      </c>
      <c r="HR72" s="61" t="n"/>
      <c r="HS72" s="57" t="n"/>
      <c r="HT72" s="66">
        <f>HJ72</f>
        <v/>
      </c>
      <c r="HU72" s="59" t="n"/>
      <c r="HV72" s="57" t="n"/>
      <c r="HW72" s="57" t="n"/>
      <c r="HX72" s="57" t="n"/>
      <c r="HY72" s="57" t="n"/>
      <c r="HZ72" s="67">
        <f>SUM(HV72:HY72)</f>
        <v/>
      </c>
      <c r="IA72" s="61" t="n"/>
      <c r="IB72" s="57" t="n"/>
      <c r="IC72" s="66">
        <f>HS72</f>
        <v/>
      </c>
      <c r="ID72" s="59" t="n"/>
      <c r="IE72" s="57" t="n"/>
      <c r="IF72" s="57" t="n"/>
      <c r="IG72" s="57" t="n"/>
      <c r="IH72" s="57" t="n"/>
      <c r="II72" s="67">
        <f>SUM(IE72:IH72)</f>
        <v/>
      </c>
      <c r="IJ72" s="61" t="n"/>
      <c r="IK72" s="57" t="n"/>
      <c r="IL72" s="66">
        <f>IB72</f>
        <v/>
      </c>
      <c r="IM72" s="59" t="n"/>
      <c r="IN72" s="57" t="n"/>
      <c r="IO72" s="57" t="n"/>
      <c r="IP72" s="57" t="n"/>
      <c r="IQ72" s="57" t="n"/>
      <c r="IR72" s="67">
        <f>SUM(IN72:IQ72)</f>
        <v/>
      </c>
      <c r="IS72" s="61" t="n"/>
      <c r="IT72" s="57" t="n"/>
      <c r="IU72" s="66">
        <f>IK72</f>
        <v/>
      </c>
      <c r="IV72" s="59" t="n"/>
      <c r="IW72" s="57" t="n"/>
      <c r="IX72" s="57" t="n"/>
      <c r="IY72" s="57" t="n"/>
      <c r="IZ72" s="57" t="n"/>
      <c r="JA72" s="67">
        <f>SUM(IW72:IZ72)</f>
        <v/>
      </c>
      <c r="JB72" s="61" t="n"/>
      <c r="JC72" s="57" t="n"/>
      <c r="JD72" s="66">
        <f>IT72</f>
        <v/>
      </c>
      <c r="JE72" s="59" t="n"/>
      <c r="JF72" s="57" t="n"/>
      <c r="JG72" s="57" t="n"/>
      <c r="JH72" s="57" t="n"/>
      <c r="JI72" s="57" t="n"/>
      <c r="JJ72" s="67">
        <f>SUM(JF72:JI72)</f>
        <v/>
      </c>
      <c r="JK72" s="61" t="n"/>
      <c r="JL72" s="57" t="n"/>
      <c r="JM72" s="66">
        <f>JC72</f>
        <v/>
      </c>
      <c r="JN72" s="59" t="n"/>
      <c r="JO72" s="57" t="n"/>
      <c r="JP72" s="57" t="n"/>
      <c r="JQ72" s="57" t="n"/>
      <c r="JR72" s="57" t="n"/>
      <c r="JS72" s="67">
        <f>SUM(JO72:JR72)</f>
        <v/>
      </c>
      <c r="JT72" s="61" t="n"/>
      <c r="JU72" s="62">
        <f>I72+R72+AA72+AJ72+AS72+BB72+BK72+BT72+CC72+CL72+CU72+DD72+DM72+DV72+EE72+EN72+EW72+FF72+FO72+FX72+GG72+GP72+GY72+HH72+HQ72+HZ72+II72+IR72+JA72+JJ72+JS72</f>
        <v/>
      </c>
      <c r="JV72" s="63">
        <f>D72+M72+V72+AE72+AN72+AW72+BF72+BO72+BX72+CG72+CP72+CY72+DH72+DQ72+DZ72+EI72+ER72+FA72+FJ72+FS72+GB72+GK72+GT72+HC72+HL72+HU72+ID72+IM72+IV72+JE72+JN72</f>
        <v/>
      </c>
      <c r="JW72" s="62">
        <f>CHOOSE($Z$3,B72, K72, T72, AC72, AL72, AU72, BD72, BM72, BV72, CE72, CN72, CW72, DF72, DO72, DX72, EG72, EP72, EY72, FH72, FQ72, FZ72, GI72, GR72, HA72, HJ72, HS72, IB72, IK72, IT72, JC72, JL72)</f>
        <v/>
      </c>
      <c r="JX72" s="62">
        <f>IFERROR(JU72/$Z$3,0)</f>
        <v/>
      </c>
      <c r="JY72" s="62">
        <f>Configurações!$C$12</f>
        <v/>
      </c>
      <c r="JZ72" s="64">
        <f>IF(JY72=0,"— Sem meta",IF(JU72&gt;=JY72,"✓ Atingida","Em andamento"))</f>
        <v/>
      </c>
      <c r="KA72" s="65">
        <f>JU72+(8*0.0000001)</f>
        <v/>
      </c>
    </row>
    <row r="73" ht="20" customHeight="1">
      <c r="A73" s="56">
        <f>IF(Configurações!$B$13="","Assessor 7",Configurações!$B$13)</f>
        <v/>
      </c>
      <c r="B73" s="57" t="n"/>
      <c r="C73" s="58">
        <f>'Junho'!$JW73</f>
        <v/>
      </c>
      <c r="D73" s="59" t="n"/>
      <c r="E73" s="57" t="n"/>
      <c r="F73" s="57" t="n"/>
      <c r="G73" s="57" t="n"/>
      <c r="H73" s="57" t="n"/>
      <c r="I73" s="60">
        <f>SUM(E73:H73)</f>
        <v/>
      </c>
      <c r="J73" s="61" t="n"/>
      <c r="K73" s="57" t="n"/>
      <c r="L73" s="58">
        <f>B73</f>
        <v/>
      </c>
      <c r="M73" s="59" t="n"/>
      <c r="N73" s="57" t="n"/>
      <c r="O73" s="57" t="n"/>
      <c r="P73" s="57" t="n"/>
      <c r="Q73" s="57" t="n"/>
      <c r="R73" s="60">
        <f>SUM(N73:Q73)</f>
        <v/>
      </c>
      <c r="S73" s="61" t="n"/>
      <c r="T73" s="57" t="n"/>
      <c r="U73" s="58">
        <f>K73</f>
        <v/>
      </c>
      <c r="V73" s="59" t="n"/>
      <c r="W73" s="57" t="n"/>
      <c r="X73" s="57" t="n"/>
      <c r="Y73" s="57" t="n"/>
      <c r="Z73" s="57" t="n"/>
      <c r="AA73" s="60">
        <f>SUM(W73:Z73)</f>
        <v/>
      </c>
      <c r="AB73" s="61" t="n"/>
      <c r="AC73" s="57" t="n"/>
      <c r="AD73" s="58">
        <f>T73</f>
        <v/>
      </c>
      <c r="AE73" s="59" t="n"/>
      <c r="AF73" s="57" t="n"/>
      <c r="AG73" s="57" t="n"/>
      <c r="AH73" s="57" t="n"/>
      <c r="AI73" s="57" t="n"/>
      <c r="AJ73" s="60">
        <f>SUM(AF73:AI73)</f>
        <v/>
      </c>
      <c r="AK73" s="61" t="n"/>
      <c r="AL73" s="57" t="n"/>
      <c r="AM73" s="58">
        <f>AC73</f>
        <v/>
      </c>
      <c r="AN73" s="59" t="n"/>
      <c r="AO73" s="57" t="n"/>
      <c r="AP73" s="57" t="n"/>
      <c r="AQ73" s="57" t="n"/>
      <c r="AR73" s="57" t="n"/>
      <c r="AS73" s="60">
        <f>SUM(AO73:AR73)</f>
        <v/>
      </c>
      <c r="AT73" s="61" t="n"/>
      <c r="AU73" s="57" t="n"/>
      <c r="AV73" s="58">
        <f>AL73</f>
        <v/>
      </c>
      <c r="AW73" s="59" t="n"/>
      <c r="AX73" s="57" t="n"/>
      <c r="AY73" s="57" t="n"/>
      <c r="AZ73" s="57" t="n"/>
      <c r="BA73" s="57" t="n"/>
      <c r="BB73" s="60">
        <f>SUM(AX73:BA73)</f>
        <v/>
      </c>
      <c r="BC73" s="61" t="n"/>
      <c r="BD73" s="57" t="n"/>
      <c r="BE73" s="58">
        <f>AU73</f>
        <v/>
      </c>
      <c r="BF73" s="59" t="n"/>
      <c r="BG73" s="57" t="n"/>
      <c r="BH73" s="57" t="n"/>
      <c r="BI73" s="57" t="n"/>
      <c r="BJ73" s="57" t="n"/>
      <c r="BK73" s="60">
        <f>SUM(BG73:BJ73)</f>
        <v/>
      </c>
      <c r="BL73" s="61" t="n"/>
      <c r="BM73" s="57" t="n"/>
      <c r="BN73" s="58">
        <f>BD73</f>
        <v/>
      </c>
      <c r="BO73" s="59" t="n"/>
      <c r="BP73" s="57" t="n"/>
      <c r="BQ73" s="57" t="n"/>
      <c r="BR73" s="57" t="n"/>
      <c r="BS73" s="57" t="n"/>
      <c r="BT73" s="60">
        <f>SUM(BP73:BS73)</f>
        <v/>
      </c>
      <c r="BU73" s="61" t="n"/>
      <c r="BV73" s="57" t="n"/>
      <c r="BW73" s="58">
        <f>BM73</f>
        <v/>
      </c>
      <c r="BX73" s="59" t="n"/>
      <c r="BY73" s="57" t="n"/>
      <c r="BZ73" s="57" t="n"/>
      <c r="CA73" s="57" t="n"/>
      <c r="CB73" s="57" t="n"/>
      <c r="CC73" s="60">
        <f>SUM(BY73:CB73)</f>
        <v/>
      </c>
      <c r="CD73" s="61" t="n"/>
      <c r="CE73" s="57" t="n"/>
      <c r="CF73" s="58">
        <f>BV73</f>
        <v/>
      </c>
      <c r="CG73" s="59" t="n"/>
      <c r="CH73" s="57" t="n"/>
      <c r="CI73" s="57" t="n"/>
      <c r="CJ73" s="57" t="n"/>
      <c r="CK73" s="57" t="n"/>
      <c r="CL73" s="60">
        <f>SUM(CH73:CK73)</f>
        <v/>
      </c>
      <c r="CM73" s="61" t="n"/>
      <c r="CN73" s="57" t="n"/>
      <c r="CO73" s="58">
        <f>CE73</f>
        <v/>
      </c>
      <c r="CP73" s="59" t="n"/>
      <c r="CQ73" s="57" t="n"/>
      <c r="CR73" s="57" t="n"/>
      <c r="CS73" s="57" t="n"/>
      <c r="CT73" s="57" t="n"/>
      <c r="CU73" s="60">
        <f>SUM(CQ73:CT73)</f>
        <v/>
      </c>
      <c r="CV73" s="61" t="n"/>
      <c r="CW73" s="57" t="n"/>
      <c r="CX73" s="58">
        <f>CN73</f>
        <v/>
      </c>
      <c r="CY73" s="59" t="n"/>
      <c r="CZ73" s="57" t="n"/>
      <c r="DA73" s="57" t="n"/>
      <c r="DB73" s="57" t="n"/>
      <c r="DC73" s="57" t="n"/>
      <c r="DD73" s="60">
        <f>SUM(CZ73:DC73)</f>
        <v/>
      </c>
      <c r="DE73" s="61" t="n"/>
      <c r="DF73" s="57" t="n"/>
      <c r="DG73" s="58">
        <f>CW73</f>
        <v/>
      </c>
      <c r="DH73" s="59" t="n"/>
      <c r="DI73" s="57" t="n"/>
      <c r="DJ73" s="57" t="n"/>
      <c r="DK73" s="57" t="n"/>
      <c r="DL73" s="57" t="n"/>
      <c r="DM73" s="60">
        <f>SUM(DI73:DL73)</f>
        <v/>
      </c>
      <c r="DN73" s="61" t="n"/>
      <c r="DO73" s="57" t="n"/>
      <c r="DP73" s="58">
        <f>DF73</f>
        <v/>
      </c>
      <c r="DQ73" s="59" t="n"/>
      <c r="DR73" s="57" t="n"/>
      <c r="DS73" s="57" t="n"/>
      <c r="DT73" s="57" t="n"/>
      <c r="DU73" s="57" t="n"/>
      <c r="DV73" s="60">
        <f>SUM(DR73:DU73)</f>
        <v/>
      </c>
      <c r="DW73" s="61" t="n"/>
      <c r="DX73" s="57" t="n"/>
      <c r="DY73" s="58">
        <f>DO73</f>
        <v/>
      </c>
      <c r="DZ73" s="59" t="n"/>
      <c r="EA73" s="57" t="n"/>
      <c r="EB73" s="57" t="n"/>
      <c r="EC73" s="57" t="n"/>
      <c r="ED73" s="57" t="n"/>
      <c r="EE73" s="60">
        <f>SUM(EA73:ED73)</f>
        <v/>
      </c>
      <c r="EF73" s="61" t="n"/>
      <c r="EG73" s="57" t="n"/>
      <c r="EH73" s="58">
        <f>DX73</f>
        <v/>
      </c>
      <c r="EI73" s="59" t="n"/>
      <c r="EJ73" s="57" t="n"/>
      <c r="EK73" s="57" t="n"/>
      <c r="EL73" s="57" t="n"/>
      <c r="EM73" s="57" t="n"/>
      <c r="EN73" s="60">
        <f>SUM(EJ73:EM73)</f>
        <v/>
      </c>
      <c r="EO73" s="61" t="n"/>
      <c r="EP73" s="57" t="n"/>
      <c r="EQ73" s="58">
        <f>EG73</f>
        <v/>
      </c>
      <c r="ER73" s="59" t="n"/>
      <c r="ES73" s="57" t="n"/>
      <c r="ET73" s="57" t="n"/>
      <c r="EU73" s="57" t="n"/>
      <c r="EV73" s="57" t="n"/>
      <c r="EW73" s="60">
        <f>SUM(ES73:EV73)</f>
        <v/>
      </c>
      <c r="EX73" s="61" t="n"/>
      <c r="EY73" s="57" t="n"/>
      <c r="EZ73" s="58">
        <f>EP73</f>
        <v/>
      </c>
      <c r="FA73" s="59" t="n"/>
      <c r="FB73" s="57" t="n"/>
      <c r="FC73" s="57" t="n"/>
      <c r="FD73" s="57" t="n"/>
      <c r="FE73" s="57" t="n"/>
      <c r="FF73" s="60">
        <f>SUM(FB73:FE73)</f>
        <v/>
      </c>
      <c r="FG73" s="61" t="n"/>
      <c r="FH73" s="57" t="n"/>
      <c r="FI73" s="58">
        <f>EY73</f>
        <v/>
      </c>
      <c r="FJ73" s="59" t="n"/>
      <c r="FK73" s="57" t="n"/>
      <c r="FL73" s="57" t="n"/>
      <c r="FM73" s="57" t="n"/>
      <c r="FN73" s="57" t="n"/>
      <c r="FO73" s="60">
        <f>SUM(FK73:FN73)</f>
        <v/>
      </c>
      <c r="FP73" s="61" t="n"/>
      <c r="FQ73" s="57" t="n"/>
      <c r="FR73" s="58">
        <f>FH73</f>
        <v/>
      </c>
      <c r="FS73" s="59" t="n"/>
      <c r="FT73" s="57" t="n"/>
      <c r="FU73" s="57" t="n"/>
      <c r="FV73" s="57" t="n"/>
      <c r="FW73" s="57" t="n"/>
      <c r="FX73" s="60">
        <f>SUM(FT73:FW73)</f>
        <v/>
      </c>
      <c r="FY73" s="61" t="n"/>
      <c r="FZ73" s="57" t="n"/>
      <c r="GA73" s="58">
        <f>FQ73</f>
        <v/>
      </c>
      <c r="GB73" s="59" t="n"/>
      <c r="GC73" s="57" t="n"/>
      <c r="GD73" s="57" t="n"/>
      <c r="GE73" s="57" t="n"/>
      <c r="GF73" s="57" t="n"/>
      <c r="GG73" s="60">
        <f>SUM(GC73:GF73)</f>
        <v/>
      </c>
      <c r="GH73" s="61" t="n"/>
      <c r="GI73" s="57" t="n"/>
      <c r="GJ73" s="58">
        <f>FZ73</f>
        <v/>
      </c>
      <c r="GK73" s="59" t="n"/>
      <c r="GL73" s="57" t="n"/>
      <c r="GM73" s="57" t="n"/>
      <c r="GN73" s="57" t="n"/>
      <c r="GO73" s="57" t="n"/>
      <c r="GP73" s="60">
        <f>SUM(GL73:GO73)</f>
        <v/>
      </c>
      <c r="GQ73" s="61" t="n"/>
      <c r="GR73" s="57" t="n"/>
      <c r="GS73" s="58">
        <f>GI73</f>
        <v/>
      </c>
      <c r="GT73" s="59" t="n"/>
      <c r="GU73" s="57" t="n"/>
      <c r="GV73" s="57" t="n"/>
      <c r="GW73" s="57" t="n"/>
      <c r="GX73" s="57" t="n"/>
      <c r="GY73" s="60">
        <f>SUM(GU73:GX73)</f>
        <v/>
      </c>
      <c r="GZ73" s="61" t="n"/>
      <c r="HA73" s="57" t="n"/>
      <c r="HB73" s="58">
        <f>GR73</f>
        <v/>
      </c>
      <c r="HC73" s="59" t="n"/>
      <c r="HD73" s="57" t="n"/>
      <c r="HE73" s="57" t="n"/>
      <c r="HF73" s="57" t="n"/>
      <c r="HG73" s="57" t="n"/>
      <c r="HH73" s="60">
        <f>SUM(HD73:HG73)</f>
        <v/>
      </c>
      <c r="HI73" s="61" t="n"/>
      <c r="HJ73" s="57" t="n"/>
      <c r="HK73" s="58">
        <f>HA73</f>
        <v/>
      </c>
      <c r="HL73" s="59" t="n"/>
      <c r="HM73" s="57" t="n"/>
      <c r="HN73" s="57" t="n"/>
      <c r="HO73" s="57" t="n"/>
      <c r="HP73" s="57" t="n"/>
      <c r="HQ73" s="60">
        <f>SUM(HM73:HP73)</f>
        <v/>
      </c>
      <c r="HR73" s="61" t="n"/>
      <c r="HS73" s="57" t="n"/>
      <c r="HT73" s="58">
        <f>HJ73</f>
        <v/>
      </c>
      <c r="HU73" s="59" t="n"/>
      <c r="HV73" s="57" t="n"/>
      <c r="HW73" s="57" t="n"/>
      <c r="HX73" s="57" t="n"/>
      <c r="HY73" s="57" t="n"/>
      <c r="HZ73" s="60">
        <f>SUM(HV73:HY73)</f>
        <v/>
      </c>
      <c r="IA73" s="61" t="n"/>
      <c r="IB73" s="57" t="n"/>
      <c r="IC73" s="58">
        <f>HS73</f>
        <v/>
      </c>
      <c r="ID73" s="59" t="n"/>
      <c r="IE73" s="57" t="n"/>
      <c r="IF73" s="57" t="n"/>
      <c r="IG73" s="57" t="n"/>
      <c r="IH73" s="57" t="n"/>
      <c r="II73" s="60">
        <f>SUM(IE73:IH73)</f>
        <v/>
      </c>
      <c r="IJ73" s="61" t="n"/>
      <c r="IK73" s="57" t="n"/>
      <c r="IL73" s="58">
        <f>IB73</f>
        <v/>
      </c>
      <c r="IM73" s="59" t="n"/>
      <c r="IN73" s="57" t="n"/>
      <c r="IO73" s="57" t="n"/>
      <c r="IP73" s="57" t="n"/>
      <c r="IQ73" s="57" t="n"/>
      <c r="IR73" s="60">
        <f>SUM(IN73:IQ73)</f>
        <v/>
      </c>
      <c r="IS73" s="61" t="n"/>
      <c r="IT73" s="57" t="n"/>
      <c r="IU73" s="58">
        <f>IK73</f>
        <v/>
      </c>
      <c r="IV73" s="59" t="n"/>
      <c r="IW73" s="57" t="n"/>
      <c r="IX73" s="57" t="n"/>
      <c r="IY73" s="57" t="n"/>
      <c r="IZ73" s="57" t="n"/>
      <c r="JA73" s="60">
        <f>SUM(IW73:IZ73)</f>
        <v/>
      </c>
      <c r="JB73" s="61" t="n"/>
      <c r="JC73" s="57" t="n"/>
      <c r="JD73" s="58">
        <f>IT73</f>
        <v/>
      </c>
      <c r="JE73" s="59" t="n"/>
      <c r="JF73" s="57" t="n"/>
      <c r="JG73" s="57" t="n"/>
      <c r="JH73" s="57" t="n"/>
      <c r="JI73" s="57" t="n"/>
      <c r="JJ73" s="60">
        <f>SUM(JF73:JI73)</f>
        <v/>
      </c>
      <c r="JK73" s="61" t="n"/>
      <c r="JL73" s="57" t="n"/>
      <c r="JM73" s="58">
        <f>JC73</f>
        <v/>
      </c>
      <c r="JN73" s="59" t="n"/>
      <c r="JO73" s="57" t="n"/>
      <c r="JP73" s="57" t="n"/>
      <c r="JQ73" s="57" t="n"/>
      <c r="JR73" s="57" t="n"/>
      <c r="JS73" s="60">
        <f>SUM(JO73:JR73)</f>
        <v/>
      </c>
      <c r="JT73" s="61" t="n"/>
      <c r="JU73" s="62">
        <f>I73+R73+AA73+AJ73+AS73+BB73+BK73+BT73+CC73+CL73+CU73+DD73+DM73+DV73+EE73+EN73+EW73+FF73+FO73+FX73+GG73+GP73+GY73+HH73+HQ73+HZ73+II73+IR73+JA73+JJ73+JS73</f>
        <v/>
      </c>
      <c r="JV73" s="63">
        <f>D73+M73+V73+AE73+AN73+AW73+BF73+BO73+BX73+CG73+CP73+CY73+DH73+DQ73+DZ73+EI73+ER73+FA73+FJ73+FS73+GB73+GK73+GT73+HC73+HL73+HU73+ID73+IM73+IV73+JE73+JN73</f>
        <v/>
      </c>
      <c r="JW73" s="62">
        <f>CHOOSE($Z$3,B73, K73, T73, AC73, AL73, AU73, BD73, BM73, BV73, CE73, CN73, CW73, DF73, DO73, DX73, EG73, EP73, EY73, FH73, FQ73, FZ73, GI73, GR73, HA73, HJ73, HS73, IB73, IK73, IT73, JC73, JL73)</f>
        <v/>
      </c>
      <c r="JX73" s="62">
        <f>IFERROR(JU73/$Z$3,0)</f>
        <v/>
      </c>
      <c r="JY73" s="62">
        <f>Configurações!$C$13</f>
        <v/>
      </c>
      <c r="JZ73" s="64">
        <f>IF(JY73=0,"— Sem meta",IF(JU73&gt;=JY73,"✓ Atingida","Em andamento"))</f>
        <v/>
      </c>
      <c r="KA73" s="65">
        <f>JU73+(7*0.0000001)</f>
        <v/>
      </c>
    </row>
    <row r="74" ht="20" customHeight="1">
      <c r="A74" s="56">
        <f>IF(Configurações!$B$14="","Assessor 8",Configurações!$B$14)</f>
        <v/>
      </c>
      <c r="B74" s="57" t="n"/>
      <c r="C74" s="66">
        <f>'Junho'!$JW74</f>
        <v/>
      </c>
      <c r="D74" s="59" t="n"/>
      <c r="E74" s="57" t="n"/>
      <c r="F74" s="57" t="n"/>
      <c r="G74" s="57" t="n"/>
      <c r="H74" s="57" t="n"/>
      <c r="I74" s="67">
        <f>SUM(E74:H74)</f>
        <v/>
      </c>
      <c r="J74" s="61" t="n"/>
      <c r="K74" s="57" t="n"/>
      <c r="L74" s="66">
        <f>B74</f>
        <v/>
      </c>
      <c r="M74" s="59" t="n"/>
      <c r="N74" s="57" t="n"/>
      <c r="O74" s="57" t="n"/>
      <c r="P74" s="57" t="n"/>
      <c r="Q74" s="57" t="n"/>
      <c r="R74" s="67">
        <f>SUM(N74:Q74)</f>
        <v/>
      </c>
      <c r="S74" s="61" t="n"/>
      <c r="T74" s="57" t="n"/>
      <c r="U74" s="66">
        <f>K74</f>
        <v/>
      </c>
      <c r="V74" s="59" t="n"/>
      <c r="W74" s="57" t="n"/>
      <c r="X74" s="57" t="n"/>
      <c r="Y74" s="57" t="n"/>
      <c r="Z74" s="57" t="n"/>
      <c r="AA74" s="67">
        <f>SUM(W74:Z74)</f>
        <v/>
      </c>
      <c r="AB74" s="61" t="n"/>
      <c r="AC74" s="57" t="n"/>
      <c r="AD74" s="66">
        <f>T74</f>
        <v/>
      </c>
      <c r="AE74" s="59" t="n"/>
      <c r="AF74" s="57" t="n"/>
      <c r="AG74" s="57" t="n"/>
      <c r="AH74" s="57" t="n"/>
      <c r="AI74" s="57" t="n"/>
      <c r="AJ74" s="67">
        <f>SUM(AF74:AI74)</f>
        <v/>
      </c>
      <c r="AK74" s="61" t="n"/>
      <c r="AL74" s="57" t="n"/>
      <c r="AM74" s="66">
        <f>AC74</f>
        <v/>
      </c>
      <c r="AN74" s="59" t="n"/>
      <c r="AO74" s="57" t="n"/>
      <c r="AP74" s="57" t="n"/>
      <c r="AQ74" s="57" t="n"/>
      <c r="AR74" s="57" t="n"/>
      <c r="AS74" s="67">
        <f>SUM(AO74:AR74)</f>
        <v/>
      </c>
      <c r="AT74" s="61" t="n"/>
      <c r="AU74" s="57" t="n"/>
      <c r="AV74" s="66">
        <f>AL74</f>
        <v/>
      </c>
      <c r="AW74" s="59" t="n"/>
      <c r="AX74" s="57" t="n"/>
      <c r="AY74" s="57" t="n"/>
      <c r="AZ74" s="57" t="n"/>
      <c r="BA74" s="57" t="n"/>
      <c r="BB74" s="67">
        <f>SUM(AX74:BA74)</f>
        <v/>
      </c>
      <c r="BC74" s="61" t="n"/>
      <c r="BD74" s="57" t="n"/>
      <c r="BE74" s="66">
        <f>AU74</f>
        <v/>
      </c>
      <c r="BF74" s="59" t="n"/>
      <c r="BG74" s="57" t="n"/>
      <c r="BH74" s="57" t="n"/>
      <c r="BI74" s="57" t="n"/>
      <c r="BJ74" s="57" t="n"/>
      <c r="BK74" s="67">
        <f>SUM(BG74:BJ74)</f>
        <v/>
      </c>
      <c r="BL74" s="61" t="n"/>
      <c r="BM74" s="57" t="n"/>
      <c r="BN74" s="66">
        <f>BD74</f>
        <v/>
      </c>
      <c r="BO74" s="59" t="n"/>
      <c r="BP74" s="57" t="n"/>
      <c r="BQ74" s="57" t="n"/>
      <c r="BR74" s="57" t="n"/>
      <c r="BS74" s="57" t="n"/>
      <c r="BT74" s="67">
        <f>SUM(BP74:BS74)</f>
        <v/>
      </c>
      <c r="BU74" s="61" t="n"/>
      <c r="BV74" s="57" t="n"/>
      <c r="BW74" s="66">
        <f>BM74</f>
        <v/>
      </c>
      <c r="BX74" s="59" t="n"/>
      <c r="BY74" s="57" t="n"/>
      <c r="BZ74" s="57" t="n"/>
      <c r="CA74" s="57" t="n"/>
      <c r="CB74" s="57" t="n"/>
      <c r="CC74" s="67">
        <f>SUM(BY74:CB74)</f>
        <v/>
      </c>
      <c r="CD74" s="61" t="n"/>
      <c r="CE74" s="57" t="n"/>
      <c r="CF74" s="66">
        <f>BV74</f>
        <v/>
      </c>
      <c r="CG74" s="59" t="n"/>
      <c r="CH74" s="57" t="n"/>
      <c r="CI74" s="57" t="n"/>
      <c r="CJ74" s="57" t="n"/>
      <c r="CK74" s="57" t="n"/>
      <c r="CL74" s="67">
        <f>SUM(CH74:CK74)</f>
        <v/>
      </c>
      <c r="CM74" s="61" t="n"/>
      <c r="CN74" s="57" t="n"/>
      <c r="CO74" s="66">
        <f>CE74</f>
        <v/>
      </c>
      <c r="CP74" s="59" t="n"/>
      <c r="CQ74" s="57" t="n"/>
      <c r="CR74" s="57" t="n"/>
      <c r="CS74" s="57" t="n"/>
      <c r="CT74" s="57" t="n"/>
      <c r="CU74" s="67">
        <f>SUM(CQ74:CT74)</f>
        <v/>
      </c>
      <c r="CV74" s="61" t="n"/>
      <c r="CW74" s="57" t="n"/>
      <c r="CX74" s="66">
        <f>CN74</f>
        <v/>
      </c>
      <c r="CY74" s="59" t="n"/>
      <c r="CZ74" s="57" t="n"/>
      <c r="DA74" s="57" t="n"/>
      <c r="DB74" s="57" t="n"/>
      <c r="DC74" s="57" t="n"/>
      <c r="DD74" s="67">
        <f>SUM(CZ74:DC74)</f>
        <v/>
      </c>
      <c r="DE74" s="61" t="n"/>
      <c r="DF74" s="57" t="n"/>
      <c r="DG74" s="66">
        <f>CW74</f>
        <v/>
      </c>
      <c r="DH74" s="59" t="n"/>
      <c r="DI74" s="57" t="n"/>
      <c r="DJ74" s="57" t="n"/>
      <c r="DK74" s="57" t="n"/>
      <c r="DL74" s="57" t="n"/>
      <c r="DM74" s="67">
        <f>SUM(DI74:DL74)</f>
        <v/>
      </c>
      <c r="DN74" s="61" t="n"/>
      <c r="DO74" s="57" t="n"/>
      <c r="DP74" s="66">
        <f>DF74</f>
        <v/>
      </c>
      <c r="DQ74" s="59" t="n"/>
      <c r="DR74" s="57" t="n"/>
      <c r="DS74" s="57" t="n"/>
      <c r="DT74" s="57" t="n"/>
      <c r="DU74" s="57" t="n"/>
      <c r="DV74" s="67">
        <f>SUM(DR74:DU74)</f>
        <v/>
      </c>
      <c r="DW74" s="61" t="n"/>
      <c r="DX74" s="57" t="n"/>
      <c r="DY74" s="66">
        <f>DO74</f>
        <v/>
      </c>
      <c r="DZ74" s="59" t="n"/>
      <c r="EA74" s="57" t="n"/>
      <c r="EB74" s="57" t="n"/>
      <c r="EC74" s="57" t="n"/>
      <c r="ED74" s="57" t="n"/>
      <c r="EE74" s="67">
        <f>SUM(EA74:ED74)</f>
        <v/>
      </c>
      <c r="EF74" s="61" t="n"/>
      <c r="EG74" s="57" t="n"/>
      <c r="EH74" s="66">
        <f>DX74</f>
        <v/>
      </c>
      <c r="EI74" s="59" t="n"/>
      <c r="EJ74" s="57" t="n"/>
      <c r="EK74" s="57" t="n"/>
      <c r="EL74" s="57" t="n"/>
      <c r="EM74" s="57" t="n"/>
      <c r="EN74" s="67">
        <f>SUM(EJ74:EM74)</f>
        <v/>
      </c>
      <c r="EO74" s="61" t="n"/>
      <c r="EP74" s="57" t="n"/>
      <c r="EQ74" s="66">
        <f>EG74</f>
        <v/>
      </c>
      <c r="ER74" s="59" t="n"/>
      <c r="ES74" s="57" t="n"/>
      <c r="ET74" s="57" t="n"/>
      <c r="EU74" s="57" t="n"/>
      <c r="EV74" s="57" t="n"/>
      <c r="EW74" s="67">
        <f>SUM(ES74:EV74)</f>
        <v/>
      </c>
      <c r="EX74" s="61" t="n"/>
      <c r="EY74" s="57" t="n"/>
      <c r="EZ74" s="66">
        <f>EP74</f>
        <v/>
      </c>
      <c r="FA74" s="59" t="n"/>
      <c r="FB74" s="57" t="n"/>
      <c r="FC74" s="57" t="n"/>
      <c r="FD74" s="57" t="n"/>
      <c r="FE74" s="57" t="n"/>
      <c r="FF74" s="67">
        <f>SUM(FB74:FE74)</f>
        <v/>
      </c>
      <c r="FG74" s="61" t="n"/>
      <c r="FH74" s="57" t="n"/>
      <c r="FI74" s="66">
        <f>EY74</f>
        <v/>
      </c>
      <c r="FJ74" s="59" t="n"/>
      <c r="FK74" s="57" t="n"/>
      <c r="FL74" s="57" t="n"/>
      <c r="FM74" s="57" t="n"/>
      <c r="FN74" s="57" t="n"/>
      <c r="FO74" s="67">
        <f>SUM(FK74:FN74)</f>
        <v/>
      </c>
      <c r="FP74" s="61" t="n"/>
      <c r="FQ74" s="57" t="n"/>
      <c r="FR74" s="66">
        <f>FH74</f>
        <v/>
      </c>
      <c r="FS74" s="59" t="n"/>
      <c r="FT74" s="57" t="n"/>
      <c r="FU74" s="57" t="n"/>
      <c r="FV74" s="57" t="n"/>
      <c r="FW74" s="57" t="n"/>
      <c r="FX74" s="67">
        <f>SUM(FT74:FW74)</f>
        <v/>
      </c>
      <c r="FY74" s="61" t="n"/>
      <c r="FZ74" s="57" t="n"/>
      <c r="GA74" s="66">
        <f>FQ74</f>
        <v/>
      </c>
      <c r="GB74" s="59" t="n"/>
      <c r="GC74" s="57" t="n"/>
      <c r="GD74" s="57" t="n"/>
      <c r="GE74" s="57" t="n"/>
      <c r="GF74" s="57" t="n"/>
      <c r="GG74" s="67">
        <f>SUM(GC74:GF74)</f>
        <v/>
      </c>
      <c r="GH74" s="61" t="n"/>
      <c r="GI74" s="57" t="n"/>
      <c r="GJ74" s="66">
        <f>FZ74</f>
        <v/>
      </c>
      <c r="GK74" s="59" t="n"/>
      <c r="GL74" s="57" t="n"/>
      <c r="GM74" s="57" t="n"/>
      <c r="GN74" s="57" t="n"/>
      <c r="GO74" s="57" t="n"/>
      <c r="GP74" s="67">
        <f>SUM(GL74:GO74)</f>
        <v/>
      </c>
      <c r="GQ74" s="61" t="n"/>
      <c r="GR74" s="57" t="n"/>
      <c r="GS74" s="66">
        <f>GI74</f>
        <v/>
      </c>
      <c r="GT74" s="59" t="n"/>
      <c r="GU74" s="57" t="n"/>
      <c r="GV74" s="57" t="n"/>
      <c r="GW74" s="57" t="n"/>
      <c r="GX74" s="57" t="n"/>
      <c r="GY74" s="67">
        <f>SUM(GU74:GX74)</f>
        <v/>
      </c>
      <c r="GZ74" s="61" t="n"/>
      <c r="HA74" s="57" t="n"/>
      <c r="HB74" s="66">
        <f>GR74</f>
        <v/>
      </c>
      <c r="HC74" s="59" t="n"/>
      <c r="HD74" s="57" t="n"/>
      <c r="HE74" s="57" t="n"/>
      <c r="HF74" s="57" t="n"/>
      <c r="HG74" s="57" t="n"/>
      <c r="HH74" s="67">
        <f>SUM(HD74:HG74)</f>
        <v/>
      </c>
      <c r="HI74" s="61" t="n"/>
      <c r="HJ74" s="57" t="n"/>
      <c r="HK74" s="66">
        <f>HA74</f>
        <v/>
      </c>
      <c r="HL74" s="59" t="n"/>
      <c r="HM74" s="57" t="n"/>
      <c r="HN74" s="57" t="n"/>
      <c r="HO74" s="57" t="n"/>
      <c r="HP74" s="57" t="n"/>
      <c r="HQ74" s="67">
        <f>SUM(HM74:HP74)</f>
        <v/>
      </c>
      <c r="HR74" s="61" t="n"/>
      <c r="HS74" s="57" t="n"/>
      <c r="HT74" s="66">
        <f>HJ74</f>
        <v/>
      </c>
      <c r="HU74" s="59" t="n"/>
      <c r="HV74" s="57" t="n"/>
      <c r="HW74" s="57" t="n"/>
      <c r="HX74" s="57" t="n"/>
      <c r="HY74" s="57" t="n"/>
      <c r="HZ74" s="67">
        <f>SUM(HV74:HY74)</f>
        <v/>
      </c>
      <c r="IA74" s="61" t="n"/>
      <c r="IB74" s="57" t="n"/>
      <c r="IC74" s="66">
        <f>HS74</f>
        <v/>
      </c>
      <c r="ID74" s="59" t="n"/>
      <c r="IE74" s="57" t="n"/>
      <c r="IF74" s="57" t="n"/>
      <c r="IG74" s="57" t="n"/>
      <c r="IH74" s="57" t="n"/>
      <c r="II74" s="67">
        <f>SUM(IE74:IH74)</f>
        <v/>
      </c>
      <c r="IJ74" s="61" t="n"/>
      <c r="IK74" s="57" t="n"/>
      <c r="IL74" s="66">
        <f>IB74</f>
        <v/>
      </c>
      <c r="IM74" s="59" t="n"/>
      <c r="IN74" s="57" t="n"/>
      <c r="IO74" s="57" t="n"/>
      <c r="IP74" s="57" t="n"/>
      <c r="IQ74" s="57" t="n"/>
      <c r="IR74" s="67">
        <f>SUM(IN74:IQ74)</f>
        <v/>
      </c>
      <c r="IS74" s="61" t="n"/>
      <c r="IT74" s="57" t="n"/>
      <c r="IU74" s="66">
        <f>IK74</f>
        <v/>
      </c>
      <c r="IV74" s="59" t="n"/>
      <c r="IW74" s="57" t="n"/>
      <c r="IX74" s="57" t="n"/>
      <c r="IY74" s="57" t="n"/>
      <c r="IZ74" s="57" t="n"/>
      <c r="JA74" s="67">
        <f>SUM(IW74:IZ74)</f>
        <v/>
      </c>
      <c r="JB74" s="61" t="n"/>
      <c r="JC74" s="57" t="n"/>
      <c r="JD74" s="66">
        <f>IT74</f>
        <v/>
      </c>
      <c r="JE74" s="59" t="n"/>
      <c r="JF74" s="57" t="n"/>
      <c r="JG74" s="57" t="n"/>
      <c r="JH74" s="57" t="n"/>
      <c r="JI74" s="57" t="n"/>
      <c r="JJ74" s="67">
        <f>SUM(JF74:JI74)</f>
        <v/>
      </c>
      <c r="JK74" s="61" t="n"/>
      <c r="JL74" s="57" t="n"/>
      <c r="JM74" s="66">
        <f>JC74</f>
        <v/>
      </c>
      <c r="JN74" s="59" t="n"/>
      <c r="JO74" s="57" t="n"/>
      <c r="JP74" s="57" t="n"/>
      <c r="JQ74" s="57" t="n"/>
      <c r="JR74" s="57" t="n"/>
      <c r="JS74" s="67">
        <f>SUM(JO74:JR74)</f>
        <v/>
      </c>
      <c r="JT74" s="61" t="n"/>
      <c r="JU74" s="62">
        <f>I74+R74+AA74+AJ74+AS74+BB74+BK74+BT74+CC74+CL74+CU74+DD74+DM74+DV74+EE74+EN74+EW74+FF74+FO74+FX74+GG74+GP74+GY74+HH74+HQ74+HZ74+II74+IR74+JA74+JJ74+JS74</f>
        <v/>
      </c>
      <c r="JV74" s="63">
        <f>D74+M74+V74+AE74+AN74+AW74+BF74+BO74+BX74+CG74+CP74+CY74+DH74+DQ74+DZ74+EI74+ER74+FA74+FJ74+FS74+GB74+GK74+GT74+HC74+HL74+HU74+ID74+IM74+IV74+JE74+JN74</f>
        <v/>
      </c>
      <c r="JW74" s="62">
        <f>CHOOSE($Z$3,B74, K74, T74, AC74, AL74, AU74, BD74, BM74, BV74, CE74, CN74, CW74, DF74, DO74, DX74, EG74, EP74, EY74, FH74, FQ74, FZ74, GI74, GR74, HA74, HJ74, HS74, IB74, IK74, IT74, JC74, JL74)</f>
        <v/>
      </c>
      <c r="JX74" s="62">
        <f>IFERROR(JU74/$Z$3,0)</f>
        <v/>
      </c>
      <c r="JY74" s="62">
        <f>Configurações!$C$14</f>
        <v/>
      </c>
      <c r="JZ74" s="64">
        <f>IF(JY74=0,"— Sem meta",IF(JU74&gt;=JY74,"✓ Atingida","Em andamento"))</f>
        <v/>
      </c>
      <c r="KA74" s="65">
        <f>JU74+(6*0.0000001)</f>
        <v/>
      </c>
    </row>
    <row r="75" ht="20" customHeight="1">
      <c r="A75" s="56">
        <f>IF(Configurações!$B$15="","Assessor 9",Configurações!$B$15)</f>
        <v/>
      </c>
      <c r="B75" s="57" t="n"/>
      <c r="C75" s="58">
        <f>'Junho'!$JW75</f>
        <v/>
      </c>
      <c r="D75" s="59" t="n"/>
      <c r="E75" s="57" t="n"/>
      <c r="F75" s="57" t="n"/>
      <c r="G75" s="57" t="n"/>
      <c r="H75" s="57" t="n"/>
      <c r="I75" s="60">
        <f>SUM(E75:H75)</f>
        <v/>
      </c>
      <c r="J75" s="61" t="n"/>
      <c r="K75" s="57" t="n"/>
      <c r="L75" s="58">
        <f>B75</f>
        <v/>
      </c>
      <c r="M75" s="59" t="n"/>
      <c r="N75" s="57" t="n"/>
      <c r="O75" s="57" t="n"/>
      <c r="P75" s="57" t="n"/>
      <c r="Q75" s="57" t="n"/>
      <c r="R75" s="60">
        <f>SUM(N75:Q75)</f>
        <v/>
      </c>
      <c r="S75" s="61" t="n"/>
      <c r="T75" s="57" t="n"/>
      <c r="U75" s="58">
        <f>K75</f>
        <v/>
      </c>
      <c r="V75" s="59" t="n"/>
      <c r="W75" s="57" t="n"/>
      <c r="X75" s="57" t="n"/>
      <c r="Y75" s="57" t="n"/>
      <c r="Z75" s="57" t="n"/>
      <c r="AA75" s="60">
        <f>SUM(W75:Z75)</f>
        <v/>
      </c>
      <c r="AB75" s="61" t="n"/>
      <c r="AC75" s="57" t="n"/>
      <c r="AD75" s="58">
        <f>T75</f>
        <v/>
      </c>
      <c r="AE75" s="59" t="n"/>
      <c r="AF75" s="57" t="n"/>
      <c r="AG75" s="57" t="n"/>
      <c r="AH75" s="57" t="n"/>
      <c r="AI75" s="57" t="n"/>
      <c r="AJ75" s="60">
        <f>SUM(AF75:AI75)</f>
        <v/>
      </c>
      <c r="AK75" s="61" t="n"/>
      <c r="AL75" s="57" t="n"/>
      <c r="AM75" s="58">
        <f>AC75</f>
        <v/>
      </c>
      <c r="AN75" s="59" t="n"/>
      <c r="AO75" s="57" t="n"/>
      <c r="AP75" s="57" t="n"/>
      <c r="AQ75" s="57" t="n"/>
      <c r="AR75" s="57" t="n"/>
      <c r="AS75" s="60">
        <f>SUM(AO75:AR75)</f>
        <v/>
      </c>
      <c r="AT75" s="61" t="n"/>
      <c r="AU75" s="57" t="n"/>
      <c r="AV75" s="58">
        <f>AL75</f>
        <v/>
      </c>
      <c r="AW75" s="59" t="n"/>
      <c r="AX75" s="57" t="n"/>
      <c r="AY75" s="57" t="n"/>
      <c r="AZ75" s="57" t="n"/>
      <c r="BA75" s="57" t="n"/>
      <c r="BB75" s="60">
        <f>SUM(AX75:BA75)</f>
        <v/>
      </c>
      <c r="BC75" s="61" t="n"/>
      <c r="BD75" s="57" t="n"/>
      <c r="BE75" s="58">
        <f>AU75</f>
        <v/>
      </c>
      <c r="BF75" s="59" t="n"/>
      <c r="BG75" s="57" t="n"/>
      <c r="BH75" s="57" t="n"/>
      <c r="BI75" s="57" t="n"/>
      <c r="BJ75" s="57" t="n"/>
      <c r="BK75" s="60">
        <f>SUM(BG75:BJ75)</f>
        <v/>
      </c>
      <c r="BL75" s="61" t="n"/>
      <c r="BM75" s="57" t="n"/>
      <c r="BN75" s="58">
        <f>BD75</f>
        <v/>
      </c>
      <c r="BO75" s="59" t="n"/>
      <c r="BP75" s="57" t="n"/>
      <c r="BQ75" s="57" t="n"/>
      <c r="BR75" s="57" t="n"/>
      <c r="BS75" s="57" t="n"/>
      <c r="BT75" s="60">
        <f>SUM(BP75:BS75)</f>
        <v/>
      </c>
      <c r="BU75" s="61" t="n"/>
      <c r="BV75" s="57" t="n"/>
      <c r="BW75" s="58">
        <f>BM75</f>
        <v/>
      </c>
      <c r="BX75" s="59" t="n"/>
      <c r="BY75" s="57" t="n"/>
      <c r="BZ75" s="57" t="n"/>
      <c r="CA75" s="57" t="n"/>
      <c r="CB75" s="57" t="n"/>
      <c r="CC75" s="60">
        <f>SUM(BY75:CB75)</f>
        <v/>
      </c>
      <c r="CD75" s="61" t="n"/>
      <c r="CE75" s="57" t="n"/>
      <c r="CF75" s="58">
        <f>BV75</f>
        <v/>
      </c>
      <c r="CG75" s="59" t="n"/>
      <c r="CH75" s="57" t="n"/>
      <c r="CI75" s="57" t="n"/>
      <c r="CJ75" s="57" t="n"/>
      <c r="CK75" s="57" t="n"/>
      <c r="CL75" s="60">
        <f>SUM(CH75:CK75)</f>
        <v/>
      </c>
      <c r="CM75" s="61" t="n"/>
      <c r="CN75" s="57" t="n"/>
      <c r="CO75" s="58">
        <f>CE75</f>
        <v/>
      </c>
      <c r="CP75" s="59" t="n"/>
      <c r="CQ75" s="57" t="n"/>
      <c r="CR75" s="57" t="n"/>
      <c r="CS75" s="57" t="n"/>
      <c r="CT75" s="57" t="n"/>
      <c r="CU75" s="60">
        <f>SUM(CQ75:CT75)</f>
        <v/>
      </c>
      <c r="CV75" s="61" t="n"/>
      <c r="CW75" s="57" t="n"/>
      <c r="CX75" s="58">
        <f>CN75</f>
        <v/>
      </c>
      <c r="CY75" s="59" t="n"/>
      <c r="CZ75" s="57" t="n"/>
      <c r="DA75" s="57" t="n"/>
      <c r="DB75" s="57" t="n"/>
      <c r="DC75" s="57" t="n"/>
      <c r="DD75" s="60">
        <f>SUM(CZ75:DC75)</f>
        <v/>
      </c>
      <c r="DE75" s="61" t="n"/>
      <c r="DF75" s="57" t="n"/>
      <c r="DG75" s="58">
        <f>CW75</f>
        <v/>
      </c>
      <c r="DH75" s="59" t="n"/>
      <c r="DI75" s="57" t="n"/>
      <c r="DJ75" s="57" t="n"/>
      <c r="DK75" s="57" t="n"/>
      <c r="DL75" s="57" t="n"/>
      <c r="DM75" s="60">
        <f>SUM(DI75:DL75)</f>
        <v/>
      </c>
      <c r="DN75" s="61" t="n"/>
      <c r="DO75" s="57" t="n"/>
      <c r="DP75" s="58">
        <f>DF75</f>
        <v/>
      </c>
      <c r="DQ75" s="59" t="n"/>
      <c r="DR75" s="57" t="n"/>
      <c r="DS75" s="57" t="n"/>
      <c r="DT75" s="57" t="n"/>
      <c r="DU75" s="57" t="n"/>
      <c r="DV75" s="60">
        <f>SUM(DR75:DU75)</f>
        <v/>
      </c>
      <c r="DW75" s="61" t="n"/>
      <c r="DX75" s="57" t="n"/>
      <c r="DY75" s="58">
        <f>DO75</f>
        <v/>
      </c>
      <c r="DZ75" s="59" t="n"/>
      <c r="EA75" s="57" t="n"/>
      <c r="EB75" s="57" t="n"/>
      <c r="EC75" s="57" t="n"/>
      <c r="ED75" s="57" t="n"/>
      <c r="EE75" s="60">
        <f>SUM(EA75:ED75)</f>
        <v/>
      </c>
      <c r="EF75" s="61" t="n"/>
      <c r="EG75" s="57" t="n"/>
      <c r="EH75" s="58">
        <f>DX75</f>
        <v/>
      </c>
      <c r="EI75" s="59" t="n"/>
      <c r="EJ75" s="57" t="n"/>
      <c r="EK75" s="57" t="n"/>
      <c r="EL75" s="57" t="n"/>
      <c r="EM75" s="57" t="n"/>
      <c r="EN75" s="60">
        <f>SUM(EJ75:EM75)</f>
        <v/>
      </c>
      <c r="EO75" s="61" t="n"/>
      <c r="EP75" s="57" t="n"/>
      <c r="EQ75" s="58">
        <f>EG75</f>
        <v/>
      </c>
      <c r="ER75" s="59" t="n"/>
      <c r="ES75" s="57" t="n"/>
      <c r="ET75" s="57" t="n"/>
      <c r="EU75" s="57" t="n"/>
      <c r="EV75" s="57" t="n"/>
      <c r="EW75" s="60">
        <f>SUM(ES75:EV75)</f>
        <v/>
      </c>
      <c r="EX75" s="61" t="n"/>
      <c r="EY75" s="57" t="n"/>
      <c r="EZ75" s="58">
        <f>EP75</f>
        <v/>
      </c>
      <c r="FA75" s="59" t="n"/>
      <c r="FB75" s="57" t="n"/>
      <c r="FC75" s="57" t="n"/>
      <c r="FD75" s="57" t="n"/>
      <c r="FE75" s="57" t="n"/>
      <c r="FF75" s="60">
        <f>SUM(FB75:FE75)</f>
        <v/>
      </c>
      <c r="FG75" s="61" t="n"/>
      <c r="FH75" s="57" t="n"/>
      <c r="FI75" s="58">
        <f>EY75</f>
        <v/>
      </c>
      <c r="FJ75" s="59" t="n"/>
      <c r="FK75" s="57" t="n"/>
      <c r="FL75" s="57" t="n"/>
      <c r="FM75" s="57" t="n"/>
      <c r="FN75" s="57" t="n"/>
      <c r="FO75" s="60">
        <f>SUM(FK75:FN75)</f>
        <v/>
      </c>
      <c r="FP75" s="61" t="n"/>
      <c r="FQ75" s="57" t="n"/>
      <c r="FR75" s="58">
        <f>FH75</f>
        <v/>
      </c>
      <c r="FS75" s="59" t="n"/>
      <c r="FT75" s="57" t="n"/>
      <c r="FU75" s="57" t="n"/>
      <c r="FV75" s="57" t="n"/>
      <c r="FW75" s="57" t="n"/>
      <c r="FX75" s="60">
        <f>SUM(FT75:FW75)</f>
        <v/>
      </c>
      <c r="FY75" s="61" t="n"/>
      <c r="FZ75" s="57" t="n"/>
      <c r="GA75" s="58">
        <f>FQ75</f>
        <v/>
      </c>
      <c r="GB75" s="59" t="n"/>
      <c r="GC75" s="57" t="n"/>
      <c r="GD75" s="57" t="n"/>
      <c r="GE75" s="57" t="n"/>
      <c r="GF75" s="57" t="n"/>
      <c r="GG75" s="60">
        <f>SUM(GC75:GF75)</f>
        <v/>
      </c>
      <c r="GH75" s="61" t="n"/>
      <c r="GI75" s="57" t="n"/>
      <c r="GJ75" s="58">
        <f>FZ75</f>
        <v/>
      </c>
      <c r="GK75" s="59" t="n"/>
      <c r="GL75" s="57" t="n"/>
      <c r="GM75" s="57" t="n"/>
      <c r="GN75" s="57" t="n"/>
      <c r="GO75" s="57" t="n"/>
      <c r="GP75" s="60">
        <f>SUM(GL75:GO75)</f>
        <v/>
      </c>
      <c r="GQ75" s="61" t="n"/>
      <c r="GR75" s="57" t="n"/>
      <c r="GS75" s="58">
        <f>GI75</f>
        <v/>
      </c>
      <c r="GT75" s="59" t="n"/>
      <c r="GU75" s="57" t="n"/>
      <c r="GV75" s="57" t="n"/>
      <c r="GW75" s="57" t="n"/>
      <c r="GX75" s="57" t="n"/>
      <c r="GY75" s="60">
        <f>SUM(GU75:GX75)</f>
        <v/>
      </c>
      <c r="GZ75" s="61" t="n"/>
      <c r="HA75" s="57" t="n"/>
      <c r="HB75" s="58">
        <f>GR75</f>
        <v/>
      </c>
      <c r="HC75" s="59" t="n"/>
      <c r="HD75" s="57" t="n"/>
      <c r="HE75" s="57" t="n"/>
      <c r="HF75" s="57" t="n"/>
      <c r="HG75" s="57" t="n"/>
      <c r="HH75" s="60">
        <f>SUM(HD75:HG75)</f>
        <v/>
      </c>
      <c r="HI75" s="61" t="n"/>
      <c r="HJ75" s="57" t="n"/>
      <c r="HK75" s="58">
        <f>HA75</f>
        <v/>
      </c>
      <c r="HL75" s="59" t="n"/>
      <c r="HM75" s="57" t="n"/>
      <c r="HN75" s="57" t="n"/>
      <c r="HO75" s="57" t="n"/>
      <c r="HP75" s="57" t="n"/>
      <c r="HQ75" s="60">
        <f>SUM(HM75:HP75)</f>
        <v/>
      </c>
      <c r="HR75" s="61" t="n"/>
      <c r="HS75" s="57" t="n"/>
      <c r="HT75" s="58">
        <f>HJ75</f>
        <v/>
      </c>
      <c r="HU75" s="59" t="n"/>
      <c r="HV75" s="57" t="n"/>
      <c r="HW75" s="57" t="n"/>
      <c r="HX75" s="57" t="n"/>
      <c r="HY75" s="57" t="n"/>
      <c r="HZ75" s="60">
        <f>SUM(HV75:HY75)</f>
        <v/>
      </c>
      <c r="IA75" s="61" t="n"/>
      <c r="IB75" s="57" t="n"/>
      <c r="IC75" s="58">
        <f>HS75</f>
        <v/>
      </c>
      <c r="ID75" s="59" t="n"/>
      <c r="IE75" s="57" t="n"/>
      <c r="IF75" s="57" t="n"/>
      <c r="IG75" s="57" t="n"/>
      <c r="IH75" s="57" t="n"/>
      <c r="II75" s="60">
        <f>SUM(IE75:IH75)</f>
        <v/>
      </c>
      <c r="IJ75" s="61" t="n"/>
      <c r="IK75" s="57" t="n"/>
      <c r="IL75" s="58">
        <f>IB75</f>
        <v/>
      </c>
      <c r="IM75" s="59" t="n"/>
      <c r="IN75" s="57" t="n"/>
      <c r="IO75" s="57" t="n"/>
      <c r="IP75" s="57" t="n"/>
      <c r="IQ75" s="57" t="n"/>
      <c r="IR75" s="60">
        <f>SUM(IN75:IQ75)</f>
        <v/>
      </c>
      <c r="IS75" s="61" t="n"/>
      <c r="IT75" s="57" t="n"/>
      <c r="IU75" s="58">
        <f>IK75</f>
        <v/>
      </c>
      <c r="IV75" s="59" t="n"/>
      <c r="IW75" s="57" t="n"/>
      <c r="IX75" s="57" t="n"/>
      <c r="IY75" s="57" t="n"/>
      <c r="IZ75" s="57" t="n"/>
      <c r="JA75" s="60">
        <f>SUM(IW75:IZ75)</f>
        <v/>
      </c>
      <c r="JB75" s="61" t="n"/>
      <c r="JC75" s="57" t="n"/>
      <c r="JD75" s="58">
        <f>IT75</f>
        <v/>
      </c>
      <c r="JE75" s="59" t="n"/>
      <c r="JF75" s="57" t="n"/>
      <c r="JG75" s="57" t="n"/>
      <c r="JH75" s="57" t="n"/>
      <c r="JI75" s="57" t="n"/>
      <c r="JJ75" s="60">
        <f>SUM(JF75:JI75)</f>
        <v/>
      </c>
      <c r="JK75" s="61" t="n"/>
      <c r="JL75" s="57" t="n"/>
      <c r="JM75" s="58">
        <f>JC75</f>
        <v/>
      </c>
      <c r="JN75" s="59" t="n"/>
      <c r="JO75" s="57" t="n"/>
      <c r="JP75" s="57" t="n"/>
      <c r="JQ75" s="57" t="n"/>
      <c r="JR75" s="57" t="n"/>
      <c r="JS75" s="60">
        <f>SUM(JO75:JR75)</f>
        <v/>
      </c>
      <c r="JT75" s="61" t="n"/>
      <c r="JU75" s="62">
        <f>I75+R75+AA75+AJ75+AS75+BB75+BK75+BT75+CC75+CL75+CU75+DD75+DM75+DV75+EE75+EN75+EW75+FF75+FO75+FX75+GG75+GP75+GY75+HH75+HQ75+HZ75+II75+IR75+JA75+JJ75+JS75</f>
        <v/>
      </c>
      <c r="JV75" s="63">
        <f>D75+M75+V75+AE75+AN75+AW75+BF75+BO75+BX75+CG75+CP75+CY75+DH75+DQ75+DZ75+EI75+ER75+FA75+FJ75+FS75+GB75+GK75+GT75+HC75+HL75+HU75+ID75+IM75+IV75+JE75+JN75</f>
        <v/>
      </c>
      <c r="JW75" s="62">
        <f>CHOOSE($Z$3,B75, K75, T75, AC75, AL75, AU75, BD75, BM75, BV75, CE75, CN75, CW75, DF75, DO75, DX75, EG75, EP75, EY75, FH75, FQ75, FZ75, GI75, GR75, HA75, HJ75, HS75, IB75, IK75, IT75, JC75, JL75)</f>
        <v/>
      </c>
      <c r="JX75" s="62">
        <f>IFERROR(JU75/$Z$3,0)</f>
        <v/>
      </c>
      <c r="JY75" s="62">
        <f>Configurações!$C$15</f>
        <v/>
      </c>
      <c r="JZ75" s="64">
        <f>IF(JY75=0,"— Sem meta",IF(JU75&gt;=JY75,"✓ Atingida","Em andamento"))</f>
        <v/>
      </c>
      <c r="KA75" s="65">
        <f>JU75+(5*0.0000001)</f>
        <v/>
      </c>
    </row>
    <row r="76" ht="20" customHeight="1">
      <c r="A76" s="56">
        <f>IF(Configurações!$B$16="","Assessor 10",Configurações!$B$16)</f>
        <v/>
      </c>
      <c r="B76" s="57" t="n"/>
      <c r="C76" s="66">
        <f>'Junho'!$JW76</f>
        <v/>
      </c>
      <c r="D76" s="59" t="n"/>
      <c r="E76" s="57" t="n"/>
      <c r="F76" s="57" t="n"/>
      <c r="G76" s="57" t="n"/>
      <c r="H76" s="57" t="n"/>
      <c r="I76" s="67">
        <f>SUM(E76:H76)</f>
        <v/>
      </c>
      <c r="J76" s="61" t="n"/>
      <c r="K76" s="57" t="n"/>
      <c r="L76" s="66">
        <f>B76</f>
        <v/>
      </c>
      <c r="M76" s="59" t="n"/>
      <c r="N76" s="57" t="n"/>
      <c r="O76" s="57" t="n"/>
      <c r="P76" s="57" t="n"/>
      <c r="Q76" s="57" t="n"/>
      <c r="R76" s="67">
        <f>SUM(N76:Q76)</f>
        <v/>
      </c>
      <c r="S76" s="61" t="n"/>
      <c r="T76" s="57" t="n"/>
      <c r="U76" s="66">
        <f>K76</f>
        <v/>
      </c>
      <c r="V76" s="59" t="n"/>
      <c r="W76" s="57" t="n"/>
      <c r="X76" s="57" t="n"/>
      <c r="Y76" s="57" t="n"/>
      <c r="Z76" s="57" t="n"/>
      <c r="AA76" s="67">
        <f>SUM(W76:Z76)</f>
        <v/>
      </c>
      <c r="AB76" s="61" t="n"/>
      <c r="AC76" s="57" t="n"/>
      <c r="AD76" s="66">
        <f>T76</f>
        <v/>
      </c>
      <c r="AE76" s="59" t="n"/>
      <c r="AF76" s="57" t="n"/>
      <c r="AG76" s="57" t="n"/>
      <c r="AH76" s="57" t="n"/>
      <c r="AI76" s="57" t="n"/>
      <c r="AJ76" s="67">
        <f>SUM(AF76:AI76)</f>
        <v/>
      </c>
      <c r="AK76" s="61" t="n"/>
      <c r="AL76" s="57" t="n"/>
      <c r="AM76" s="66">
        <f>AC76</f>
        <v/>
      </c>
      <c r="AN76" s="59" t="n"/>
      <c r="AO76" s="57" t="n"/>
      <c r="AP76" s="57" t="n"/>
      <c r="AQ76" s="57" t="n"/>
      <c r="AR76" s="57" t="n"/>
      <c r="AS76" s="67">
        <f>SUM(AO76:AR76)</f>
        <v/>
      </c>
      <c r="AT76" s="61" t="n"/>
      <c r="AU76" s="57" t="n"/>
      <c r="AV76" s="66">
        <f>AL76</f>
        <v/>
      </c>
      <c r="AW76" s="59" t="n"/>
      <c r="AX76" s="57" t="n"/>
      <c r="AY76" s="57" t="n"/>
      <c r="AZ76" s="57" t="n"/>
      <c r="BA76" s="57" t="n"/>
      <c r="BB76" s="67">
        <f>SUM(AX76:BA76)</f>
        <v/>
      </c>
      <c r="BC76" s="61" t="n"/>
      <c r="BD76" s="57" t="n"/>
      <c r="BE76" s="66">
        <f>AU76</f>
        <v/>
      </c>
      <c r="BF76" s="59" t="n"/>
      <c r="BG76" s="57" t="n"/>
      <c r="BH76" s="57" t="n"/>
      <c r="BI76" s="57" t="n"/>
      <c r="BJ76" s="57" t="n"/>
      <c r="BK76" s="67">
        <f>SUM(BG76:BJ76)</f>
        <v/>
      </c>
      <c r="BL76" s="61" t="n"/>
      <c r="BM76" s="57" t="n"/>
      <c r="BN76" s="66">
        <f>BD76</f>
        <v/>
      </c>
      <c r="BO76" s="59" t="n"/>
      <c r="BP76" s="57" t="n"/>
      <c r="BQ76" s="57" t="n"/>
      <c r="BR76" s="57" t="n"/>
      <c r="BS76" s="57" t="n"/>
      <c r="BT76" s="67">
        <f>SUM(BP76:BS76)</f>
        <v/>
      </c>
      <c r="BU76" s="61" t="n"/>
      <c r="BV76" s="57" t="n"/>
      <c r="BW76" s="66">
        <f>BM76</f>
        <v/>
      </c>
      <c r="BX76" s="59" t="n"/>
      <c r="BY76" s="57" t="n"/>
      <c r="BZ76" s="57" t="n"/>
      <c r="CA76" s="57" t="n"/>
      <c r="CB76" s="57" t="n"/>
      <c r="CC76" s="67">
        <f>SUM(BY76:CB76)</f>
        <v/>
      </c>
      <c r="CD76" s="61" t="n"/>
      <c r="CE76" s="57" t="n"/>
      <c r="CF76" s="66">
        <f>BV76</f>
        <v/>
      </c>
      <c r="CG76" s="59" t="n"/>
      <c r="CH76" s="57" t="n"/>
      <c r="CI76" s="57" t="n"/>
      <c r="CJ76" s="57" t="n"/>
      <c r="CK76" s="57" t="n"/>
      <c r="CL76" s="67">
        <f>SUM(CH76:CK76)</f>
        <v/>
      </c>
      <c r="CM76" s="61" t="n"/>
      <c r="CN76" s="57" t="n"/>
      <c r="CO76" s="66">
        <f>CE76</f>
        <v/>
      </c>
      <c r="CP76" s="59" t="n"/>
      <c r="CQ76" s="57" t="n"/>
      <c r="CR76" s="57" t="n"/>
      <c r="CS76" s="57" t="n"/>
      <c r="CT76" s="57" t="n"/>
      <c r="CU76" s="67">
        <f>SUM(CQ76:CT76)</f>
        <v/>
      </c>
      <c r="CV76" s="61" t="n"/>
      <c r="CW76" s="57" t="n"/>
      <c r="CX76" s="66">
        <f>CN76</f>
        <v/>
      </c>
      <c r="CY76" s="59" t="n"/>
      <c r="CZ76" s="57" t="n"/>
      <c r="DA76" s="57" t="n"/>
      <c r="DB76" s="57" t="n"/>
      <c r="DC76" s="57" t="n"/>
      <c r="DD76" s="67">
        <f>SUM(CZ76:DC76)</f>
        <v/>
      </c>
      <c r="DE76" s="61" t="n"/>
      <c r="DF76" s="57" t="n"/>
      <c r="DG76" s="66">
        <f>CW76</f>
        <v/>
      </c>
      <c r="DH76" s="59" t="n"/>
      <c r="DI76" s="57" t="n"/>
      <c r="DJ76" s="57" t="n"/>
      <c r="DK76" s="57" t="n"/>
      <c r="DL76" s="57" t="n"/>
      <c r="DM76" s="67">
        <f>SUM(DI76:DL76)</f>
        <v/>
      </c>
      <c r="DN76" s="61" t="n"/>
      <c r="DO76" s="57" t="n"/>
      <c r="DP76" s="66">
        <f>DF76</f>
        <v/>
      </c>
      <c r="DQ76" s="59" t="n"/>
      <c r="DR76" s="57" t="n"/>
      <c r="DS76" s="57" t="n"/>
      <c r="DT76" s="57" t="n"/>
      <c r="DU76" s="57" t="n"/>
      <c r="DV76" s="67">
        <f>SUM(DR76:DU76)</f>
        <v/>
      </c>
      <c r="DW76" s="61" t="n"/>
      <c r="DX76" s="57" t="n"/>
      <c r="DY76" s="66">
        <f>DO76</f>
        <v/>
      </c>
      <c r="DZ76" s="59" t="n"/>
      <c r="EA76" s="57" t="n"/>
      <c r="EB76" s="57" t="n"/>
      <c r="EC76" s="57" t="n"/>
      <c r="ED76" s="57" t="n"/>
      <c r="EE76" s="67">
        <f>SUM(EA76:ED76)</f>
        <v/>
      </c>
      <c r="EF76" s="61" t="n"/>
      <c r="EG76" s="57" t="n"/>
      <c r="EH76" s="66">
        <f>DX76</f>
        <v/>
      </c>
      <c r="EI76" s="59" t="n"/>
      <c r="EJ76" s="57" t="n"/>
      <c r="EK76" s="57" t="n"/>
      <c r="EL76" s="57" t="n"/>
      <c r="EM76" s="57" t="n"/>
      <c r="EN76" s="67">
        <f>SUM(EJ76:EM76)</f>
        <v/>
      </c>
      <c r="EO76" s="61" t="n"/>
      <c r="EP76" s="57" t="n"/>
      <c r="EQ76" s="66">
        <f>EG76</f>
        <v/>
      </c>
      <c r="ER76" s="59" t="n"/>
      <c r="ES76" s="57" t="n"/>
      <c r="ET76" s="57" t="n"/>
      <c r="EU76" s="57" t="n"/>
      <c r="EV76" s="57" t="n"/>
      <c r="EW76" s="67">
        <f>SUM(ES76:EV76)</f>
        <v/>
      </c>
      <c r="EX76" s="61" t="n"/>
      <c r="EY76" s="57" t="n"/>
      <c r="EZ76" s="66">
        <f>EP76</f>
        <v/>
      </c>
      <c r="FA76" s="59" t="n"/>
      <c r="FB76" s="57" t="n"/>
      <c r="FC76" s="57" t="n"/>
      <c r="FD76" s="57" t="n"/>
      <c r="FE76" s="57" t="n"/>
      <c r="FF76" s="67">
        <f>SUM(FB76:FE76)</f>
        <v/>
      </c>
      <c r="FG76" s="61" t="n"/>
      <c r="FH76" s="57" t="n"/>
      <c r="FI76" s="66">
        <f>EY76</f>
        <v/>
      </c>
      <c r="FJ76" s="59" t="n"/>
      <c r="FK76" s="57" t="n"/>
      <c r="FL76" s="57" t="n"/>
      <c r="FM76" s="57" t="n"/>
      <c r="FN76" s="57" t="n"/>
      <c r="FO76" s="67">
        <f>SUM(FK76:FN76)</f>
        <v/>
      </c>
      <c r="FP76" s="61" t="n"/>
      <c r="FQ76" s="57" t="n"/>
      <c r="FR76" s="66">
        <f>FH76</f>
        <v/>
      </c>
      <c r="FS76" s="59" t="n"/>
      <c r="FT76" s="57" t="n"/>
      <c r="FU76" s="57" t="n"/>
      <c r="FV76" s="57" t="n"/>
      <c r="FW76" s="57" t="n"/>
      <c r="FX76" s="67">
        <f>SUM(FT76:FW76)</f>
        <v/>
      </c>
      <c r="FY76" s="61" t="n"/>
      <c r="FZ76" s="57" t="n"/>
      <c r="GA76" s="66">
        <f>FQ76</f>
        <v/>
      </c>
      <c r="GB76" s="59" t="n"/>
      <c r="GC76" s="57" t="n"/>
      <c r="GD76" s="57" t="n"/>
      <c r="GE76" s="57" t="n"/>
      <c r="GF76" s="57" t="n"/>
      <c r="GG76" s="67">
        <f>SUM(GC76:GF76)</f>
        <v/>
      </c>
      <c r="GH76" s="61" t="n"/>
      <c r="GI76" s="57" t="n"/>
      <c r="GJ76" s="66">
        <f>FZ76</f>
        <v/>
      </c>
      <c r="GK76" s="59" t="n"/>
      <c r="GL76" s="57" t="n"/>
      <c r="GM76" s="57" t="n"/>
      <c r="GN76" s="57" t="n"/>
      <c r="GO76" s="57" t="n"/>
      <c r="GP76" s="67">
        <f>SUM(GL76:GO76)</f>
        <v/>
      </c>
      <c r="GQ76" s="61" t="n"/>
      <c r="GR76" s="57" t="n"/>
      <c r="GS76" s="66">
        <f>GI76</f>
        <v/>
      </c>
      <c r="GT76" s="59" t="n"/>
      <c r="GU76" s="57" t="n"/>
      <c r="GV76" s="57" t="n"/>
      <c r="GW76" s="57" t="n"/>
      <c r="GX76" s="57" t="n"/>
      <c r="GY76" s="67">
        <f>SUM(GU76:GX76)</f>
        <v/>
      </c>
      <c r="GZ76" s="61" t="n"/>
      <c r="HA76" s="57" t="n"/>
      <c r="HB76" s="66">
        <f>GR76</f>
        <v/>
      </c>
      <c r="HC76" s="59" t="n"/>
      <c r="HD76" s="57" t="n"/>
      <c r="HE76" s="57" t="n"/>
      <c r="HF76" s="57" t="n"/>
      <c r="HG76" s="57" t="n"/>
      <c r="HH76" s="67">
        <f>SUM(HD76:HG76)</f>
        <v/>
      </c>
      <c r="HI76" s="61" t="n"/>
      <c r="HJ76" s="57" t="n"/>
      <c r="HK76" s="66">
        <f>HA76</f>
        <v/>
      </c>
      <c r="HL76" s="59" t="n"/>
      <c r="HM76" s="57" t="n"/>
      <c r="HN76" s="57" t="n"/>
      <c r="HO76" s="57" t="n"/>
      <c r="HP76" s="57" t="n"/>
      <c r="HQ76" s="67">
        <f>SUM(HM76:HP76)</f>
        <v/>
      </c>
      <c r="HR76" s="61" t="n"/>
      <c r="HS76" s="57" t="n"/>
      <c r="HT76" s="66">
        <f>HJ76</f>
        <v/>
      </c>
      <c r="HU76" s="59" t="n"/>
      <c r="HV76" s="57" t="n"/>
      <c r="HW76" s="57" t="n"/>
      <c r="HX76" s="57" t="n"/>
      <c r="HY76" s="57" t="n"/>
      <c r="HZ76" s="67">
        <f>SUM(HV76:HY76)</f>
        <v/>
      </c>
      <c r="IA76" s="61" t="n"/>
      <c r="IB76" s="57" t="n"/>
      <c r="IC76" s="66">
        <f>HS76</f>
        <v/>
      </c>
      <c r="ID76" s="59" t="n"/>
      <c r="IE76" s="57" t="n"/>
      <c r="IF76" s="57" t="n"/>
      <c r="IG76" s="57" t="n"/>
      <c r="IH76" s="57" t="n"/>
      <c r="II76" s="67">
        <f>SUM(IE76:IH76)</f>
        <v/>
      </c>
      <c r="IJ76" s="61" t="n"/>
      <c r="IK76" s="57" t="n"/>
      <c r="IL76" s="66">
        <f>IB76</f>
        <v/>
      </c>
      <c r="IM76" s="59" t="n"/>
      <c r="IN76" s="57" t="n"/>
      <c r="IO76" s="57" t="n"/>
      <c r="IP76" s="57" t="n"/>
      <c r="IQ76" s="57" t="n"/>
      <c r="IR76" s="67">
        <f>SUM(IN76:IQ76)</f>
        <v/>
      </c>
      <c r="IS76" s="61" t="n"/>
      <c r="IT76" s="57" t="n"/>
      <c r="IU76" s="66">
        <f>IK76</f>
        <v/>
      </c>
      <c r="IV76" s="59" t="n"/>
      <c r="IW76" s="57" t="n"/>
      <c r="IX76" s="57" t="n"/>
      <c r="IY76" s="57" t="n"/>
      <c r="IZ76" s="57" t="n"/>
      <c r="JA76" s="67">
        <f>SUM(IW76:IZ76)</f>
        <v/>
      </c>
      <c r="JB76" s="61" t="n"/>
      <c r="JC76" s="57" t="n"/>
      <c r="JD76" s="66">
        <f>IT76</f>
        <v/>
      </c>
      <c r="JE76" s="59" t="n"/>
      <c r="JF76" s="57" t="n"/>
      <c r="JG76" s="57" t="n"/>
      <c r="JH76" s="57" t="n"/>
      <c r="JI76" s="57" t="n"/>
      <c r="JJ76" s="67">
        <f>SUM(JF76:JI76)</f>
        <v/>
      </c>
      <c r="JK76" s="61" t="n"/>
      <c r="JL76" s="57" t="n"/>
      <c r="JM76" s="66">
        <f>JC76</f>
        <v/>
      </c>
      <c r="JN76" s="59" t="n"/>
      <c r="JO76" s="57" t="n"/>
      <c r="JP76" s="57" t="n"/>
      <c r="JQ76" s="57" t="n"/>
      <c r="JR76" s="57" t="n"/>
      <c r="JS76" s="67">
        <f>SUM(JO76:JR76)</f>
        <v/>
      </c>
      <c r="JT76" s="61" t="n"/>
      <c r="JU76" s="62">
        <f>I76+R76+AA76+AJ76+AS76+BB76+BK76+BT76+CC76+CL76+CU76+DD76+DM76+DV76+EE76+EN76+EW76+FF76+FO76+FX76+GG76+GP76+GY76+HH76+HQ76+HZ76+II76+IR76+JA76+JJ76+JS76</f>
        <v/>
      </c>
      <c r="JV76" s="63">
        <f>D76+M76+V76+AE76+AN76+AW76+BF76+BO76+BX76+CG76+CP76+CY76+DH76+DQ76+DZ76+EI76+ER76+FA76+FJ76+FS76+GB76+GK76+GT76+HC76+HL76+HU76+ID76+IM76+IV76+JE76+JN76</f>
        <v/>
      </c>
      <c r="JW76" s="62">
        <f>CHOOSE($Z$3,B76, K76, T76, AC76, AL76, AU76, BD76, BM76, BV76, CE76, CN76, CW76, DF76, DO76, DX76, EG76, EP76, EY76, FH76, FQ76, FZ76, GI76, GR76, HA76, HJ76, HS76, IB76, IK76, IT76, JC76, JL76)</f>
        <v/>
      </c>
      <c r="JX76" s="62">
        <f>IFERROR(JU76/$Z$3,0)</f>
        <v/>
      </c>
      <c r="JY76" s="62">
        <f>Configurações!$C$16</f>
        <v/>
      </c>
      <c r="JZ76" s="64">
        <f>IF(JY76=0,"— Sem meta",IF(JU76&gt;=JY76,"✓ Atingida","Em andamento"))</f>
        <v/>
      </c>
      <c r="KA76" s="65">
        <f>JU76+(4*0.0000001)</f>
        <v/>
      </c>
    </row>
    <row r="77" ht="20" customHeight="1">
      <c r="A77" s="56">
        <f>IF(Configurações!$B$17="","Assessor 11",Configurações!$B$17)</f>
        <v/>
      </c>
      <c r="B77" s="57" t="n"/>
      <c r="C77" s="58">
        <f>'Junho'!$JW77</f>
        <v/>
      </c>
      <c r="D77" s="59" t="n"/>
      <c r="E77" s="57" t="n"/>
      <c r="F77" s="57" t="n"/>
      <c r="G77" s="57" t="n"/>
      <c r="H77" s="57" t="n"/>
      <c r="I77" s="60">
        <f>SUM(E77:H77)</f>
        <v/>
      </c>
      <c r="J77" s="61" t="n"/>
      <c r="K77" s="57" t="n"/>
      <c r="L77" s="58">
        <f>B77</f>
        <v/>
      </c>
      <c r="M77" s="59" t="n"/>
      <c r="N77" s="57" t="n"/>
      <c r="O77" s="57" t="n"/>
      <c r="P77" s="57" t="n"/>
      <c r="Q77" s="57" t="n"/>
      <c r="R77" s="60">
        <f>SUM(N77:Q77)</f>
        <v/>
      </c>
      <c r="S77" s="61" t="n"/>
      <c r="T77" s="57" t="n"/>
      <c r="U77" s="58">
        <f>K77</f>
        <v/>
      </c>
      <c r="V77" s="59" t="n"/>
      <c r="W77" s="57" t="n"/>
      <c r="X77" s="57" t="n"/>
      <c r="Y77" s="57" t="n"/>
      <c r="Z77" s="57" t="n"/>
      <c r="AA77" s="60">
        <f>SUM(W77:Z77)</f>
        <v/>
      </c>
      <c r="AB77" s="61" t="n"/>
      <c r="AC77" s="57" t="n"/>
      <c r="AD77" s="58">
        <f>T77</f>
        <v/>
      </c>
      <c r="AE77" s="59" t="n"/>
      <c r="AF77" s="57" t="n"/>
      <c r="AG77" s="57" t="n"/>
      <c r="AH77" s="57" t="n"/>
      <c r="AI77" s="57" t="n"/>
      <c r="AJ77" s="60">
        <f>SUM(AF77:AI77)</f>
        <v/>
      </c>
      <c r="AK77" s="61" t="n"/>
      <c r="AL77" s="57" t="n"/>
      <c r="AM77" s="58">
        <f>AC77</f>
        <v/>
      </c>
      <c r="AN77" s="59" t="n"/>
      <c r="AO77" s="57" t="n"/>
      <c r="AP77" s="57" t="n"/>
      <c r="AQ77" s="57" t="n"/>
      <c r="AR77" s="57" t="n"/>
      <c r="AS77" s="60">
        <f>SUM(AO77:AR77)</f>
        <v/>
      </c>
      <c r="AT77" s="61" t="n"/>
      <c r="AU77" s="57" t="n"/>
      <c r="AV77" s="58">
        <f>AL77</f>
        <v/>
      </c>
      <c r="AW77" s="59" t="n"/>
      <c r="AX77" s="57" t="n"/>
      <c r="AY77" s="57" t="n"/>
      <c r="AZ77" s="57" t="n"/>
      <c r="BA77" s="57" t="n"/>
      <c r="BB77" s="60">
        <f>SUM(AX77:BA77)</f>
        <v/>
      </c>
      <c r="BC77" s="61" t="n"/>
      <c r="BD77" s="57" t="n"/>
      <c r="BE77" s="58">
        <f>AU77</f>
        <v/>
      </c>
      <c r="BF77" s="59" t="n"/>
      <c r="BG77" s="57" t="n"/>
      <c r="BH77" s="57" t="n"/>
      <c r="BI77" s="57" t="n"/>
      <c r="BJ77" s="57" t="n"/>
      <c r="BK77" s="60">
        <f>SUM(BG77:BJ77)</f>
        <v/>
      </c>
      <c r="BL77" s="61" t="n"/>
      <c r="BM77" s="57" t="n"/>
      <c r="BN77" s="58">
        <f>BD77</f>
        <v/>
      </c>
      <c r="BO77" s="59" t="n"/>
      <c r="BP77" s="57" t="n"/>
      <c r="BQ77" s="57" t="n"/>
      <c r="BR77" s="57" t="n"/>
      <c r="BS77" s="57" t="n"/>
      <c r="BT77" s="60">
        <f>SUM(BP77:BS77)</f>
        <v/>
      </c>
      <c r="BU77" s="61" t="n"/>
      <c r="BV77" s="57" t="n"/>
      <c r="BW77" s="58">
        <f>BM77</f>
        <v/>
      </c>
      <c r="BX77" s="59" t="n"/>
      <c r="BY77" s="57" t="n"/>
      <c r="BZ77" s="57" t="n"/>
      <c r="CA77" s="57" t="n"/>
      <c r="CB77" s="57" t="n"/>
      <c r="CC77" s="60">
        <f>SUM(BY77:CB77)</f>
        <v/>
      </c>
      <c r="CD77" s="61" t="n"/>
      <c r="CE77" s="57" t="n"/>
      <c r="CF77" s="58">
        <f>BV77</f>
        <v/>
      </c>
      <c r="CG77" s="59" t="n"/>
      <c r="CH77" s="57" t="n"/>
      <c r="CI77" s="57" t="n"/>
      <c r="CJ77" s="57" t="n"/>
      <c r="CK77" s="57" t="n"/>
      <c r="CL77" s="60">
        <f>SUM(CH77:CK77)</f>
        <v/>
      </c>
      <c r="CM77" s="61" t="n"/>
      <c r="CN77" s="57" t="n"/>
      <c r="CO77" s="58">
        <f>CE77</f>
        <v/>
      </c>
      <c r="CP77" s="59" t="n"/>
      <c r="CQ77" s="57" t="n"/>
      <c r="CR77" s="57" t="n"/>
      <c r="CS77" s="57" t="n"/>
      <c r="CT77" s="57" t="n"/>
      <c r="CU77" s="60">
        <f>SUM(CQ77:CT77)</f>
        <v/>
      </c>
      <c r="CV77" s="61" t="n"/>
      <c r="CW77" s="57" t="n"/>
      <c r="CX77" s="58">
        <f>CN77</f>
        <v/>
      </c>
      <c r="CY77" s="59" t="n"/>
      <c r="CZ77" s="57" t="n"/>
      <c r="DA77" s="57" t="n"/>
      <c r="DB77" s="57" t="n"/>
      <c r="DC77" s="57" t="n"/>
      <c r="DD77" s="60">
        <f>SUM(CZ77:DC77)</f>
        <v/>
      </c>
      <c r="DE77" s="61" t="n"/>
      <c r="DF77" s="57" t="n"/>
      <c r="DG77" s="58">
        <f>CW77</f>
        <v/>
      </c>
      <c r="DH77" s="59" t="n"/>
      <c r="DI77" s="57" t="n"/>
      <c r="DJ77" s="57" t="n"/>
      <c r="DK77" s="57" t="n"/>
      <c r="DL77" s="57" t="n"/>
      <c r="DM77" s="60">
        <f>SUM(DI77:DL77)</f>
        <v/>
      </c>
      <c r="DN77" s="61" t="n"/>
      <c r="DO77" s="57" t="n"/>
      <c r="DP77" s="58">
        <f>DF77</f>
        <v/>
      </c>
      <c r="DQ77" s="59" t="n"/>
      <c r="DR77" s="57" t="n"/>
      <c r="DS77" s="57" t="n"/>
      <c r="DT77" s="57" t="n"/>
      <c r="DU77" s="57" t="n"/>
      <c r="DV77" s="60">
        <f>SUM(DR77:DU77)</f>
        <v/>
      </c>
      <c r="DW77" s="61" t="n"/>
      <c r="DX77" s="57" t="n"/>
      <c r="DY77" s="58">
        <f>DO77</f>
        <v/>
      </c>
      <c r="DZ77" s="59" t="n"/>
      <c r="EA77" s="57" t="n"/>
      <c r="EB77" s="57" t="n"/>
      <c r="EC77" s="57" t="n"/>
      <c r="ED77" s="57" t="n"/>
      <c r="EE77" s="60">
        <f>SUM(EA77:ED77)</f>
        <v/>
      </c>
      <c r="EF77" s="61" t="n"/>
      <c r="EG77" s="57" t="n"/>
      <c r="EH77" s="58">
        <f>DX77</f>
        <v/>
      </c>
      <c r="EI77" s="59" t="n"/>
      <c r="EJ77" s="57" t="n"/>
      <c r="EK77" s="57" t="n"/>
      <c r="EL77" s="57" t="n"/>
      <c r="EM77" s="57" t="n"/>
      <c r="EN77" s="60">
        <f>SUM(EJ77:EM77)</f>
        <v/>
      </c>
      <c r="EO77" s="61" t="n"/>
      <c r="EP77" s="57" t="n"/>
      <c r="EQ77" s="58">
        <f>EG77</f>
        <v/>
      </c>
      <c r="ER77" s="59" t="n"/>
      <c r="ES77" s="57" t="n"/>
      <c r="ET77" s="57" t="n"/>
      <c r="EU77" s="57" t="n"/>
      <c r="EV77" s="57" t="n"/>
      <c r="EW77" s="60">
        <f>SUM(ES77:EV77)</f>
        <v/>
      </c>
      <c r="EX77" s="61" t="n"/>
      <c r="EY77" s="57" t="n"/>
      <c r="EZ77" s="58">
        <f>EP77</f>
        <v/>
      </c>
      <c r="FA77" s="59" t="n"/>
      <c r="FB77" s="57" t="n"/>
      <c r="FC77" s="57" t="n"/>
      <c r="FD77" s="57" t="n"/>
      <c r="FE77" s="57" t="n"/>
      <c r="FF77" s="60">
        <f>SUM(FB77:FE77)</f>
        <v/>
      </c>
      <c r="FG77" s="61" t="n"/>
      <c r="FH77" s="57" t="n"/>
      <c r="FI77" s="58">
        <f>EY77</f>
        <v/>
      </c>
      <c r="FJ77" s="59" t="n"/>
      <c r="FK77" s="57" t="n"/>
      <c r="FL77" s="57" t="n"/>
      <c r="FM77" s="57" t="n"/>
      <c r="FN77" s="57" t="n"/>
      <c r="FO77" s="60">
        <f>SUM(FK77:FN77)</f>
        <v/>
      </c>
      <c r="FP77" s="61" t="n"/>
      <c r="FQ77" s="57" t="n"/>
      <c r="FR77" s="58">
        <f>FH77</f>
        <v/>
      </c>
      <c r="FS77" s="59" t="n"/>
      <c r="FT77" s="57" t="n"/>
      <c r="FU77" s="57" t="n"/>
      <c r="FV77" s="57" t="n"/>
      <c r="FW77" s="57" t="n"/>
      <c r="FX77" s="60">
        <f>SUM(FT77:FW77)</f>
        <v/>
      </c>
      <c r="FY77" s="61" t="n"/>
      <c r="FZ77" s="57" t="n"/>
      <c r="GA77" s="58">
        <f>FQ77</f>
        <v/>
      </c>
      <c r="GB77" s="59" t="n"/>
      <c r="GC77" s="57" t="n"/>
      <c r="GD77" s="57" t="n"/>
      <c r="GE77" s="57" t="n"/>
      <c r="GF77" s="57" t="n"/>
      <c r="GG77" s="60">
        <f>SUM(GC77:GF77)</f>
        <v/>
      </c>
      <c r="GH77" s="61" t="n"/>
      <c r="GI77" s="57" t="n"/>
      <c r="GJ77" s="58">
        <f>FZ77</f>
        <v/>
      </c>
      <c r="GK77" s="59" t="n"/>
      <c r="GL77" s="57" t="n"/>
      <c r="GM77" s="57" t="n"/>
      <c r="GN77" s="57" t="n"/>
      <c r="GO77" s="57" t="n"/>
      <c r="GP77" s="60">
        <f>SUM(GL77:GO77)</f>
        <v/>
      </c>
      <c r="GQ77" s="61" t="n"/>
      <c r="GR77" s="57" t="n"/>
      <c r="GS77" s="58">
        <f>GI77</f>
        <v/>
      </c>
      <c r="GT77" s="59" t="n"/>
      <c r="GU77" s="57" t="n"/>
      <c r="GV77" s="57" t="n"/>
      <c r="GW77" s="57" t="n"/>
      <c r="GX77" s="57" t="n"/>
      <c r="GY77" s="60">
        <f>SUM(GU77:GX77)</f>
        <v/>
      </c>
      <c r="GZ77" s="61" t="n"/>
      <c r="HA77" s="57" t="n"/>
      <c r="HB77" s="58">
        <f>GR77</f>
        <v/>
      </c>
      <c r="HC77" s="59" t="n"/>
      <c r="HD77" s="57" t="n"/>
      <c r="HE77" s="57" t="n"/>
      <c r="HF77" s="57" t="n"/>
      <c r="HG77" s="57" t="n"/>
      <c r="HH77" s="60">
        <f>SUM(HD77:HG77)</f>
        <v/>
      </c>
      <c r="HI77" s="61" t="n"/>
      <c r="HJ77" s="57" t="n"/>
      <c r="HK77" s="58">
        <f>HA77</f>
        <v/>
      </c>
      <c r="HL77" s="59" t="n"/>
      <c r="HM77" s="57" t="n"/>
      <c r="HN77" s="57" t="n"/>
      <c r="HO77" s="57" t="n"/>
      <c r="HP77" s="57" t="n"/>
      <c r="HQ77" s="60">
        <f>SUM(HM77:HP77)</f>
        <v/>
      </c>
      <c r="HR77" s="61" t="n"/>
      <c r="HS77" s="57" t="n"/>
      <c r="HT77" s="58">
        <f>HJ77</f>
        <v/>
      </c>
      <c r="HU77" s="59" t="n"/>
      <c r="HV77" s="57" t="n"/>
      <c r="HW77" s="57" t="n"/>
      <c r="HX77" s="57" t="n"/>
      <c r="HY77" s="57" t="n"/>
      <c r="HZ77" s="60">
        <f>SUM(HV77:HY77)</f>
        <v/>
      </c>
      <c r="IA77" s="61" t="n"/>
      <c r="IB77" s="57" t="n"/>
      <c r="IC77" s="58">
        <f>HS77</f>
        <v/>
      </c>
      <c r="ID77" s="59" t="n"/>
      <c r="IE77" s="57" t="n"/>
      <c r="IF77" s="57" t="n"/>
      <c r="IG77" s="57" t="n"/>
      <c r="IH77" s="57" t="n"/>
      <c r="II77" s="60">
        <f>SUM(IE77:IH77)</f>
        <v/>
      </c>
      <c r="IJ77" s="61" t="n"/>
      <c r="IK77" s="57" t="n"/>
      <c r="IL77" s="58">
        <f>IB77</f>
        <v/>
      </c>
      <c r="IM77" s="59" t="n"/>
      <c r="IN77" s="57" t="n"/>
      <c r="IO77" s="57" t="n"/>
      <c r="IP77" s="57" t="n"/>
      <c r="IQ77" s="57" t="n"/>
      <c r="IR77" s="60">
        <f>SUM(IN77:IQ77)</f>
        <v/>
      </c>
      <c r="IS77" s="61" t="n"/>
      <c r="IT77" s="57" t="n"/>
      <c r="IU77" s="58">
        <f>IK77</f>
        <v/>
      </c>
      <c r="IV77" s="59" t="n"/>
      <c r="IW77" s="57" t="n"/>
      <c r="IX77" s="57" t="n"/>
      <c r="IY77" s="57" t="n"/>
      <c r="IZ77" s="57" t="n"/>
      <c r="JA77" s="60">
        <f>SUM(IW77:IZ77)</f>
        <v/>
      </c>
      <c r="JB77" s="61" t="n"/>
      <c r="JC77" s="57" t="n"/>
      <c r="JD77" s="58">
        <f>IT77</f>
        <v/>
      </c>
      <c r="JE77" s="59" t="n"/>
      <c r="JF77" s="57" t="n"/>
      <c r="JG77" s="57" t="n"/>
      <c r="JH77" s="57" t="n"/>
      <c r="JI77" s="57" t="n"/>
      <c r="JJ77" s="60">
        <f>SUM(JF77:JI77)</f>
        <v/>
      </c>
      <c r="JK77" s="61" t="n"/>
      <c r="JL77" s="57" t="n"/>
      <c r="JM77" s="58">
        <f>JC77</f>
        <v/>
      </c>
      <c r="JN77" s="59" t="n"/>
      <c r="JO77" s="57" t="n"/>
      <c r="JP77" s="57" t="n"/>
      <c r="JQ77" s="57" t="n"/>
      <c r="JR77" s="57" t="n"/>
      <c r="JS77" s="60">
        <f>SUM(JO77:JR77)</f>
        <v/>
      </c>
      <c r="JT77" s="61" t="n"/>
      <c r="JU77" s="62">
        <f>I77+R77+AA77+AJ77+AS77+BB77+BK77+BT77+CC77+CL77+CU77+DD77+DM77+DV77+EE77+EN77+EW77+FF77+FO77+FX77+GG77+GP77+GY77+HH77+HQ77+HZ77+II77+IR77+JA77+JJ77+JS77</f>
        <v/>
      </c>
      <c r="JV77" s="63">
        <f>D77+M77+V77+AE77+AN77+AW77+BF77+BO77+BX77+CG77+CP77+CY77+DH77+DQ77+DZ77+EI77+ER77+FA77+FJ77+FS77+GB77+GK77+GT77+HC77+HL77+HU77+ID77+IM77+IV77+JE77+JN77</f>
        <v/>
      </c>
      <c r="JW77" s="62">
        <f>CHOOSE($Z$3,B77, K77, T77, AC77, AL77, AU77, BD77, BM77, BV77, CE77, CN77, CW77, DF77, DO77, DX77, EG77, EP77, EY77, FH77, FQ77, FZ77, GI77, GR77, HA77, HJ77, HS77, IB77, IK77, IT77, JC77, JL77)</f>
        <v/>
      </c>
      <c r="JX77" s="62">
        <f>IFERROR(JU77/$Z$3,0)</f>
        <v/>
      </c>
      <c r="JY77" s="62">
        <f>Configurações!$C$17</f>
        <v/>
      </c>
      <c r="JZ77" s="64">
        <f>IF(JY77=0,"— Sem meta",IF(JU77&gt;=JY77,"✓ Atingida","Em andamento"))</f>
        <v/>
      </c>
      <c r="KA77" s="65">
        <f>JU77+(3*0.0000001)</f>
        <v/>
      </c>
    </row>
    <row r="78" ht="20" customHeight="1">
      <c r="A78" s="56">
        <f>IF(Configurações!$B$18="","Assessor 12",Configurações!$B$18)</f>
        <v/>
      </c>
      <c r="B78" s="57" t="n"/>
      <c r="C78" s="66">
        <f>'Junho'!$JW78</f>
        <v/>
      </c>
      <c r="D78" s="59" t="n"/>
      <c r="E78" s="57" t="n"/>
      <c r="F78" s="57" t="n"/>
      <c r="G78" s="57" t="n"/>
      <c r="H78" s="57" t="n"/>
      <c r="I78" s="67">
        <f>SUM(E78:H78)</f>
        <v/>
      </c>
      <c r="J78" s="61" t="n"/>
      <c r="K78" s="57" t="n"/>
      <c r="L78" s="66">
        <f>B78</f>
        <v/>
      </c>
      <c r="M78" s="59" t="n"/>
      <c r="N78" s="57" t="n"/>
      <c r="O78" s="57" t="n"/>
      <c r="P78" s="57" t="n"/>
      <c r="Q78" s="57" t="n"/>
      <c r="R78" s="67">
        <f>SUM(N78:Q78)</f>
        <v/>
      </c>
      <c r="S78" s="61" t="n"/>
      <c r="T78" s="57" t="n"/>
      <c r="U78" s="66">
        <f>K78</f>
        <v/>
      </c>
      <c r="V78" s="59" t="n"/>
      <c r="W78" s="57" t="n"/>
      <c r="X78" s="57" t="n"/>
      <c r="Y78" s="57" t="n"/>
      <c r="Z78" s="57" t="n"/>
      <c r="AA78" s="67">
        <f>SUM(W78:Z78)</f>
        <v/>
      </c>
      <c r="AB78" s="61" t="n"/>
      <c r="AC78" s="57" t="n"/>
      <c r="AD78" s="66">
        <f>T78</f>
        <v/>
      </c>
      <c r="AE78" s="59" t="n"/>
      <c r="AF78" s="57" t="n"/>
      <c r="AG78" s="57" t="n"/>
      <c r="AH78" s="57" t="n"/>
      <c r="AI78" s="57" t="n"/>
      <c r="AJ78" s="67">
        <f>SUM(AF78:AI78)</f>
        <v/>
      </c>
      <c r="AK78" s="61" t="n"/>
      <c r="AL78" s="57" t="n"/>
      <c r="AM78" s="66">
        <f>AC78</f>
        <v/>
      </c>
      <c r="AN78" s="59" t="n"/>
      <c r="AO78" s="57" t="n"/>
      <c r="AP78" s="57" t="n"/>
      <c r="AQ78" s="57" t="n"/>
      <c r="AR78" s="57" t="n"/>
      <c r="AS78" s="67">
        <f>SUM(AO78:AR78)</f>
        <v/>
      </c>
      <c r="AT78" s="61" t="n"/>
      <c r="AU78" s="57" t="n"/>
      <c r="AV78" s="66">
        <f>AL78</f>
        <v/>
      </c>
      <c r="AW78" s="59" t="n"/>
      <c r="AX78" s="57" t="n"/>
      <c r="AY78" s="57" t="n"/>
      <c r="AZ78" s="57" t="n"/>
      <c r="BA78" s="57" t="n"/>
      <c r="BB78" s="67">
        <f>SUM(AX78:BA78)</f>
        <v/>
      </c>
      <c r="BC78" s="61" t="n"/>
      <c r="BD78" s="57" t="n"/>
      <c r="BE78" s="66">
        <f>AU78</f>
        <v/>
      </c>
      <c r="BF78" s="59" t="n"/>
      <c r="BG78" s="57" t="n"/>
      <c r="BH78" s="57" t="n"/>
      <c r="BI78" s="57" t="n"/>
      <c r="BJ78" s="57" t="n"/>
      <c r="BK78" s="67">
        <f>SUM(BG78:BJ78)</f>
        <v/>
      </c>
      <c r="BL78" s="61" t="n"/>
      <c r="BM78" s="57" t="n"/>
      <c r="BN78" s="66">
        <f>BD78</f>
        <v/>
      </c>
      <c r="BO78" s="59" t="n"/>
      <c r="BP78" s="57" t="n"/>
      <c r="BQ78" s="57" t="n"/>
      <c r="BR78" s="57" t="n"/>
      <c r="BS78" s="57" t="n"/>
      <c r="BT78" s="67">
        <f>SUM(BP78:BS78)</f>
        <v/>
      </c>
      <c r="BU78" s="61" t="n"/>
      <c r="BV78" s="57" t="n"/>
      <c r="BW78" s="66">
        <f>BM78</f>
        <v/>
      </c>
      <c r="BX78" s="59" t="n"/>
      <c r="BY78" s="57" t="n"/>
      <c r="BZ78" s="57" t="n"/>
      <c r="CA78" s="57" t="n"/>
      <c r="CB78" s="57" t="n"/>
      <c r="CC78" s="67">
        <f>SUM(BY78:CB78)</f>
        <v/>
      </c>
      <c r="CD78" s="61" t="n"/>
      <c r="CE78" s="57" t="n"/>
      <c r="CF78" s="66">
        <f>BV78</f>
        <v/>
      </c>
      <c r="CG78" s="59" t="n"/>
      <c r="CH78" s="57" t="n"/>
      <c r="CI78" s="57" t="n"/>
      <c r="CJ78" s="57" t="n"/>
      <c r="CK78" s="57" t="n"/>
      <c r="CL78" s="67">
        <f>SUM(CH78:CK78)</f>
        <v/>
      </c>
      <c r="CM78" s="61" t="n"/>
      <c r="CN78" s="57" t="n"/>
      <c r="CO78" s="66">
        <f>CE78</f>
        <v/>
      </c>
      <c r="CP78" s="59" t="n"/>
      <c r="CQ78" s="57" t="n"/>
      <c r="CR78" s="57" t="n"/>
      <c r="CS78" s="57" t="n"/>
      <c r="CT78" s="57" t="n"/>
      <c r="CU78" s="67">
        <f>SUM(CQ78:CT78)</f>
        <v/>
      </c>
      <c r="CV78" s="61" t="n"/>
      <c r="CW78" s="57" t="n"/>
      <c r="CX78" s="66">
        <f>CN78</f>
        <v/>
      </c>
      <c r="CY78" s="59" t="n"/>
      <c r="CZ78" s="57" t="n"/>
      <c r="DA78" s="57" t="n"/>
      <c r="DB78" s="57" t="n"/>
      <c r="DC78" s="57" t="n"/>
      <c r="DD78" s="67">
        <f>SUM(CZ78:DC78)</f>
        <v/>
      </c>
      <c r="DE78" s="61" t="n"/>
      <c r="DF78" s="57" t="n"/>
      <c r="DG78" s="66">
        <f>CW78</f>
        <v/>
      </c>
      <c r="DH78" s="59" t="n"/>
      <c r="DI78" s="57" t="n"/>
      <c r="DJ78" s="57" t="n"/>
      <c r="DK78" s="57" t="n"/>
      <c r="DL78" s="57" t="n"/>
      <c r="DM78" s="67">
        <f>SUM(DI78:DL78)</f>
        <v/>
      </c>
      <c r="DN78" s="61" t="n"/>
      <c r="DO78" s="57" t="n"/>
      <c r="DP78" s="66">
        <f>DF78</f>
        <v/>
      </c>
      <c r="DQ78" s="59" t="n"/>
      <c r="DR78" s="57" t="n"/>
      <c r="DS78" s="57" t="n"/>
      <c r="DT78" s="57" t="n"/>
      <c r="DU78" s="57" t="n"/>
      <c r="DV78" s="67">
        <f>SUM(DR78:DU78)</f>
        <v/>
      </c>
      <c r="DW78" s="61" t="n"/>
      <c r="DX78" s="57" t="n"/>
      <c r="DY78" s="66">
        <f>DO78</f>
        <v/>
      </c>
      <c r="DZ78" s="59" t="n"/>
      <c r="EA78" s="57" t="n"/>
      <c r="EB78" s="57" t="n"/>
      <c r="EC78" s="57" t="n"/>
      <c r="ED78" s="57" t="n"/>
      <c r="EE78" s="67">
        <f>SUM(EA78:ED78)</f>
        <v/>
      </c>
      <c r="EF78" s="61" t="n"/>
      <c r="EG78" s="57" t="n"/>
      <c r="EH78" s="66">
        <f>DX78</f>
        <v/>
      </c>
      <c r="EI78" s="59" t="n"/>
      <c r="EJ78" s="57" t="n"/>
      <c r="EK78" s="57" t="n"/>
      <c r="EL78" s="57" t="n"/>
      <c r="EM78" s="57" t="n"/>
      <c r="EN78" s="67">
        <f>SUM(EJ78:EM78)</f>
        <v/>
      </c>
      <c r="EO78" s="61" t="n"/>
      <c r="EP78" s="57" t="n"/>
      <c r="EQ78" s="66">
        <f>EG78</f>
        <v/>
      </c>
      <c r="ER78" s="59" t="n"/>
      <c r="ES78" s="57" t="n"/>
      <c r="ET78" s="57" t="n"/>
      <c r="EU78" s="57" t="n"/>
      <c r="EV78" s="57" t="n"/>
      <c r="EW78" s="67">
        <f>SUM(ES78:EV78)</f>
        <v/>
      </c>
      <c r="EX78" s="61" t="n"/>
      <c r="EY78" s="57" t="n"/>
      <c r="EZ78" s="66">
        <f>EP78</f>
        <v/>
      </c>
      <c r="FA78" s="59" t="n"/>
      <c r="FB78" s="57" t="n"/>
      <c r="FC78" s="57" t="n"/>
      <c r="FD78" s="57" t="n"/>
      <c r="FE78" s="57" t="n"/>
      <c r="FF78" s="67">
        <f>SUM(FB78:FE78)</f>
        <v/>
      </c>
      <c r="FG78" s="61" t="n"/>
      <c r="FH78" s="57" t="n"/>
      <c r="FI78" s="66">
        <f>EY78</f>
        <v/>
      </c>
      <c r="FJ78" s="59" t="n"/>
      <c r="FK78" s="57" t="n"/>
      <c r="FL78" s="57" t="n"/>
      <c r="FM78" s="57" t="n"/>
      <c r="FN78" s="57" t="n"/>
      <c r="FO78" s="67">
        <f>SUM(FK78:FN78)</f>
        <v/>
      </c>
      <c r="FP78" s="61" t="n"/>
      <c r="FQ78" s="57" t="n"/>
      <c r="FR78" s="66">
        <f>FH78</f>
        <v/>
      </c>
      <c r="FS78" s="59" t="n"/>
      <c r="FT78" s="57" t="n"/>
      <c r="FU78" s="57" t="n"/>
      <c r="FV78" s="57" t="n"/>
      <c r="FW78" s="57" t="n"/>
      <c r="FX78" s="67">
        <f>SUM(FT78:FW78)</f>
        <v/>
      </c>
      <c r="FY78" s="61" t="n"/>
      <c r="FZ78" s="57" t="n"/>
      <c r="GA78" s="66">
        <f>FQ78</f>
        <v/>
      </c>
      <c r="GB78" s="59" t="n"/>
      <c r="GC78" s="57" t="n"/>
      <c r="GD78" s="57" t="n"/>
      <c r="GE78" s="57" t="n"/>
      <c r="GF78" s="57" t="n"/>
      <c r="GG78" s="67">
        <f>SUM(GC78:GF78)</f>
        <v/>
      </c>
      <c r="GH78" s="61" t="n"/>
      <c r="GI78" s="57" t="n"/>
      <c r="GJ78" s="66">
        <f>FZ78</f>
        <v/>
      </c>
      <c r="GK78" s="59" t="n"/>
      <c r="GL78" s="57" t="n"/>
      <c r="GM78" s="57" t="n"/>
      <c r="GN78" s="57" t="n"/>
      <c r="GO78" s="57" t="n"/>
      <c r="GP78" s="67">
        <f>SUM(GL78:GO78)</f>
        <v/>
      </c>
      <c r="GQ78" s="61" t="n"/>
      <c r="GR78" s="57" t="n"/>
      <c r="GS78" s="66">
        <f>GI78</f>
        <v/>
      </c>
      <c r="GT78" s="59" t="n"/>
      <c r="GU78" s="57" t="n"/>
      <c r="GV78" s="57" t="n"/>
      <c r="GW78" s="57" t="n"/>
      <c r="GX78" s="57" t="n"/>
      <c r="GY78" s="67">
        <f>SUM(GU78:GX78)</f>
        <v/>
      </c>
      <c r="GZ78" s="61" t="n"/>
      <c r="HA78" s="57" t="n"/>
      <c r="HB78" s="66">
        <f>GR78</f>
        <v/>
      </c>
      <c r="HC78" s="59" t="n"/>
      <c r="HD78" s="57" t="n"/>
      <c r="HE78" s="57" t="n"/>
      <c r="HF78" s="57" t="n"/>
      <c r="HG78" s="57" t="n"/>
      <c r="HH78" s="67">
        <f>SUM(HD78:HG78)</f>
        <v/>
      </c>
      <c r="HI78" s="61" t="n"/>
      <c r="HJ78" s="57" t="n"/>
      <c r="HK78" s="66">
        <f>HA78</f>
        <v/>
      </c>
      <c r="HL78" s="59" t="n"/>
      <c r="HM78" s="57" t="n"/>
      <c r="HN78" s="57" t="n"/>
      <c r="HO78" s="57" t="n"/>
      <c r="HP78" s="57" t="n"/>
      <c r="HQ78" s="67">
        <f>SUM(HM78:HP78)</f>
        <v/>
      </c>
      <c r="HR78" s="61" t="n"/>
      <c r="HS78" s="57" t="n"/>
      <c r="HT78" s="66">
        <f>HJ78</f>
        <v/>
      </c>
      <c r="HU78" s="59" t="n"/>
      <c r="HV78" s="57" t="n"/>
      <c r="HW78" s="57" t="n"/>
      <c r="HX78" s="57" t="n"/>
      <c r="HY78" s="57" t="n"/>
      <c r="HZ78" s="67">
        <f>SUM(HV78:HY78)</f>
        <v/>
      </c>
      <c r="IA78" s="61" t="n"/>
      <c r="IB78" s="57" t="n"/>
      <c r="IC78" s="66">
        <f>HS78</f>
        <v/>
      </c>
      <c r="ID78" s="59" t="n"/>
      <c r="IE78" s="57" t="n"/>
      <c r="IF78" s="57" t="n"/>
      <c r="IG78" s="57" t="n"/>
      <c r="IH78" s="57" t="n"/>
      <c r="II78" s="67">
        <f>SUM(IE78:IH78)</f>
        <v/>
      </c>
      <c r="IJ78" s="61" t="n"/>
      <c r="IK78" s="57" t="n"/>
      <c r="IL78" s="66">
        <f>IB78</f>
        <v/>
      </c>
      <c r="IM78" s="59" t="n"/>
      <c r="IN78" s="57" t="n"/>
      <c r="IO78" s="57" t="n"/>
      <c r="IP78" s="57" t="n"/>
      <c r="IQ78" s="57" t="n"/>
      <c r="IR78" s="67">
        <f>SUM(IN78:IQ78)</f>
        <v/>
      </c>
      <c r="IS78" s="61" t="n"/>
      <c r="IT78" s="57" t="n"/>
      <c r="IU78" s="66">
        <f>IK78</f>
        <v/>
      </c>
      <c r="IV78" s="59" t="n"/>
      <c r="IW78" s="57" t="n"/>
      <c r="IX78" s="57" t="n"/>
      <c r="IY78" s="57" t="n"/>
      <c r="IZ78" s="57" t="n"/>
      <c r="JA78" s="67">
        <f>SUM(IW78:IZ78)</f>
        <v/>
      </c>
      <c r="JB78" s="61" t="n"/>
      <c r="JC78" s="57" t="n"/>
      <c r="JD78" s="66">
        <f>IT78</f>
        <v/>
      </c>
      <c r="JE78" s="59" t="n"/>
      <c r="JF78" s="57" t="n"/>
      <c r="JG78" s="57" t="n"/>
      <c r="JH78" s="57" t="n"/>
      <c r="JI78" s="57" t="n"/>
      <c r="JJ78" s="67">
        <f>SUM(JF78:JI78)</f>
        <v/>
      </c>
      <c r="JK78" s="61" t="n"/>
      <c r="JL78" s="57" t="n"/>
      <c r="JM78" s="66">
        <f>JC78</f>
        <v/>
      </c>
      <c r="JN78" s="59" t="n"/>
      <c r="JO78" s="57" t="n"/>
      <c r="JP78" s="57" t="n"/>
      <c r="JQ78" s="57" t="n"/>
      <c r="JR78" s="57" t="n"/>
      <c r="JS78" s="67">
        <f>SUM(JO78:JR78)</f>
        <v/>
      </c>
      <c r="JT78" s="61" t="n"/>
      <c r="JU78" s="62">
        <f>I78+R78+AA78+AJ78+AS78+BB78+BK78+BT78+CC78+CL78+CU78+DD78+DM78+DV78+EE78+EN78+EW78+FF78+FO78+FX78+GG78+GP78+GY78+HH78+HQ78+HZ78+II78+IR78+JA78+JJ78+JS78</f>
        <v/>
      </c>
      <c r="JV78" s="63">
        <f>D78+M78+V78+AE78+AN78+AW78+BF78+BO78+BX78+CG78+CP78+CY78+DH78+DQ78+DZ78+EI78+ER78+FA78+FJ78+FS78+GB78+GK78+GT78+HC78+HL78+HU78+ID78+IM78+IV78+JE78+JN78</f>
        <v/>
      </c>
      <c r="JW78" s="62">
        <f>CHOOSE($Z$3,B78, K78, T78, AC78, AL78, AU78, BD78, BM78, BV78, CE78, CN78, CW78, DF78, DO78, DX78, EG78, EP78, EY78, FH78, FQ78, FZ78, GI78, GR78, HA78, HJ78, HS78, IB78, IK78, IT78, JC78, JL78)</f>
        <v/>
      </c>
      <c r="JX78" s="62">
        <f>IFERROR(JU78/$Z$3,0)</f>
        <v/>
      </c>
      <c r="JY78" s="62">
        <f>Configurações!$C$18</f>
        <v/>
      </c>
      <c r="JZ78" s="64">
        <f>IF(JY78=0,"— Sem meta",IF(JU78&gt;=JY78,"✓ Atingida","Em andamento"))</f>
        <v/>
      </c>
      <c r="KA78" s="65">
        <f>JU78+(2*0.0000001)</f>
        <v/>
      </c>
    </row>
    <row r="79" ht="20" customHeight="1">
      <c r="A79" s="56">
        <f>IF(Configurações!$B$19="","Assessor 13",Configurações!$B$19)</f>
        <v/>
      </c>
      <c r="B79" s="57" t="n"/>
      <c r="C79" s="58">
        <f>'Junho'!$JW79</f>
        <v/>
      </c>
      <c r="D79" s="59" t="n"/>
      <c r="E79" s="57" t="n"/>
      <c r="F79" s="57" t="n"/>
      <c r="G79" s="57" t="n"/>
      <c r="H79" s="57" t="n"/>
      <c r="I79" s="60">
        <f>SUM(E79:H79)</f>
        <v/>
      </c>
      <c r="J79" s="61" t="n"/>
      <c r="K79" s="57" t="n"/>
      <c r="L79" s="58">
        <f>B79</f>
        <v/>
      </c>
      <c r="M79" s="59" t="n"/>
      <c r="N79" s="57" t="n"/>
      <c r="O79" s="57" t="n"/>
      <c r="P79" s="57" t="n"/>
      <c r="Q79" s="57" t="n"/>
      <c r="R79" s="60">
        <f>SUM(N79:Q79)</f>
        <v/>
      </c>
      <c r="S79" s="61" t="n"/>
      <c r="T79" s="57" t="n"/>
      <c r="U79" s="58">
        <f>K79</f>
        <v/>
      </c>
      <c r="V79" s="59" t="n"/>
      <c r="W79" s="57" t="n"/>
      <c r="X79" s="57" t="n"/>
      <c r="Y79" s="57" t="n"/>
      <c r="Z79" s="57" t="n"/>
      <c r="AA79" s="60">
        <f>SUM(W79:Z79)</f>
        <v/>
      </c>
      <c r="AB79" s="61" t="n"/>
      <c r="AC79" s="57" t="n"/>
      <c r="AD79" s="58">
        <f>T79</f>
        <v/>
      </c>
      <c r="AE79" s="59" t="n"/>
      <c r="AF79" s="57" t="n"/>
      <c r="AG79" s="57" t="n"/>
      <c r="AH79" s="57" t="n"/>
      <c r="AI79" s="57" t="n"/>
      <c r="AJ79" s="60">
        <f>SUM(AF79:AI79)</f>
        <v/>
      </c>
      <c r="AK79" s="61" t="n"/>
      <c r="AL79" s="57" t="n"/>
      <c r="AM79" s="58">
        <f>AC79</f>
        <v/>
      </c>
      <c r="AN79" s="59" t="n"/>
      <c r="AO79" s="57" t="n"/>
      <c r="AP79" s="57" t="n"/>
      <c r="AQ79" s="57" t="n"/>
      <c r="AR79" s="57" t="n"/>
      <c r="AS79" s="60">
        <f>SUM(AO79:AR79)</f>
        <v/>
      </c>
      <c r="AT79" s="61" t="n"/>
      <c r="AU79" s="57" t="n"/>
      <c r="AV79" s="58">
        <f>AL79</f>
        <v/>
      </c>
      <c r="AW79" s="59" t="n"/>
      <c r="AX79" s="57" t="n"/>
      <c r="AY79" s="57" t="n"/>
      <c r="AZ79" s="57" t="n"/>
      <c r="BA79" s="57" t="n"/>
      <c r="BB79" s="60">
        <f>SUM(AX79:BA79)</f>
        <v/>
      </c>
      <c r="BC79" s="61" t="n"/>
      <c r="BD79" s="57" t="n"/>
      <c r="BE79" s="58">
        <f>AU79</f>
        <v/>
      </c>
      <c r="BF79" s="59" t="n"/>
      <c r="BG79" s="57" t="n"/>
      <c r="BH79" s="57" t="n"/>
      <c r="BI79" s="57" t="n"/>
      <c r="BJ79" s="57" t="n"/>
      <c r="BK79" s="60">
        <f>SUM(BG79:BJ79)</f>
        <v/>
      </c>
      <c r="BL79" s="61" t="n"/>
      <c r="BM79" s="57" t="n"/>
      <c r="BN79" s="58">
        <f>BD79</f>
        <v/>
      </c>
      <c r="BO79" s="59" t="n"/>
      <c r="BP79" s="57" t="n"/>
      <c r="BQ79" s="57" t="n"/>
      <c r="BR79" s="57" t="n"/>
      <c r="BS79" s="57" t="n"/>
      <c r="BT79" s="60">
        <f>SUM(BP79:BS79)</f>
        <v/>
      </c>
      <c r="BU79" s="61" t="n"/>
      <c r="BV79" s="57" t="n"/>
      <c r="BW79" s="58">
        <f>BM79</f>
        <v/>
      </c>
      <c r="BX79" s="59" t="n"/>
      <c r="BY79" s="57" t="n"/>
      <c r="BZ79" s="57" t="n"/>
      <c r="CA79" s="57" t="n"/>
      <c r="CB79" s="57" t="n"/>
      <c r="CC79" s="60">
        <f>SUM(BY79:CB79)</f>
        <v/>
      </c>
      <c r="CD79" s="61" t="n"/>
      <c r="CE79" s="57" t="n"/>
      <c r="CF79" s="58">
        <f>BV79</f>
        <v/>
      </c>
      <c r="CG79" s="59" t="n"/>
      <c r="CH79" s="57" t="n"/>
      <c r="CI79" s="57" t="n"/>
      <c r="CJ79" s="57" t="n"/>
      <c r="CK79" s="57" t="n"/>
      <c r="CL79" s="60">
        <f>SUM(CH79:CK79)</f>
        <v/>
      </c>
      <c r="CM79" s="61" t="n"/>
      <c r="CN79" s="57" t="n"/>
      <c r="CO79" s="58">
        <f>CE79</f>
        <v/>
      </c>
      <c r="CP79" s="59" t="n"/>
      <c r="CQ79" s="57" t="n"/>
      <c r="CR79" s="57" t="n"/>
      <c r="CS79" s="57" t="n"/>
      <c r="CT79" s="57" t="n"/>
      <c r="CU79" s="60">
        <f>SUM(CQ79:CT79)</f>
        <v/>
      </c>
      <c r="CV79" s="61" t="n"/>
      <c r="CW79" s="57" t="n"/>
      <c r="CX79" s="58">
        <f>CN79</f>
        <v/>
      </c>
      <c r="CY79" s="59" t="n"/>
      <c r="CZ79" s="57" t="n"/>
      <c r="DA79" s="57" t="n"/>
      <c r="DB79" s="57" t="n"/>
      <c r="DC79" s="57" t="n"/>
      <c r="DD79" s="60">
        <f>SUM(CZ79:DC79)</f>
        <v/>
      </c>
      <c r="DE79" s="61" t="n"/>
      <c r="DF79" s="57" t="n"/>
      <c r="DG79" s="58">
        <f>CW79</f>
        <v/>
      </c>
      <c r="DH79" s="59" t="n"/>
      <c r="DI79" s="57" t="n"/>
      <c r="DJ79" s="57" t="n"/>
      <c r="DK79" s="57" t="n"/>
      <c r="DL79" s="57" t="n"/>
      <c r="DM79" s="60">
        <f>SUM(DI79:DL79)</f>
        <v/>
      </c>
      <c r="DN79" s="61" t="n"/>
      <c r="DO79" s="57" t="n"/>
      <c r="DP79" s="58">
        <f>DF79</f>
        <v/>
      </c>
      <c r="DQ79" s="59" t="n"/>
      <c r="DR79" s="57" t="n"/>
      <c r="DS79" s="57" t="n"/>
      <c r="DT79" s="57" t="n"/>
      <c r="DU79" s="57" t="n"/>
      <c r="DV79" s="60">
        <f>SUM(DR79:DU79)</f>
        <v/>
      </c>
      <c r="DW79" s="61" t="n"/>
      <c r="DX79" s="57" t="n"/>
      <c r="DY79" s="58">
        <f>DO79</f>
        <v/>
      </c>
      <c r="DZ79" s="59" t="n"/>
      <c r="EA79" s="57" t="n"/>
      <c r="EB79" s="57" t="n"/>
      <c r="EC79" s="57" t="n"/>
      <c r="ED79" s="57" t="n"/>
      <c r="EE79" s="60">
        <f>SUM(EA79:ED79)</f>
        <v/>
      </c>
      <c r="EF79" s="61" t="n"/>
      <c r="EG79" s="57" t="n"/>
      <c r="EH79" s="58">
        <f>DX79</f>
        <v/>
      </c>
      <c r="EI79" s="59" t="n"/>
      <c r="EJ79" s="57" t="n"/>
      <c r="EK79" s="57" t="n"/>
      <c r="EL79" s="57" t="n"/>
      <c r="EM79" s="57" t="n"/>
      <c r="EN79" s="60">
        <f>SUM(EJ79:EM79)</f>
        <v/>
      </c>
      <c r="EO79" s="61" t="n"/>
      <c r="EP79" s="57" t="n"/>
      <c r="EQ79" s="58">
        <f>EG79</f>
        <v/>
      </c>
      <c r="ER79" s="59" t="n"/>
      <c r="ES79" s="57" t="n"/>
      <c r="ET79" s="57" t="n"/>
      <c r="EU79" s="57" t="n"/>
      <c r="EV79" s="57" t="n"/>
      <c r="EW79" s="60">
        <f>SUM(ES79:EV79)</f>
        <v/>
      </c>
      <c r="EX79" s="61" t="n"/>
      <c r="EY79" s="57" t="n"/>
      <c r="EZ79" s="58">
        <f>EP79</f>
        <v/>
      </c>
      <c r="FA79" s="59" t="n"/>
      <c r="FB79" s="57" t="n"/>
      <c r="FC79" s="57" t="n"/>
      <c r="FD79" s="57" t="n"/>
      <c r="FE79" s="57" t="n"/>
      <c r="FF79" s="60">
        <f>SUM(FB79:FE79)</f>
        <v/>
      </c>
      <c r="FG79" s="61" t="n"/>
      <c r="FH79" s="57" t="n"/>
      <c r="FI79" s="58">
        <f>EY79</f>
        <v/>
      </c>
      <c r="FJ79" s="59" t="n"/>
      <c r="FK79" s="57" t="n"/>
      <c r="FL79" s="57" t="n"/>
      <c r="FM79" s="57" t="n"/>
      <c r="FN79" s="57" t="n"/>
      <c r="FO79" s="60">
        <f>SUM(FK79:FN79)</f>
        <v/>
      </c>
      <c r="FP79" s="61" t="n"/>
      <c r="FQ79" s="57" t="n"/>
      <c r="FR79" s="58">
        <f>FH79</f>
        <v/>
      </c>
      <c r="FS79" s="59" t="n"/>
      <c r="FT79" s="57" t="n"/>
      <c r="FU79" s="57" t="n"/>
      <c r="FV79" s="57" t="n"/>
      <c r="FW79" s="57" t="n"/>
      <c r="FX79" s="60">
        <f>SUM(FT79:FW79)</f>
        <v/>
      </c>
      <c r="FY79" s="61" t="n"/>
      <c r="FZ79" s="57" t="n"/>
      <c r="GA79" s="58">
        <f>FQ79</f>
        <v/>
      </c>
      <c r="GB79" s="59" t="n"/>
      <c r="GC79" s="57" t="n"/>
      <c r="GD79" s="57" t="n"/>
      <c r="GE79" s="57" t="n"/>
      <c r="GF79" s="57" t="n"/>
      <c r="GG79" s="60">
        <f>SUM(GC79:GF79)</f>
        <v/>
      </c>
      <c r="GH79" s="61" t="n"/>
      <c r="GI79" s="57" t="n"/>
      <c r="GJ79" s="58">
        <f>FZ79</f>
        <v/>
      </c>
      <c r="GK79" s="59" t="n"/>
      <c r="GL79" s="57" t="n"/>
      <c r="GM79" s="57" t="n"/>
      <c r="GN79" s="57" t="n"/>
      <c r="GO79" s="57" t="n"/>
      <c r="GP79" s="60">
        <f>SUM(GL79:GO79)</f>
        <v/>
      </c>
      <c r="GQ79" s="61" t="n"/>
      <c r="GR79" s="57" t="n"/>
      <c r="GS79" s="58">
        <f>GI79</f>
        <v/>
      </c>
      <c r="GT79" s="59" t="n"/>
      <c r="GU79" s="57" t="n"/>
      <c r="GV79" s="57" t="n"/>
      <c r="GW79" s="57" t="n"/>
      <c r="GX79" s="57" t="n"/>
      <c r="GY79" s="60">
        <f>SUM(GU79:GX79)</f>
        <v/>
      </c>
      <c r="GZ79" s="61" t="n"/>
      <c r="HA79" s="57" t="n"/>
      <c r="HB79" s="58">
        <f>GR79</f>
        <v/>
      </c>
      <c r="HC79" s="59" t="n"/>
      <c r="HD79" s="57" t="n"/>
      <c r="HE79" s="57" t="n"/>
      <c r="HF79" s="57" t="n"/>
      <c r="HG79" s="57" t="n"/>
      <c r="HH79" s="60">
        <f>SUM(HD79:HG79)</f>
        <v/>
      </c>
      <c r="HI79" s="61" t="n"/>
      <c r="HJ79" s="57" t="n"/>
      <c r="HK79" s="58">
        <f>HA79</f>
        <v/>
      </c>
      <c r="HL79" s="59" t="n"/>
      <c r="HM79" s="57" t="n"/>
      <c r="HN79" s="57" t="n"/>
      <c r="HO79" s="57" t="n"/>
      <c r="HP79" s="57" t="n"/>
      <c r="HQ79" s="60">
        <f>SUM(HM79:HP79)</f>
        <v/>
      </c>
      <c r="HR79" s="61" t="n"/>
      <c r="HS79" s="57" t="n"/>
      <c r="HT79" s="58">
        <f>HJ79</f>
        <v/>
      </c>
      <c r="HU79" s="59" t="n"/>
      <c r="HV79" s="57" t="n"/>
      <c r="HW79" s="57" t="n"/>
      <c r="HX79" s="57" t="n"/>
      <c r="HY79" s="57" t="n"/>
      <c r="HZ79" s="60">
        <f>SUM(HV79:HY79)</f>
        <v/>
      </c>
      <c r="IA79" s="61" t="n"/>
      <c r="IB79" s="57" t="n"/>
      <c r="IC79" s="58">
        <f>HS79</f>
        <v/>
      </c>
      <c r="ID79" s="59" t="n"/>
      <c r="IE79" s="57" t="n"/>
      <c r="IF79" s="57" t="n"/>
      <c r="IG79" s="57" t="n"/>
      <c r="IH79" s="57" t="n"/>
      <c r="II79" s="60">
        <f>SUM(IE79:IH79)</f>
        <v/>
      </c>
      <c r="IJ79" s="61" t="n"/>
      <c r="IK79" s="57" t="n"/>
      <c r="IL79" s="58">
        <f>IB79</f>
        <v/>
      </c>
      <c r="IM79" s="59" t="n"/>
      <c r="IN79" s="57" t="n"/>
      <c r="IO79" s="57" t="n"/>
      <c r="IP79" s="57" t="n"/>
      <c r="IQ79" s="57" t="n"/>
      <c r="IR79" s="60">
        <f>SUM(IN79:IQ79)</f>
        <v/>
      </c>
      <c r="IS79" s="61" t="n"/>
      <c r="IT79" s="57" t="n"/>
      <c r="IU79" s="58">
        <f>IK79</f>
        <v/>
      </c>
      <c r="IV79" s="59" t="n"/>
      <c r="IW79" s="57" t="n"/>
      <c r="IX79" s="57" t="n"/>
      <c r="IY79" s="57" t="n"/>
      <c r="IZ79" s="57" t="n"/>
      <c r="JA79" s="60">
        <f>SUM(IW79:IZ79)</f>
        <v/>
      </c>
      <c r="JB79" s="61" t="n"/>
      <c r="JC79" s="57" t="n"/>
      <c r="JD79" s="58">
        <f>IT79</f>
        <v/>
      </c>
      <c r="JE79" s="59" t="n"/>
      <c r="JF79" s="57" t="n"/>
      <c r="JG79" s="57" t="n"/>
      <c r="JH79" s="57" t="n"/>
      <c r="JI79" s="57" t="n"/>
      <c r="JJ79" s="60">
        <f>SUM(JF79:JI79)</f>
        <v/>
      </c>
      <c r="JK79" s="61" t="n"/>
      <c r="JL79" s="57" t="n"/>
      <c r="JM79" s="58">
        <f>JC79</f>
        <v/>
      </c>
      <c r="JN79" s="59" t="n"/>
      <c r="JO79" s="57" t="n"/>
      <c r="JP79" s="57" t="n"/>
      <c r="JQ79" s="57" t="n"/>
      <c r="JR79" s="57" t="n"/>
      <c r="JS79" s="60">
        <f>SUM(JO79:JR79)</f>
        <v/>
      </c>
      <c r="JT79" s="61" t="n"/>
      <c r="JU79" s="62">
        <f>I79+R79+AA79+AJ79+AS79+BB79+BK79+BT79+CC79+CL79+CU79+DD79+DM79+DV79+EE79+EN79+EW79+FF79+FO79+FX79+GG79+GP79+GY79+HH79+HQ79+HZ79+II79+IR79+JA79+JJ79+JS79</f>
        <v/>
      </c>
      <c r="JV79" s="63">
        <f>D79+M79+V79+AE79+AN79+AW79+BF79+BO79+BX79+CG79+CP79+CY79+DH79+DQ79+DZ79+EI79+ER79+FA79+FJ79+FS79+GB79+GK79+GT79+HC79+HL79+HU79+ID79+IM79+IV79+JE79+JN79</f>
        <v/>
      </c>
      <c r="JW79" s="62">
        <f>CHOOSE($Z$3,B79, K79, T79, AC79, AL79, AU79, BD79, BM79, BV79, CE79, CN79, CW79, DF79, DO79, DX79, EG79, EP79, EY79, FH79, FQ79, FZ79, GI79, GR79, HA79, HJ79, HS79, IB79, IK79, IT79, JC79, JL79)</f>
        <v/>
      </c>
      <c r="JX79" s="62">
        <f>IFERROR(JU79/$Z$3,0)</f>
        <v/>
      </c>
      <c r="JY79" s="62">
        <f>Configurações!$C$19</f>
        <v/>
      </c>
      <c r="JZ79" s="64">
        <f>IF(JY79=0,"— Sem meta",IF(JU79&gt;=JY79,"✓ Atingida","Em andamento"))</f>
        <v/>
      </c>
      <c r="KA79" s="65">
        <f>JU79+(1*0.0000001)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66:JZ79"/>
  <mergeCells count="65">
    <mergeCell ref="C6:D6"/>
    <mergeCell ref="I6:J6"/>
    <mergeCell ref="G10:I10"/>
    <mergeCell ref="T65:AB65"/>
    <mergeCell ref="CW65:DE65"/>
    <mergeCell ref="IK65:IS65"/>
    <mergeCell ref="FH65:FP65"/>
    <mergeCell ref="JV65:JV66"/>
    <mergeCell ref="C5:D5"/>
    <mergeCell ref="EY65:FG65"/>
    <mergeCell ref="JY65:JY66"/>
    <mergeCell ref="A2:KA2"/>
    <mergeCell ref="E5:F5"/>
    <mergeCell ref="K5:L5"/>
    <mergeCell ref="J9:L9"/>
    <mergeCell ref="AU65:BC65"/>
    <mergeCell ref="GI65:GQ65"/>
    <mergeCell ref="HJ65:HR65"/>
    <mergeCell ref="A6:B6"/>
    <mergeCell ref="A12:L12"/>
    <mergeCell ref="A65:A66"/>
    <mergeCell ref="JL65:JT65"/>
    <mergeCell ref="A8:L8"/>
    <mergeCell ref="FQ65:FY65"/>
    <mergeCell ref="D9:F9"/>
    <mergeCell ref="G6:H6"/>
    <mergeCell ref="B65:J65"/>
    <mergeCell ref="HS65:IA65"/>
    <mergeCell ref="AC65:AK65"/>
    <mergeCell ref="BD65:BL65"/>
    <mergeCell ref="A4:L4"/>
    <mergeCell ref="DO65:DW65"/>
    <mergeCell ref="A10:C10"/>
    <mergeCell ref="CE65:CM65"/>
    <mergeCell ref="DF65:DN65"/>
    <mergeCell ref="E6:F6"/>
    <mergeCell ref="EG65:EO65"/>
    <mergeCell ref="JX65:JX66"/>
    <mergeCell ref="JZ65:JZ66"/>
    <mergeCell ref="K65:S65"/>
    <mergeCell ref="A5:B5"/>
    <mergeCell ref="G5:H5"/>
    <mergeCell ref="A9:C9"/>
    <mergeCell ref="G9:I9"/>
    <mergeCell ref="I5:J5"/>
    <mergeCell ref="A64:KA64"/>
    <mergeCell ref="IT65:JB65"/>
    <mergeCell ref="A1:KA1"/>
    <mergeCell ref="D10:F10"/>
    <mergeCell ref="BV65:CD65"/>
    <mergeCell ref="IB65:IJ65"/>
    <mergeCell ref="CN65:CV65"/>
    <mergeCell ref="BM65:BU65"/>
    <mergeCell ref="DX65:EF65"/>
    <mergeCell ref="JU65:JU66"/>
    <mergeCell ref="J10:L10"/>
    <mergeCell ref="EP65:EX65"/>
    <mergeCell ref="JW65:JW66"/>
    <mergeCell ref="FZ65:GH65"/>
    <mergeCell ref="KA65:KA66"/>
    <mergeCell ref="HA65:HI65"/>
    <mergeCell ref="AL65:AT65"/>
    <mergeCell ref="GR65:GZ65"/>
    <mergeCell ref="JC65:JK65"/>
    <mergeCell ref="K6:L6"/>
  </mergeCells>
  <conditionalFormatting sqref="H14:H26">
    <cfRule type="expression" priority="1" dxfId="0">
      <formula>ISNUMBER(SEARCH("Atingida",H14))</formula>
    </cfRule>
  </conditionalFormatting>
  <conditionalFormatting sqref="B65:JT79">
    <cfRule type="expression" priority="2" dxfId="1">
      <formula>$Z$3&lt;INT((COLUMN()-2)/9)+1</formula>
    </cfRule>
  </conditionalFormatting>
  <conditionalFormatting sqref="D67:D79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I67:I79">
    <cfRule type="colorScale" priority="5">
      <colorScale>
        <cfvo type="min"/>
        <cfvo type="max"/>
        <color rgb="00FFFFFF"/>
        <color rgb="0063BE7B"/>
      </colorScale>
    </cfRule>
  </conditionalFormatting>
  <conditionalFormatting sqref="M67:M79">
    <cfRule type="cellIs" priority="6" operator="greaterThan" dxfId="2">
      <formula>0</formula>
    </cfRule>
    <cfRule type="cellIs" priority="7" operator="lessThan" dxfId="3">
      <formula>0</formula>
    </cfRule>
  </conditionalFormatting>
  <conditionalFormatting sqref="R67:R79">
    <cfRule type="colorScale" priority="8">
      <colorScale>
        <cfvo type="min"/>
        <cfvo type="max"/>
        <color rgb="00FFFFFF"/>
        <color rgb="0063BE7B"/>
      </colorScale>
    </cfRule>
  </conditionalFormatting>
  <conditionalFormatting sqref="V67:V79">
    <cfRule type="cellIs" priority="9" operator="greaterThan" dxfId="2">
      <formula>0</formula>
    </cfRule>
    <cfRule type="cellIs" priority="10" operator="lessThan" dxfId="3">
      <formula>0</formula>
    </cfRule>
  </conditionalFormatting>
  <conditionalFormatting sqref="AA67:AA79">
    <cfRule type="colorScale" priority="11">
      <colorScale>
        <cfvo type="min"/>
        <cfvo type="max"/>
        <color rgb="00FFFFFF"/>
        <color rgb="0063BE7B"/>
      </colorScale>
    </cfRule>
  </conditionalFormatting>
  <conditionalFormatting sqref="AE67:AE79">
    <cfRule type="cellIs" priority="12" operator="greaterThan" dxfId="2">
      <formula>0</formula>
    </cfRule>
    <cfRule type="cellIs" priority="13" operator="lessThan" dxfId="3">
      <formula>0</formula>
    </cfRule>
  </conditionalFormatting>
  <conditionalFormatting sqref="AJ67:AJ79">
    <cfRule type="colorScale" priority="14">
      <colorScale>
        <cfvo type="min"/>
        <cfvo type="max"/>
        <color rgb="00FFFFFF"/>
        <color rgb="0063BE7B"/>
      </colorScale>
    </cfRule>
  </conditionalFormatting>
  <conditionalFormatting sqref="AN67:AN79">
    <cfRule type="cellIs" priority="15" operator="greaterThan" dxfId="2">
      <formula>0</formula>
    </cfRule>
    <cfRule type="cellIs" priority="16" operator="lessThan" dxfId="3">
      <formula>0</formula>
    </cfRule>
  </conditionalFormatting>
  <conditionalFormatting sqref="AS67:AS79">
    <cfRule type="colorScale" priority="17">
      <colorScale>
        <cfvo type="min"/>
        <cfvo type="max"/>
        <color rgb="00FFFFFF"/>
        <color rgb="0063BE7B"/>
      </colorScale>
    </cfRule>
  </conditionalFormatting>
  <conditionalFormatting sqref="AW67:AW79">
    <cfRule type="cellIs" priority="18" operator="greaterThan" dxfId="2">
      <formula>0</formula>
    </cfRule>
    <cfRule type="cellIs" priority="19" operator="lessThan" dxfId="3">
      <formula>0</formula>
    </cfRule>
  </conditionalFormatting>
  <conditionalFormatting sqref="BB67:BB79">
    <cfRule type="colorScale" priority="20">
      <colorScale>
        <cfvo type="min"/>
        <cfvo type="max"/>
        <color rgb="00FFFFFF"/>
        <color rgb="0063BE7B"/>
      </colorScale>
    </cfRule>
  </conditionalFormatting>
  <conditionalFormatting sqref="BF67:BF79">
    <cfRule type="cellIs" priority="21" operator="greaterThan" dxfId="2">
      <formula>0</formula>
    </cfRule>
    <cfRule type="cellIs" priority="22" operator="lessThan" dxfId="3">
      <formula>0</formula>
    </cfRule>
  </conditionalFormatting>
  <conditionalFormatting sqref="BK67:BK79">
    <cfRule type="colorScale" priority="23">
      <colorScale>
        <cfvo type="min"/>
        <cfvo type="max"/>
        <color rgb="00FFFFFF"/>
        <color rgb="0063BE7B"/>
      </colorScale>
    </cfRule>
  </conditionalFormatting>
  <conditionalFormatting sqref="BO67:BO79">
    <cfRule type="cellIs" priority="24" operator="greaterThan" dxfId="2">
      <formula>0</formula>
    </cfRule>
    <cfRule type="cellIs" priority="25" operator="lessThan" dxfId="3">
      <formula>0</formula>
    </cfRule>
  </conditionalFormatting>
  <conditionalFormatting sqref="BT67:BT79">
    <cfRule type="colorScale" priority="26">
      <colorScale>
        <cfvo type="min"/>
        <cfvo type="max"/>
        <color rgb="00FFFFFF"/>
        <color rgb="0063BE7B"/>
      </colorScale>
    </cfRule>
  </conditionalFormatting>
  <conditionalFormatting sqref="BX67:BX79">
    <cfRule type="cellIs" priority="27" operator="greaterThan" dxfId="2">
      <formula>0</formula>
    </cfRule>
    <cfRule type="cellIs" priority="28" operator="lessThan" dxfId="3">
      <formula>0</formula>
    </cfRule>
  </conditionalFormatting>
  <conditionalFormatting sqref="CC67:CC79">
    <cfRule type="colorScale" priority="29">
      <colorScale>
        <cfvo type="min"/>
        <cfvo type="max"/>
        <color rgb="00FFFFFF"/>
        <color rgb="0063BE7B"/>
      </colorScale>
    </cfRule>
  </conditionalFormatting>
  <conditionalFormatting sqref="CG67:CG79">
    <cfRule type="cellIs" priority="30" operator="greaterThan" dxfId="2">
      <formula>0</formula>
    </cfRule>
    <cfRule type="cellIs" priority="31" operator="lessThan" dxfId="3">
      <formula>0</formula>
    </cfRule>
  </conditionalFormatting>
  <conditionalFormatting sqref="CL67:CL79">
    <cfRule type="colorScale" priority="32">
      <colorScale>
        <cfvo type="min"/>
        <cfvo type="max"/>
        <color rgb="00FFFFFF"/>
        <color rgb="0063BE7B"/>
      </colorScale>
    </cfRule>
  </conditionalFormatting>
  <conditionalFormatting sqref="CP67:CP79">
    <cfRule type="cellIs" priority="33" operator="greaterThan" dxfId="2">
      <formula>0</formula>
    </cfRule>
    <cfRule type="cellIs" priority="34" operator="lessThan" dxfId="3">
      <formula>0</formula>
    </cfRule>
  </conditionalFormatting>
  <conditionalFormatting sqref="CU67:CU79">
    <cfRule type="colorScale" priority="35">
      <colorScale>
        <cfvo type="min"/>
        <cfvo type="max"/>
        <color rgb="00FFFFFF"/>
        <color rgb="0063BE7B"/>
      </colorScale>
    </cfRule>
  </conditionalFormatting>
  <conditionalFormatting sqref="CY67:CY79">
    <cfRule type="cellIs" priority="36" operator="greaterThan" dxfId="2">
      <formula>0</formula>
    </cfRule>
    <cfRule type="cellIs" priority="37" operator="lessThan" dxfId="3">
      <formula>0</formula>
    </cfRule>
  </conditionalFormatting>
  <conditionalFormatting sqref="DD67:DD79">
    <cfRule type="colorScale" priority="38">
      <colorScale>
        <cfvo type="min"/>
        <cfvo type="max"/>
        <color rgb="00FFFFFF"/>
        <color rgb="0063BE7B"/>
      </colorScale>
    </cfRule>
  </conditionalFormatting>
  <conditionalFormatting sqref="DH67:DH79">
    <cfRule type="cellIs" priority="39" operator="greaterThan" dxfId="2">
      <formula>0</formula>
    </cfRule>
    <cfRule type="cellIs" priority="40" operator="lessThan" dxfId="3">
      <formula>0</formula>
    </cfRule>
  </conditionalFormatting>
  <conditionalFormatting sqref="DM67:DM79">
    <cfRule type="colorScale" priority="41">
      <colorScale>
        <cfvo type="min"/>
        <cfvo type="max"/>
        <color rgb="00FFFFFF"/>
        <color rgb="0063BE7B"/>
      </colorScale>
    </cfRule>
  </conditionalFormatting>
  <conditionalFormatting sqref="DQ67:DQ79">
    <cfRule type="cellIs" priority="42" operator="greaterThan" dxfId="2">
      <formula>0</formula>
    </cfRule>
    <cfRule type="cellIs" priority="43" operator="lessThan" dxfId="3">
      <formula>0</formula>
    </cfRule>
  </conditionalFormatting>
  <conditionalFormatting sqref="DV67:DV79">
    <cfRule type="colorScale" priority="44">
      <colorScale>
        <cfvo type="min"/>
        <cfvo type="max"/>
        <color rgb="00FFFFFF"/>
        <color rgb="0063BE7B"/>
      </colorScale>
    </cfRule>
  </conditionalFormatting>
  <conditionalFormatting sqref="DZ67:DZ79">
    <cfRule type="cellIs" priority="45" operator="greaterThan" dxfId="2">
      <formula>0</formula>
    </cfRule>
    <cfRule type="cellIs" priority="46" operator="lessThan" dxfId="3">
      <formula>0</formula>
    </cfRule>
  </conditionalFormatting>
  <conditionalFormatting sqref="EE67:EE79">
    <cfRule type="colorScale" priority="47">
      <colorScale>
        <cfvo type="min"/>
        <cfvo type="max"/>
        <color rgb="00FFFFFF"/>
        <color rgb="0063BE7B"/>
      </colorScale>
    </cfRule>
  </conditionalFormatting>
  <conditionalFormatting sqref="EI67:EI79">
    <cfRule type="cellIs" priority="48" operator="greaterThan" dxfId="2">
      <formula>0</formula>
    </cfRule>
    <cfRule type="cellIs" priority="49" operator="lessThan" dxfId="3">
      <formula>0</formula>
    </cfRule>
  </conditionalFormatting>
  <conditionalFormatting sqref="EN67:EN79">
    <cfRule type="colorScale" priority="50">
      <colorScale>
        <cfvo type="min"/>
        <cfvo type="max"/>
        <color rgb="00FFFFFF"/>
        <color rgb="0063BE7B"/>
      </colorScale>
    </cfRule>
  </conditionalFormatting>
  <conditionalFormatting sqref="ER67:ER79">
    <cfRule type="cellIs" priority="51" operator="greaterThan" dxfId="2">
      <formula>0</formula>
    </cfRule>
    <cfRule type="cellIs" priority="52" operator="lessThan" dxfId="3">
      <formula>0</formula>
    </cfRule>
  </conditionalFormatting>
  <conditionalFormatting sqref="EW67:EW79">
    <cfRule type="colorScale" priority="53">
      <colorScale>
        <cfvo type="min"/>
        <cfvo type="max"/>
        <color rgb="00FFFFFF"/>
        <color rgb="0063BE7B"/>
      </colorScale>
    </cfRule>
  </conditionalFormatting>
  <conditionalFormatting sqref="FA67:FA79">
    <cfRule type="cellIs" priority="54" operator="greaterThan" dxfId="2">
      <formula>0</formula>
    </cfRule>
    <cfRule type="cellIs" priority="55" operator="lessThan" dxfId="3">
      <formula>0</formula>
    </cfRule>
  </conditionalFormatting>
  <conditionalFormatting sqref="FF67:FF79">
    <cfRule type="colorScale" priority="56">
      <colorScale>
        <cfvo type="min"/>
        <cfvo type="max"/>
        <color rgb="00FFFFFF"/>
        <color rgb="0063BE7B"/>
      </colorScale>
    </cfRule>
  </conditionalFormatting>
  <conditionalFormatting sqref="FJ67:FJ79">
    <cfRule type="cellIs" priority="57" operator="greaterThan" dxfId="2">
      <formula>0</formula>
    </cfRule>
    <cfRule type="cellIs" priority="58" operator="lessThan" dxfId="3">
      <formula>0</formula>
    </cfRule>
  </conditionalFormatting>
  <conditionalFormatting sqref="FO67:FO79">
    <cfRule type="colorScale" priority="59">
      <colorScale>
        <cfvo type="min"/>
        <cfvo type="max"/>
        <color rgb="00FFFFFF"/>
        <color rgb="0063BE7B"/>
      </colorScale>
    </cfRule>
  </conditionalFormatting>
  <conditionalFormatting sqref="FS67:FS79">
    <cfRule type="cellIs" priority="60" operator="greaterThan" dxfId="2">
      <formula>0</formula>
    </cfRule>
    <cfRule type="cellIs" priority="61" operator="lessThan" dxfId="3">
      <formula>0</formula>
    </cfRule>
  </conditionalFormatting>
  <conditionalFormatting sqref="FX67:FX79">
    <cfRule type="colorScale" priority="62">
      <colorScale>
        <cfvo type="min"/>
        <cfvo type="max"/>
        <color rgb="00FFFFFF"/>
        <color rgb="0063BE7B"/>
      </colorScale>
    </cfRule>
  </conditionalFormatting>
  <conditionalFormatting sqref="GB67:GB79">
    <cfRule type="cellIs" priority="63" operator="greaterThan" dxfId="2">
      <formula>0</formula>
    </cfRule>
    <cfRule type="cellIs" priority="64" operator="lessThan" dxfId="3">
      <formula>0</formula>
    </cfRule>
  </conditionalFormatting>
  <conditionalFormatting sqref="GG67:GG79">
    <cfRule type="colorScale" priority="65">
      <colorScale>
        <cfvo type="min"/>
        <cfvo type="max"/>
        <color rgb="00FFFFFF"/>
        <color rgb="0063BE7B"/>
      </colorScale>
    </cfRule>
  </conditionalFormatting>
  <conditionalFormatting sqref="GK67:GK79">
    <cfRule type="cellIs" priority="66" operator="greaterThan" dxfId="2">
      <formula>0</formula>
    </cfRule>
    <cfRule type="cellIs" priority="67" operator="lessThan" dxfId="3">
      <formula>0</formula>
    </cfRule>
  </conditionalFormatting>
  <conditionalFormatting sqref="GP67:GP79">
    <cfRule type="colorScale" priority="68">
      <colorScale>
        <cfvo type="min"/>
        <cfvo type="max"/>
        <color rgb="00FFFFFF"/>
        <color rgb="0063BE7B"/>
      </colorScale>
    </cfRule>
  </conditionalFormatting>
  <conditionalFormatting sqref="GT67:GT79">
    <cfRule type="cellIs" priority="69" operator="greaterThan" dxfId="2">
      <formula>0</formula>
    </cfRule>
    <cfRule type="cellIs" priority="70" operator="lessThan" dxfId="3">
      <formula>0</formula>
    </cfRule>
  </conditionalFormatting>
  <conditionalFormatting sqref="GY67:GY79">
    <cfRule type="colorScale" priority="71">
      <colorScale>
        <cfvo type="min"/>
        <cfvo type="max"/>
        <color rgb="00FFFFFF"/>
        <color rgb="0063BE7B"/>
      </colorScale>
    </cfRule>
  </conditionalFormatting>
  <conditionalFormatting sqref="HC67:HC79">
    <cfRule type="cellIs" priority="72" operator="greaterThan" dxfId="2">
      <formula>0</formula>
    </cfRule>
    <cfRule type="cellIs" priority="73" operator="lessThan" dxfId="3">
      <formula>0</formula>
    </cfRule>
  </conditionalFormatting>
  <conditionalFormatting sqref="HH67:HH79">
    <cfRule type="colorScale" priority="74">
      <colorScale>
        <cfvo type="min"/>
        <cfvo type="max"/>
        <color rgb="00FFFFFF"/>
        <color rgb="0063BE7B"/>
      </colorScale>
    </cfRule>
  </conditionalFormatting>
  <conditionalFormatting sqref="HL67:HL79">
    <cfRule type="cellIs" priority="75" operator="greaterThan" dxfId="2">
      <formula>0</formula>
    </cfRule>
    <cfRule type="cellIs" priority="76" operator="lessThan" dxfId="3">
      <formula>0</formula>
    </cfRule>
  </conditionalFormatting>
  <conditionalFormatting sqref="HQ67:HQ79">
    <cfRule type="colorScale" priority="77">
      <colorScale>
        <cfvo type="min"/>
        <cfvo type="max"/>
        <color rgb="00FFFFFF"/>
        <color rgb="0063BE7B"/>
      </colorScale>
    </cfRule>
  </conditionalFormatting>
  <conditionalFormatting sqref="HU67:HU79">
    <cfRule type="cellIs" priority="78" operator="greaterThan" dxfId="2">
      <formula>0</formula>
    </cfRule>
    <cfRule type="cellIs" priority="79" operator="lessThan" dxfId="3">
      <formula>0</formula>
    </cfRule>
  </conditionalFormatting>
  <conditionalFormatting sqref="HZ67:HZ79">
    <cfRule type="colorScale" priority="80">
      <colorScale>
        <cfvo type="min"/>
        <cfvo type="max"/>
        <color rgb="00FFFFFF"/>
        <color rgb="0063BE7B"/>
      </colorScale>
    </cfRule>
  </conditionalFormatting>
  <conditionalFormatting sqref="ID67:ID79">
    <cfRule type="cellIs" priority="81" operator="greaterThan" dxfId="2">
      <formula>0</formula>
    </cfRule>
    <cfRule type="cellIs" priority="82" operator="lessThan" dxfId="3">
      <formula>0</formula>
    </cfRule>
  </conditionalFormatting>
  <conditionalFormatting sqref="II67:II79">
    <cfRule type="colorScale" priority="83">
      <colorScale>
        <cfvo type="min"/>
        <cfvo type="max"/>
        <color rgb="00FFFFFF"/>
        <color rgb="0063BE7B"/>
      </colorScale>
    </cfRule>
  </conditionalFormatting>
  <conditionalFormatting sqref="IM67:IM79">
    <cfRule type="cellIs" priority="84" operator="greaterThan" dxfId="2">
      <formula>0</formula>
    </cfRule>
    <cfRule type="cellIs" priority="85" operator="lessThan" dxfId="3">
      <formula>0</formula>
    </cfRule>
  </conditionalFormatting>
  <conditionalFormatting sqref="IR67:IR79">
    <cfRule type="colorScale" priority="86">
      <colorScale>
        <cfvo type="min"/>
        <cfvo type="max"/>
        <color rgb="00FFFFFF"/>
        <color rgb="0063BE7B"/>
      </colorScale>
    </cfRule>
  </conditionalFormatting>
  <conditionalFormatting sqref="IV67:IV79">
    <cfRule type="cellIs" priority="87" operator="greaterThan" dxfId="2">
      <formula>0</formula>
    </cfRule>
    <cfRule type="cellIs" priority="88" operator="lessThan" dxfId="3">
      <formula>0</formula>
    </cfRule>
  </conditionalFormatting>
  <conditionalFormatting sqref="JA67:JA79">
    <cfRule type="colorScale" priority="89">
      <colorScale>
        <cfvo type="min"/>
        <cfvo type="max"/>
        <color rgb="00FFFFFF"/>
        <color rgb="0063BE7B"/>
      </colorScale>
    </cfRule>
  </conditionalFormatting>
  <conditionalFormatting sqref="JE67:JE79">
    <cfRule type="cellIs" priority="90" operator="greaterThan" dxfId="2">
      <formula>0</formula>
    </cfRule>
    <cfRule type="cellIs" priority="91" operator="lessThan" dxfId="3">
      <formula>0</formula>
    </cfRule>
  </conditionalFormatting>
  <conditionalFormatting sqref="JJ67:JJ79">
    <cfRule type="colorScale" priority="92">
      <colorScale>
        <cfvo type="min"/>
        <cfvo type="max"/>
        <color rgb="00FFFFFF"/>
        <color rgb="0063BE7B"/>
      </colorScale>
    </cfRule>
  </conditionalFormatting>
  <conditionalFormatting sqref="JN67:JN79">
    <cfRule type="cellIs" priority="93" operator="greaterThan" dxfId="2">
      <formula>0</formula>
    </cfRule>
    <cfRule type="cellIs" priority="94" operator="lessThan" dxfId="3">
      <formula>0</formula>
    </cfRule>
  </conditionalFormatting>
  <conditionalFormatting sqref="JS67:JS79">
    <cfRule type="colorScale" priority="95">
      <colorScale>
        <cfvo type="min"/>
        <cfvo type="max"/>
        <color rgb="00FFFFFF"/>
        <color rgb="0063BE7B"/>
      </colorScale>
    </cfRule>
  </conditionalFormatting>
  <conditionalFormatting sqref="JZ67:JZ79">
    <cfRule type="expression" priority="96" dxfId="0">
      <formula>ISNUMBER(SEARCH("Atingida",JZ67))</formula>
    </cfRule>
  </conditionalFormatting>
  <dataValidations count="4">
    <dataValidation sqref="B67:B79 K67:K79 T67:T79 AC67:AC79 AL67:AL79 AU67:AU79 BD67:BD79 BM67:BM79 BV67:BV79 CE67:CE79 CN67:CN79 CW67:CW79 DF67:DF79 DO67:DO79 DX67:DX79 EG67:EG79 EP67:EP79 EY67:EY79 FH67:FH79 FQ67:FQ79 FZ67:FZ79 GI67:GI79 GR67:GR79 HA67:HA79 HJ67:HJ79 HS67:HS79 IB67:IB79 IK67:IK79 IT67:IT79 JC67:JC79 JL67:JL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D67:D79 M67:M79 V67:V79 AE67:AE79 AN67:AN79 AW67:AW79 BF67:BF79 BO67:BO79 BX67:BX79 CG67:CG79 CP67:CP79 CY67:CY79 DH67:DH79 DQ67:DQ79 DZ67:DZ79 EI67:EI79 ER67:ER79 FA67:FA79 FJ67:FJ79 FS67:FS79 GB67:GB79 GK67:GK79 GT67:GT79 HC67:HC79 HL67:HL79 HU67:HU79 ID67:ID79 IM67:IM79 IV67:IV79 JE67:JE79 JN67:JN79" showDropDown="0" showInputMessage="0" showErrorMessage="1" allowBlank="1" errorTitle="Valor inválido" error="Informe um valor numérico (positivo ou negativo)." type="decimal" operator="between">
      <formula1>-999999999</formula1>
      <formula2>999999999</formula2>
    </dataValidation>
    <dataValidation sqref="E67:E79 F67:F79 G67:G79 H67:H79 N67:N79 O67:O79 P67:P79 Q67:Q79 W67:W79 X67:X79 Y67:Y79 Z67:Z79 AF67:AF79 AG67:AG79 AH67:AH79 AI67:AI79 AO67:AO79 AP67:AP79 AQ67:AQ79 AR67:AR79 AX67:AX79 AY67:AY79 AZ67:AZ79 BA67:BA79 BG67:BG79 BH67:BH79 BI67:BI79 BJ67:BJ79 BP67:BP79 BQ67:BQ79 BR67:BR79 BS67:BS79 BY67:BY79 BZ67:BZ79 CA67:CA79 CB67:CB79 CH67:CH79 CI67:CI79 CJ67:CJ79 CK67:CK79 CQ67:CQ79 CR67:CR79 CS67:CS79 CT67:CT79 CZ67:CZ79 DA67:DA79 DB67:DB79 DC67:DC79 DI67:DI79 DJ67:DJ79 DK67:DK79 DL67:DL79 DR67:DR79 DS67:DS79 DT67:DT79 DU67:DU79 EA67:EA79 EB67:EB79 EC67:EC79 ED67:ED79 EJ67:EJ79 EK67:EK79 EL67:EL79 EM67:EM79 ES67:ES79 ET67:ET79 EU67:EU79 EV67:EV79 FB67:FB79 FC67:FC79 FD67:FD79 FE67:FE79 FK67:FK79 FL67:FL79 FM67:FM79 FN67:FN79 FT67:FT79 FU67:FU79 FV67:FV79 FW67:FW79 GC67:GC79 GD67:GD79 GE67:GE79 GF67:GF79 GL67:GL79 GM67:GM79 GN67:GN79 GO67:GO79 GU67:GU79 GV67:GV79 GW67:GW79 GX67:GX79 HD67:HD79 HE67:HE79 HF67:HF79 HG67:HG79 HM67:HM79 HN67:HN79 HO67:HO79 HP67:HP79 HV67:HV79 HW67:HW79 HX67:HX79 HY67:HY79 IE67:IE79 IF67:IF79 IG67:IG79 IH67:IH79 IN67:IN79 IO67:IO79 IP67:IP79 IQ67:IQ79 IW67:IW79 IX67:IX79 IY67:IY79 IZ67:IZ79 JF67:JF79 JG67:JG79 JH67:JH79 JI67:JI79 JO67:JO79 JP67:JP79 JQ67:JQ79 JR67:JR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J67:J79 S67:S79 AB67:AB79 AK67:AK79 AT67:AT79 BC67:BC79 BL67:BL79 BU67:BU79 CD67:CD79 CM67:CM79 CV67:CV79 DE67:DE79 DN67:DN79 DW67:DW79 EF67:EF79 EO67:EO79 EX67:EX79 FG67:FG79 FP67:FP79 FY67:FY79 GH67:GH79 GQ67:GQ79 GZ67:GZ79 HI67:HI79 HR67:HR79 IA67:IA79 IJ67:IJ79 IS67:IS79 JB67:JB79 JK67:JK79 JT67:JT79" showDropDown="0" showInputMessage="0" showErrorMessage="1" allowBlank="1" errorTitle="Texto muito longo" error="Limite de 300 caracteres." type="textLength" operator="lessThanOrEqual">
      <formula1>300</formula1>
    </dataValidation>
  </dataValidations>
  <pageMargins left="0.75" right="0.75" top="1" bottom="1" header="0.5" footer="0.5"/>
  <pageSetup orientation="landscape" fitToHeight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I79"/>
  <sheetViews>
    <sheetView showGridLines="0" zoomScale="90" workbookViewId="0">
      <pane xSplit="1" ySplit="66" topLeftCell="B6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11" customWidth="1" min="5" max="5"/>
    <col width="12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4" customWidth="1" min="13" max="13"/>
    <col width="11" customWidth="1" min="14" max="14"/>
    <col width="12" customWidth="1" min="15" max="15"/>
    <col width="13" customWidth="1" min="16" max="16"/>
    <col width="13" customWidth="1" min="17" max="17"/>
    <col width="13" customWidth="1" min="18" max="18"/>
    <col width="20" customWidth="1" min="19" max="19"/>
    <col width="13" customWidth="1" min="20" max="20"/>
    <col width="13" customWidth="1" min="21" max="21"/>
    <col width="14" customWidth="1" min="22" max="22"/>
    <col width="11" customWidth="1" min="23" max="23"/>
    <col width="12" customWidth="1" min="24" max="24"/>
    <col width="13" customWidth="1" min="25" max="25"/>
    <col width="13" customWidth="1" min="26" max="26"/>
    <col width="13" customWidth="1" min="27" max="27"/>
    <col width="20" customWidth="1" min="28" max="28"/>
    <col width="13" customWidth="1" min="29" max="29"/>
    <col width="13" customWidth="1" min="30" max="30"/>
    <col width="14" customWidth="1" min="31" max="31"/>
    <col width="11" customWidth="1" min="32" max="32"/>
    <col width="12" customWidth="1" min="33" max="33"/>
    <col width="13" customWidth="1" min="34" max="34"/>
    <col width="13" customWidth="1" min="35" max="35"/>
    <col width="13" customWidth="1" min="36" max="36"/>
    <col width="20" customWidth="1" min="37" max="37"/>
    <col width="13" customWidth="1" min="38" max="38"/>
    <col width="13" customWidth="1" min="39" max="39"/>
    <col width="14" customWidth="1" min="40" max="40"/>
    <col width="11" customWidth="1" min="41" max="41"/>
    <col width="12" customWidth="1" min="42" max="42"/>
    <col width="13" customWidth="1" min="43" max="43"/>
    <col width="13" customWidth="1" min="44" max="44"/>
    <col width="13" customWidth="1" min="45" max="45"/>
    <col width="20" customWidth="1" min="46" max="46"/>
    <col width="13" customWidth="1" min="47" max="47"/>
    <col width="13" customWidth="1" min="48" max="48"/>
    <col width="14" customWidth="1" min="49" max="49"/>
    <col width="11" customWidth="1" min="50" max="50"/>
    <col width="12" customWidth="1" min="51" max="51"/>
    <col width="13" customWidth="1" min="52" max="52"/>
    <col width="13" customWidth="1" min="53" max="53"/>
    <col width="13" customWidth="1" min="54" max="54"/>
    <col width="20" customWidth="1" min="55" max="55"/>
    <col width="13" customWidth="1" min="56" max="56"/>
    <col width="13" customWidth="1" min="57" max="57"/>
    <col width="14" customWidth="1" min="58" max="58"/>
    <col width="11" customWidth="1" min="59" max="59"/>
    <col width="12" customWidth="1" min="60" max="60"/>
    <col width="13" customWidth="1" min="61" max="61"/>
    <col width="13" customWidth="1" min="62" max="62"/>
    <col width="13" customWidth="1" min="63" max="63"/>
    <col width="20" customWidth="1" min="64" max="64"/>
    <col width="13" customWidth="1" min="65" max="65"/>
    <col width="13" customWidth="1" min="66" max="66"/>
    <col width="14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20" customWidth="1" min="73" max="73"/>
    <col width="13" customWidth="1" min="74" max="74"/>
    <col width="13" customWidth="1" min="75" max="75"/>
    <col width="14" customWidth="1" min="76" max="76"/>
    <col width="11" customWidth="1" min="77" max="77"/>
    <col width="12" customWidth="1" min="78" max="78"/>
    <col width="13" customWidth="1" min="79" max="79"/>
    <col width="13" customWidth="1" min="80" max="80"/>
    <col width="13" customWidth="1" min="81" max="81"/>
    <col width="20" customWidth="1" min="82" max="82"/>
    <col width="13" customWidth="1" min="83" max="83"/>
    <col width="13" customWidth="1" min="84" max="84"/>
    <col width="14" customWidth="1" min="85" max="85"/>
    <col width="11" customWidth="1" min="86" max="86"/>
    <col width="12" customWidth="1" min="87" max="87"/>
    <col width="13" customWidth="1" min="88" max="88"/>
    <col width="13" customWidth="1" min="89" max="89"/>
    <col width="13" customWidth="1" min="90" max="90"/>
    <col width="20" customWidth="1" min="91" max="91"/>
    <col width="13" customWidth="1" min="92" max="92"/>
    <col width="13" customWidth="1" min="93" max="93"/>
    <col width="14" customWidth="1" min="94" max="94"/>
    <col width="11" customWidth="1" min="95" max="95"/>
    <col width="12" customWidth="1" min="96" max="96"/>
    <col width="13" customWidth="1" min="97" max="97"/>
    <col width="13" customWidth="1" min="98" max="98"/>
    <col width="13" customWidth="1" min="99" max="99"/>
    <col width="20" customWidth="1" min="100" max="100"/>
    <col width="13" customWidth="1" min="101" max="101"/>
    <col width="13" customWidth="1" min="102" max="102"/>
    <col width="14" customWidth="1" min="103" max="103"/>
    <col width="11" customWidth="1" min="104" max="104"/>
    <col width="12" customWidth="1" min="105" max="105"/>
    <col width="13" customWidth="1" min="106" max="106"/>
    <col width="13" customWidth="1" min="107" max="107"/>
    <col width="13" customWidth="1" min="108" max="108"/>
    <col width="20" customWidth="1" min="109" max="109"/>
    <col width="13" customWidth="1" min="110" max="110"/>
    <col width="13" customWidth="1" min="111" max="111"/>
    <col width="14" customWidth="1" min="112" max="112"/>
    <col width="11" customWidth="1" min="113" max="113"/>
    <col width="12" customWidth="1" min="114" max="114"/>
    <col width="13" customWidth="1" min="115" max="115"/>
    <col width="13" customWidth="1" min="116" max="116"/>
    <col width="13" customWidth="1" min="117" max="117"/>
    <col width="20" customWidth="1" min="118" max="118"/>
    <col width="13" customWidth="1" min="119" max="119"/>
    <col width="13" customWidth="1" min="120" max="120"/>
    <col width="14" customWidth="1" min="121" max="121"/>
    <col width="11" customWidth="1" min="122" max="122"/>
    <col width="12" customWidth="1" min="123" max="123"/>
    <col width="13" customWidth="1" min="124" max="124"/>
    <col width="13" customWidth="1" min="125" max="125"/>
    <col width="13" customWidth="1" min="126" max="126"/>
    <col width="20" customWidth="1" min="127" max="127"/>
    <col width="13" customWidth="1" min="128" max="128"/>
    <col width="13" customWidth="1" min="129" max="129"/>
    <col width="14" customWidth="1" min="130" max="130"/>
    <col width="11" customWidth="1" min="131" max="131"/>
    <col width="12" customWidth="1" min="132" max="132"/>
    <col width="13" customWidth="1" min="133" max="133"/>
    <col width="13" customWidth="1" min="134" max="134"/>
    <col width="13" customWidth="1" min="135" max="135"/>
    <col width="20" customWidth="1" min="136" max="136"/>
    <col width="13" customWidth="1" min="137" max="137"/>
    <col width="13" customWidth="1" min="138" max="138"/>
    <col width="14" customWidth="1" min="139" max="139"/>
    <col width="11" customWidth="1" min="140" max="140"/>
    <col width="12" customWidth="1" min="141" max="141"/>
    <col width="13" customWidth="1" min="142" max="142"/>
    <col width="13" customWidth="1" min="143" max="143"/>
    <col width="13" customWidth="1" min="144" max="144"/>
    <col width="20" customWidth="1" min="145" max="145"/>
    <col width="13" customWidth="1" min="146" max="146"/>
    <col width="13" customWidth="1" min="147" max="147"/>
    <col width="14" customWidth="1" min="148" max="148"/>
    <col width="11" customWidth="1" min="149" max="149"/>
    <col width="12" customWidth="1" min="150" max="150"/>
    <col width="13" customWidth="1" min="151" max="151"/>
    <col width="13" customWidth="1" min="152" max="152"/>
    <col width="13" customWidth="1" min="153" max="153"/>
    <col width="20" customWidth="1" min="154" max="154"/>
    <col width="13" customWidth="1" min="155" max="155"/>
    <col width="13" customWidth="1" min="156" max="156"/>
    <col width="14" customWidth="1" min="157" max="157"/>
    <col width="11" customWidth="1" min="158" max="158"/>
    <col width="12" customWidth="1" min="159" max="159"/>
    <col width="13" customWidth="1" min="160" max="160"/>
    <col width="13" customWidth="1" min="161" max="161"/>
    <col width="13" customWidth="1" min="162" max="162"/>
    <col width="20" customWidth="1" min="163" max="163"/>
    <col width="13" customWidth="1" min="164" max="164"/>
    <col width="13" customWidth="1" min="165" max="165"/>
    <col width="14" customWidth="1" min="166" max="166"/>
    <col width="11" customWidth="1" min="167" max="167"/>
    <col width="12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13" customWidth="1" min="173" max="173"/>
    <col width="13" customWidth="1" min="174" max="174"/>
    <col width="14" customWidth="1" min="175" max="175"/>
    <col width="11" customWidth="1" min="176" max="176"/>
    <col width="12" customWidth="1" min="177" max="177"/>
    <col width="13" customWidth="1" min="178" max="178"/>
    <col width="13" customWidth="1" min="179" max="179"/>
    <col width="13" customWidth="1" min="180" max="180"/>
    <col width="20" customWidth="1" min="181" max="181"/>
    <col width="13" customWidth="1" min="182" max="182"/>
    <col width="13" customWidth="1" min="183" max="183"/>
    <col width="14" customWidth="1" min="184" max="184"/>
    <col width="11" customWidth="1" min="185" max="185"/>
    <col width="12" customWidth="1" min="186" max="186"/>
    <col width="13" customWidth="1" min="187" max="187"/>
    <col width="13" customWidth="1" min="188" max="188"/>
    <col width="13" customWidth="1" min="189" max="189"/>
    <col width="20" customWidth="1" min="190" max="190"/>
    <col width="13" customWidth="1" min="191" max="191"/>
    <col width="13" customWidth="1" min="192" max="192"/>
    <col width="14" customWidth="1" min="193" max="193"/>
    <col width="11" customWidth="1" min="194" max="194"/>
    <col width="12" customWidth="1" min="195" max="195"/>
    <col width="13" customWidth="1" min="196" max="196"/>
    <col width="13" customWidth="1" min="197" max="197"/>
    <col width="13" customWidth="1" min="198" max="198"/>
    <col width="20" customWidth="1" min="199" max="199"/>
    <col width="13" customWidth="1" min="200" max="200"/>
    <col width="13" customWidth="1" min="201" max="201"/>
    <col width="14" customWidth="1" min="202" max="202"/>
    <col width="11" customWidth="1" min="203" max="203"/>
    <col width="12" customWidth="1" min="204" max="204"/>
    <col width="13" customWidth="1" min="205" max="205"/>
    <col width="13" customWidth="1" min="206" max="206"/>
    <col width="13" customWidth="1" min="207" max="207"/>
    <col width="20" customWidth="1" min="208" max="208"/>
    <col width="13" customWidth="1" min="209" max="209"/>
    <col width="13" customWidth="1" min="210" max="210"/>
    <col width="14" customWidth="1" min="211" max="211"/>
    <col width="11" customWidth="1" min="212" max="212"/>
    <col width="12" customWidth="1" min="213" max="213"/>
    <col width="13" customWidth="1" min="214" max="214"/>
    <col width="13" customWidth="1" min="215" max="215"/>
    <col width="13" customWidth="1" min="216" max="216"/>
    <col width="20" customWidth="1" min="217" max="217"/>
    <col width="13" customWidth="1" min="218" max="218"/>
    <col width="13" customWidth="1" min="219" max="219"/>
    <col width="14" customWidth="1" min="220" max="220"/>
    <col width="11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20" customWidth="1" min="226" max="226"/>
    <col width="13" customWidth="1" min="227" max="227"/>
    <col width="13" customWidth="1" min="228" max="228"/>
    <col width="14" customWidth="1" min="229" max="229"/>
    <col width="11" customWidth="1" min="230" max="230"/>
    <col width="12" customWidth="1" min="231" max="231"/>
    <col width="13" customWidth="1" min="232" max="232"/>
    <col width="13" customWidth="1" min="233" max="233"/>
    <col width="13" customWidth="1" min="234" max="234"/>
    <col width="20" customWidth="1" min="235" max="235"/>
    <col width="13" customWidth="1" min="236" max="236"/>
    <col width="13" customWidth="1" min="237" max="237"/>
    <col width="14" customWidth="1" min="238" max="238"/>
    <col width="11" customWidth="1" min="239" max="239"/>
    <col width="12" customWidth="1" min="240" max="240"/>
    <col width="13" customWidth="1" min="241" max="241"/>
    <col width="13" customWidth="1" min="242" max="242"/>
    <col width="13" customWidth="1" min="243" max="243"/>
    <col width="20" customWidth="1" min="244" max="244"/>
    <col width="13" customWidth="1" min="245" max="245"/>
    <col width="13" customWidth="1" min="246" max="246"/>
    <col width="14" customWidth="1" min="247" max="247"/>
    <col width="11" customWidth="1" min="248" max="248"/>
    <col width="12" customWidth="1" min="249" max="249"/>
    <col width="13" customWidth="1" min="250" max="250"/>
    <col width="13" customWidth="1" min="251" max="251"/>
    <col width="13" customWidth="1" min="252" max="252"/>
    <col width="20" customWidth="1" min="253" max="253"/>
    <col width="13" customWidth="1" min="254" max="254"/>
    <col width="13" customWidth="1" min="255" max="255"/>
    <col width="14" customWidth="1" min="256" max="256"/>
    <col width="11" customWidth="1" min="257" max="257"/>
    <col width="12" customWidth="1" min="258" max="258"/>
    <col width="13" customWidth="1" min="259" max="259"/>
    <col width="13" customWidth="1" min="260" max="260"/>
    <col width="13" customWidth="1" min="261" max="261"/>
    <col width="20" customWidth="1" min="262" max="262"/>
    <col width="13" customWidth="1" min="263" max="263"/>
    <col width="13" customWidth="1" min="264" max="264"/>
    <col width="14" customWidth="1" min="265" max="265"/>
    <col width="11" customWidth="1" min="266" max="266"/>
    <col width="12" customWidth="1" min="267" max="267"/>
    <col width="13" customWidth="1" min="268" max="268"/>
    <col width="13" customWidth="1" min="269" max="269"/>
    <col width="13" customWidth="1" min="270" max="270"/>
    <col width="20" customWidth="1" min="271" max="271"/>
    <col width="13" customWidth="1" min="272" max="272"/>
    <col width="13" customWidth="1" min="273" max="273"/>
    <col width="14" customWidth="1" min="274" max="274"/>
    <col width="11" customWidth="1" min="275" max="275"/>
    <col width="12" customWidth="1" min="276" max="276"/>
    <col width="13" customWidth="1" min="277" max="277"/>
    <col width="13" customWidth="1" min="278" max="278"/>
    <col width="13" customWidth="1" min="279" max="279"/>
    <col width="20" customWidth="1" min="280" max="280"/>
    <col width="16" customWidth="1" min="281" max="281"/>
    <col width="16" customWidth="1" min="282" max="282"/>
    <col width="16" customWidth="1" min="283" max="283"/>
    <col width="14" customWidth="1" min="284" max="284"/>
    <col width="14" customWidth="1" min="285" max="285"/>
    <col width="14" customWidth="1" min="286" max="286"/>
    <col hidden="1" width="10" customWidth="1" min="287" max="287"/>
    <col hidden="1" width="16" customWidth="1" min="289" max="289"/>
    <col hidden="1" width="16" customWidth="1" min="290" max="290"/>
    <col hidden="1" width="16" customWidth="1" min="291" max="291"/>
    <col hidden="1" width="16" customWidth="1" min="292" max="292"/>
    <col hidden="1" width="16" customWidth="1" min="294" max="294"/>
    <col hidden="1" width="16" customWidth="1" min="295" max="295"/>
  </cols>
  <sheetData>
    <row r="1" ht="32" customHeight="1">
      <c r="A1" s="11">
        <f>"ACOMPANHAMENTO DIÁRIO DE ASSESSORES — AGOSTO / "&amp;Configurações!$B$3</f>
        <v/>
      </c>
      <c r="KC1" t="inlineStr">
        <is>
          <t>Dia</t>
        </is>
      </c>
      <c r="KD1" t="inlineStr">
        <is>
          <t>Data</t>
        </is>
      </c>
      <c r="KE1" t="inlineStr">
        <is>
          <t>Produção do Dia</t>
        </is>
      </c>
      <c r="KF1" t="inlineStr">
        <is>
          <t>Captação do Dia</t>
        </is>
      </c>
    </row>
    <row r="2" ht="18" customHeight="1">
      <c r="A2" s="12">
        <f>"Dias no mês: "&amp;$Z$3&amp;"   |   Cada assessor ocupa 1 linha. Role para a direita para ver os dias. Apenas as células destacadas em amarelo são editáveis."</f>
        <v/>
      </c>
      <c r="KC2" s="13" t="n">
        <v>1</v>
      </c>
      <c r="KD2" s="14">
        <f>IF(1&lt;=$Z$3,DATE(Configurações!$B$3,8,1),"")</f>
        <v/>
      </c>
      <c r="KE2" s="13">
        <f>SUM($I$67:$I$79)</f>
        <v/>
      </c>
      <c r="KF2" s="13">
        <f>SUM($D$67:$D$79)</f>
        <v/>
      </c>
      <c r="KH2" t="inlineStr">
        <is>
          <t>COE</t>
        </is>
      </c>
      <c r="KI2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</row>
    <row r="3">
      <c r="Y3" s="15" t="inlineStr">
        <is>
          <t>Dias no mês</t>
        </is>
      </c>
      <c r="Z3" s="16">
        <f>DAY(EOMONTH(DATE(Configurações!$B$3,8,1),0))</f>
        <v/>
      </c>
      <c r="KC3" s="13" t="n">
        <v>2</v>
      </c>
      <c r="KD3" s="14">
        <f>IF(2&lt;=$Z$3,DATE(Configurações!$B$3,8,2),"")</f>
        <v/>
      </c>
      <c r="KE3" s="13">
        <f>SUM($R$67:$R$79)</f>
        <v/>
      </c>
      <c r="KF3" s="13">
        <f>SUM($M$67:$M$79)</f>
        <v/>
      </c>
      <c r="KH3" t="inlineStr">
        <is>
          <t>PREVIDÊNCIA</t>
        </is>
      </c>
      <c r="KI3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</row>
    <row r="4" ht="22" customHeight="1">
      <c r="A4" s="17" t="inlineStr">
        <is>
          <t>📊  INDICADORES DO MÊS</t>
        </is>
      </c>
      <c r="KC4" s="13" t="n">
        <v>3</v>
      </c>
      <c r="KD4" s="14">
        <f>IF(3&lt;=$Z$3,DATE(Configurações!$B$3,8,3),"")</f>
        <v/>
      </c>
      <c r="KE4" s="13">
        <f>SUM($AA$67:$AA$79)</f>
        <v/>
      </c>
      <c r="KF4" s="13">
        <f>SUM($V$67:$V$79)</f>
        <v/>
      </c>
      <c r="KH4" t="inlineStr">
        <is>
          <t>CRÉDITO PRIVADO</t>
        </is>
      </c>
      <c r="KI4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</row>
    <row r="5" ht="26" customHeight="1">
      <c r="A5" s="18" t="inlineStr">
        <is>
          <t>PRODUÇÃO TOTAL DO MÊS</t>
        </is>
      </c>
      <c r="C5" s="18" t="inlineStr">
        <is>
          <t>CAPTAÇÃO LÍQUIDA DO MÊS</t>
        </is>
      </c>
      <c r="E5" s="18" t="inlineStr">
        <is>
          <t>SALDO PULSO TOTAL (ATUAL)</t>
        </is>
      </c>
      <c r="G5" s="18" t="inlineStr">
        <is>
          <t>MÉDIA DIÁRIA DA EQUIPE</t>
        </is>
      </c>
      <c r="I5" s="18" t="inlineStr">
        <is>
          <t>MELHOR DIA DE PRODUÇÃO</t>
        </is>
      </c>
      <c r="K5" s="18" t="inlineStr">
        <is>
          <t>MELHOR ASSESSOR DO MÊS</t>
        </is>
      </c>
      <c r="KC5" s="13" t="n">
        <v>4</v>
      </c>
      <c r="KD5" s="14">
        <f>IF(4&lt;=$Z$3,DATE(Configurações!$B$3,8,4),"")</f>
        <v/>
      </c>
      <c r="KE5" s="13">
        <f>SUM($AJ$67:$AJ$79)</f>
        <v/>
      </c>
      <c r="KF5" s="13">
        <f>SUM($AE$67:$AE$79)</f>
        <v/>
      </c>
      <c r="KH5" t="inlineStr">
        <is>
          <t>TÍTULOS PÚBLICOS</t>
        </is>
      </c>
      <c r="KI5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</row>
    <row r="6" ht="30" customHeight="1">
      <c r="A6" s="19">
        <f>SUM($JU$67:$JU$79)</f>
        <v/>
      </c>
      <c r="C6" s="19">
        <f>SUM($JV$67:$JV$79)</f>
        <v/>
      </c>
      <c r="E6" s="19">
        <f>SUM($JW$67:$JW$79)</f>
        <v/>
      </c>
      <c r="G6" s="19">
        <f>IFERROR(SUM($JU$67:$JU$79)/$Z$3,0)</f>
        <v/>
      </c>
      <c r="I6" s="20">
        <f>IFERROR("Dia "&amp;TEXT(INDEX($KD$2:$KD$32,MATCH(MAX($KE$2:$KE$32),$KE$2:$KE$32,0)),"dd/mm")&amp;"  -  "&amp;TEXT(MAX($KE$2:$KE$32),"R$ #,##0"),"—")</f>
        <v/>
      </c>
      <c r="K6" s="20">
        <f>IFERROR($B$14&amp;"  -  "&amp;TEXT($C$14,"R$ #,##0"),"—")</f>
        <v/>
      </c>
      <c r="KC6" s="13" t="n">
        <v>5</v>
      </c>
      <c r="KD6" s="14">
        <f>IF(5&lt;=$Z$3,DATE(Configurações!$B$3,8,5),"")</f>
        <v/>
      </c>
      <c r="KE6" s="13">
        <f>SUM($AS$67:$AS$79)</f>
        <v/>
      </c>
      <c r="KF6" s="13">
        <f>SUM($AN$67:$AN$79)</f>
        <v/>
      </c>
    </row>
    <row r="7">
      <c r="KC7" s="13" t="n">
        <v>6</v>
      </c>
      <c r="KD7" s="14">
        <f>IF(6&lt;=$Z$3,DATE(Configurações!$B$3,8,6),"")</f>
        <v/>
      </c>
      <c r="KE7" s="13">
        <f>SUM($BB$67:$BB$79)</f>
        <v/>
      </c>
      <c r="KF7" s="13">
        <f>SUM($AW$67:$AW$79)</f>
        <v/>
      </c>
    </row>
    <row r="8" ht="22" customHeight="1">
      <c r="A8" s="17" t="inlineStr">
        <is>
          <t>💰  TOTAIS POR PRODUTO</t>
        </is>
      </c>
      <c r="KC8" s="13" t="n">
        <v>7</v>
      </c>
      <c r="KD8" s="14">
        <f>IF(7&lt;=$Z$3,DATE(Configurações!$B$3,8,7),"")</f>
        <v/>
      </c>
      <c r="KE8" s="13">
        <f>SUM($BK$67:$BK$79)</f>
        <v/>
      </c>
      <c r="KF8" s="13">
        <f>SUM($BF$67:$BF$79)</f>
        <v/>
      </c>
    </row>
    <row r="9" ht="20" customHeight="1">
      <c r="A9" s="18" t="inlineStr">
        <is>
          <t>COE</t>
        </is>
      </c>
      <c r="D9" s="18" t="inlineStr">
        <is>
          <t>PREVIDÊNCIA</t>
        </is>
      </c>
      <c r="G9" s="18" t="inlineStr">
        <is>
          <t>CRÉDITO PRIVADO</t>
        </is>
      </c>
      <c r="J9" s="18" t="inlineStr">
        <is>
          <t>TÍTULOS PÚBLICOS</t>
        </is>
      </c>
      <c r="KC9" s="13" t="n">
        <v>8</v>
      </c>
      <c r="KD9" s="14">
        <f>IF(8&lt;=$Z$3,DATE(Configurações!$B$3,8,8),"")</f>
        <v/>
      </c>
      <c r="KE9" s="13">
        <f>SUM($BT$67:$BT$79)</f>
        <v/>
      </c>
      <c r="KF9" s="13">
        <f>SUM($BO$67:$BO$79)</f>
        <v/>
      </c>
    </row>
    <row r="10" ht="26" customHeight="1">
      <c r="A10" s="19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  <c r="D10" s="19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  <c r="G10" s="19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  <c r="J10" s="19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  <c r="KC10" s="13" t="n">
        <v>9</v>
      </c>
      <c r="KD10" s="14">
        <f>IF(9&lt;=$Z$3,DATE(Configurações!$B$3,8,9),"")</f>
        <v/>
      </c>
      <c r="KE10" s="13">
        <f>SUM($CC$67:$CC$79)</f>
        <v/>
      </c>
      <c r="KF10" s="13">
        <f>SUM($BX$67:$BX$79)</f>
        <v/>
      </c>
    </row>
    <row r="11">
      <c r="KC11" s="13" t="n">
        <v>10</v>
      </c>
      <c r="KD11" s="14">
        <f>IF(10&lt;=$Z$3,DATE(Configurações!$B$3,8,10),"")</f>
        <v/>
      </c>
      <c r="KE11" s="13">
        <f>SUM($CL$67:$CL$79)</f>
        <v/>
      </c>
      <c r="KF11" s="13">
        <f>SUM($CG$67:$CG$79)</f>
        <v/>
      </c>
    </row>
    <row r="12" ht="22" customHeight="1">
      <c r="A12" s="17" t="inlineStr">
        <is>
          <t>🏆  RANKING DE ASSESSORES (TOP 5 EM DESTAQUE)</t>
        </is>
      </c>
      <c r="KC12" s="13" t="n">
        <v>11</v>
      </c>
      <c r="KD12" s="14">
        <f>IF(11&lt;=$Z$3,DATE(Configurações!$B$3,8,11),"")</f>
        <v/>
      </c>
      <c r="KE12" s="13">
        <f>SUM($CU$67:$CU$79)</f>
        <v/>
      </c>
      <c r="KF12" s="13">
        <f>SUM($CP$67:$CP$79)</f>
        <v/>
      </c>
    </row>
    <row r="13" ht="22" customHeight="1">
      <c r="A13" s="5" t="inlineStr">
        <is>
          <t>Pos.</t>
        </is>
      </c>
      <c r="B13" s="5" t="inlineStr">
        <is>
          <t>Assessor</t>
        </is>
      </c>
      <c r="C13" s="5" t="inlineStr">
        <is>
          <t>Produção Total</t>
        </is>
      </c>
      <c r="D13" s="5" t="inlineStr">
        <is>
          <t>Captação Líquida</t>
        </is>
      </c>
      <c r="E13" s="5" t="inlineStr">
        <is>
          <t>Saldo Pulso Atual</t>
        </is>
      </c>
      <c r="F13" s="5" t="inlineStr">
        <is>
          <t>Média Diária</t>
        </is>
      </c>
      <c r="G13" s="5" t="inlineStr">
        <is>
          <t>Meta Mensal</t>
        </is>
      </c>
      <c r="H13" s="5" t="inlineStr">
        <is>
          <t>Status</t>
        </is>
      </c>
      <c r="KC13" s="13" t="n">
        <v>12</v>
      </c>
      <c r="KD13" s="14">
        <f>IF(12&lt;=$Z$3,DATE(Configurações!$B$3,8,12),"")</f>
        <v/>
      </c>
      <c r="KE13" s="13">
        <f>SUM($DD$67:$DD$79)</f>
        <v/>
      </c>
      <c r="KF13" s="13">
        <f>SUM($CY$67:$CY$79)</f>
        <v/>
      </c>
    </row>
    <row r="14" ht="18" customHeight="1">
      <c r="A14" s="21" t="n">
        <v>1</v>
      </c>
      <c r="B14" s="22">
        <f>INDEX($A$67:$A$79,MATCH(LARGE($KA$67:$KA$79,1),$KA$67:$KA$79,0))</f>
        <v/>
      </c>
      <c r="C14" s="23">
        <f>INDEX($JU$67:$JU$79,MATCH(LARGE($KA$67:$KA$79,1),$KA$67:$KA$79,0))</f>
        <v/>
      </c>
      <c r="D14" s="24">
        <f>INDEX($JV$67:$JV$79,MATCH(LARGE($KA$67:$KA$79,1),$KA$67:$KA$79,0))</f>
        <v/>
      </c>
      <c r="E14" s="23">
        <f>INDEX($JW$67:$JW$79,MATCH(LARGE($KA$67:$KA$79,1),$KA$67:$KA$79,0))</f>
        <v/>
      </c>
      <c r="F14" s="23">
        <f>INDEX($JX$67:$JX$79,MATCH(LARGE($KA$67:$KA$79,1),$KA$67:$KA$79,0))</f>
        <v/>
      </c>
      <c r="G14" s="23">
        <f>INDEX($JY$67:$JY$79,MATCH(LARGE($KA$67:$KA$79,1),$KA$67:$KA$79,0))</f>
        <v/>
      </c>
      <c r="H14" s="25">
        <f>IF(G14=0,"— Sem meta",IF(C14&gt;=G14,"✓ Meta atingida","Em andamento"))</f>
        <v/>
      </c>
      <c r="KC14" s="13" t="n">
        <v>13</v>
      </c>
      <c r="KD14" s="14">
        <f>IF(13&lt;=$Z$3,DATE(Configurações!$B$3,8,13),"")</f>
        <v/>
      </c>
      <c r="KE14" s="13">
        <f>SUM($DM$67:$DM$79)</f>
        <v/>
      </c>
      <c r="KF14" s="13">
        <f>SUM($DH$67:$DH$79)</f>
        <v/>
      </c>
    </row>
    <row r="15" ht="18" customHeight="1">
      <c r="A15" s="26" t="n">
        <v>2</v>
      </c>
      <c r="B15" s="27">
        <f>INDEX($A$67:$A$79,MATCH(LARGE($KA$67:$KA$79,2),$KA$67:$KA$79,0))</f>
        <v/>
      </c>
      <c r="C15" s="28">
        <f>INDEX($JU$67:$JU$79,MATCH(LARGE($KA$67:$KA$79,2),$KA$67:$KA$79,0))</f>
        <v/>
      </c>
      <c r="D15" s="29">
        <f>INDEX($JV$67:$JV$79,MATCH(LARGE($KA$67:$KA$79,2),$KA$67:$KA$79,0))</f>
        <v/>
      </c>
      <c r="E15" s="28">
        <f>INDEX($JW$67:$JW$79,MATCH(LARGE($KA$67:$KA$79,2),$KA$67:$KA$79,0))</f>
        <v/>
      </c>
      <c r="F15" s="28">
        <f>INDEX($JX$67:$JX$79,MATCH(LARGE($KA$67:$KA$79,2),$KA$67:$KA$79,0))</f>
        <v/>
      </c>
      <c r="G15" s="28">
        <f>INDEX($JY$67:$JY$79,MATCH(LARGE($KA$67:$KA$79,2),$KA$67:$KA$79,0))</f>
        <v/>
      </c>
      <c r="H15" s="30">
        <f>IF(G15=0,"— Sem meta",IF(C15&gt;=G15,"✓ Meta atingida","Em andamento"))</f>
        <v/>
      </c>
      <c r="KC15" s="13" t="n">
        <v>14</v>
      </c>
      <c r="KD15" s="14">
        <f>IF(14&lt;=$Z$3,DATE(Configurações!$B$3,8,14),"")</f>
        <v/>
      </c>
      <c r="KE15" s="13">
        <f>SUM($DV$67:$DV$79)</f>
        <v/>
      </c>
      <c r="KF15" s="13">
        <f>SUM($DQ$67:$DQ$79)</f>
        <v/>
      </c>
    </row>
    <row r="16" ht="18" customHeight="1">
      <c r="A16" s="31" t="n">
        <v>3</v>
      </c>
      <c r="B16" s="32">
        <f>INDEX($A$67:$A$79,MATCH(LARGE($KA$67:$KA$79,3),$KA$67:$KA$79,0))</f>
        <v/>
      </c>
      <c r="C16" s="33">
        <f>INDEX($JU$67:$JU$79,MATCH(LARGE($KA$67:$KA$79,3),$KA$67:$KA$79,0))</f>
        <v/>
      </c>
      <c r="D16" s="34">
        <f>INDEX($JV$67:$JV$79,MATCH(LARGE($KA$67:$KA$79,3),$KA$67:$KA$79,0))</f>
        <v/>
      </c>
      <c r="E16" s="33">
        <f>INDEX($JW$67:$JW$79,MATCH(LARGE($KA$67:$KA$79,3),$KA$67:$KA$79,0))</f>
        <v/>
      </c>
      <c r="F16" s="33">
        <f>INDEX($JX$67:$JX$79,MATCH(LARGE($KA$67:$KA$79,3),$KA$67:$KA$79,0))</f>
        <v/>
      </c>
      <c r="G16" s="33">
        <f>INDEX($JY$67:$JY$79,MATCH(LARGE($KA$67:$KA$79,3),$KA$67:$KA$79,0))</f>
        <v/>
      </c>
      <c r="H16" s="35">
        <f>IF(G16=0,"— Sem meta",IF(C16&gt;=G16,"✓ Meta atingida","Em andamento"))</f>
        <v/>
      </c>
      <c r="KC16" s="13" t="n">
        <v>15</v>
      </c>
      <c r="KD16" s="14">
        <f>IF(15&lt;=$Z$3,DATE(Configurações!$B$3,8,15),"")</f>
        <v/>
      </c>
      <c r="KE16" s="13">
        <f>SUM($EE$67:$EE$79)</f>
        <v/>
      </c>
      <c r="KF16" s="13">
        <f>SUM($DZ$67:$DZ$79)</f>
        <v/>
      </c>
    </row>
    <row r="17" ht="18" customHeight="1">
      <c r="A17" s="36" t="n">
        <v>4</v>
      </c>
      <c r="B17" s="37">
        <f>INDEX($A$67:$A$79,MATCH(LARGE($KA$67:$KA$79,4),$KA$67:$KA$79,0))</f>
        <v/>
      </c>
      <c r="C17" s="38">
        <f>INDEX($JU$67:$JU$79,MATCH(LARGE($KA$67:$KA$79,4),$KA$67:$KA$79,0))</f>
        <v/>
      </c>
      <c r="D17" s="39">
        <f>INDEX($JV$67:$JV$79,MATCH(LARGE($KA$67:$KA$79,4),$KA$67:$KA$79,0))</f>
        <v/>
      </c>
      <c r="E17" s="38">
        <f>INDEX($JW$67:$JW$79,MATCH(LARGE($KA$67:$KA$79,4),$KA$67:$KA$79,0))</f>
        <v/>
      </c>
      <c r="F17" s="38">
        <f>INDEX($JX$67:$JX$79,MATCH(LARGE($KA$67:$KA$79,4),$KA$67:$KA$79,0))</f>
        <v/>
      </c>
      <c r="G17" s="38">
        <f>INDEX($JY$67:$JY$79,MATCH(LARGE($KA$67:$KA$79,4),$KA$67:$KA$79,0))</f>
        <v/>
      </c>
      <c r="H17" s="40">
        <f>IF(G17=0,"— Sem meta",IF(C17&gt;=G17,"✓ Meta atingida","Em andamento"))</f>
        <v/>
      </c>
      <c r="KC17" s="13" t="n">
        <v>16</v>
      </c>
      <c r="KD17" s="14">
        <f>IF(16&lt;=$Z$3,DATE(Configurações!$B$3,8,16),"")</f>
        <v/>
      </c>
      <c r="KE17" s="13">
        <f>SUM($EN$67:$EN$79)</f>
        <v/>
      </c>
      <c r="KF17" s="13">
        <f>SUM($EI$67:$EI$79)</f>
        <v/>
      </c>
    </row>
    <row r="18" ht="18" customHeight="1">
      <c r="A18" s="36" t="n">
        <v>5</v>
      </c>
      <c r="B18" s="37">
        <f>INDEX($A$67:$A$79,MATCH(LARGE($KA$67:$KA$79,5),$KA$67:$KA$79,0))</f>
        <v/>
      </c>
      <c r="C18" s="38">
        <f>INDEX($JU$67:$JU$79,MATCH(LARGE($KA$67:$KA$79,5),$KA$67:$KA$79,0))</f>
        <v/>
      </c>
      <c r="D18" s="39">
        <f>INDEX($JV$67:$JV$79,MATCH(LARGE($KA$67:$KA$79,5),$KA$67:$KA$79,0))</f>
        <v/>
      </c>
      <c r="E18" s="38">
        <f>INDEX($JW$67:$JW$79,MATCH(LARGE($KA$67:$KA$79,5),$KA$67:$KA$79,0))</f>
        <v/>
      </c>
      <c r="F18" s="38">
        <f>INDEX($JX$67:$JX$79,MATCH(LARGE($KA$67:$KA$79,5),$KA$67:$KA$79,0))</f>
        <v/>
      </c>
      <c r="G18" s="38">
        <f>INDEX($JY$67:$JY$79,MATCH(LARGE($KA$67:$KA$79,5),$KA$67:$KA$79,0))</f>
        <v/>
      </c>
      <c r="H18" s="40">
        <f>IF(G18=0,"— Sem meta",IF(C18&gt;=G18,"✓ Meta atingida","Em andamento"))</f>
        <v/>
      </c>
      <c r="KC18" s="13" t="n">
        <v>17</v>
      </c>
      <c r="KD18" s="14">
        <f>IF(17&lt;=$Z$3,DATE(Configurações!$B$3,8,17),"")</f>
        <v/>
      </c>
      <c r="KE18" s="13">
        <f>SUM($EW$67:$EW$79)</f>
        <v/>
      </c>
      <c r="KF18" s="13">
        <f>SUM($ER$67:$ER$79)</f>
        <v/>
      </c>
    </row>
    <row r="19" ht="18" customHeight="1">
      <c r="A19" s="41" t="n">
        <v>6</v>
      </c>
      <c r="B19" s="42">
        <f>INDEX($A$67:$A$79,MATCH(LARGE($KA$67:$KA$79,6),$KA$67:$KA$79,0))</f>
        <v/>
      </c>
      <c r="C19" s="43">
        <f>INDEX($JU$67:$JU$79,MATCH(LARGE($KA$67:$KA$79,6),$KA$67:$KA$79,0))</f>
        <v/>
      </c>
      <c r="D19" s="44">
        <f>INDEX($JV$67:$JV$79,MATCH(LARGE($KA$67:$KA$79,6),$KA$67:$KA$79,0))</f>
        <v/>
      </c>
      <c r="E19" s="43">
        <f>INDEX($JW$67:$JW$79,MATCH(LARGE($KA$67:$KA$79,6),$KA$67:$KA$79,0))</f>
        <v/>
      </c>
      <c r="F19" s="43">
        <f>INDEX($JX$67:$JX$79,MATCH(LARGE($KA$67:$KA$79,6),$KA$67:$KA$79,0))</f>
        <v/>
      </c>
      <c r="G19" s="43">
        <f>INDEX($JY$67:$JY$79,MATCH(LARGE($KA$67:$KA$79,6),$KA$67:$KA$79,0))</f>
        <v/>
      </c>
      <c r="H19" s="45">
        <f>IF(G19=0,"— Sem meta",IF(C19&gt;=G19,"✓ Meta atingida","Em andamento"))</f>
        <v/>
      </c>
      <c r="KC19" s="13" t="n">
        <v>18</v>
      </c>
      <c r="KD19" s="14">
        <f>IF(18&lt;=$Z$3,DATE(Configurações!$B$3,8,18),"")</f>
        <v/>
      </c>
      <c r="KE19" s="13">
        <f>SUM($FF$67:$FF$79)</f>
        <v/>
      </c>
      <c r="KF19" s="13">
        <f>SUM($FA$67:$FA$79)</f>
        <v/>
      </c>
    </row>
    <row r="20" ht="18" customHeight="1">
      <c r="A20" s="46" t="n">
        <v>7</v>
      </c>
      <c r="B20" s="47">
        <f>INDEX($A$67:$A$79,MATCH(LARGE($KA$67:$KA$79,7),$KA$67:$KA$79,0))</f>
        <v/>
      </c>
      <c r="C20" s="48">
        <f>INDEX($JU$67:$JU$79,MATCH(LARGE($KA$67:$KA$79,7),$KA$67:$KA$79,0))</f>
        <v/>
      </c>
      <c r="D20" s="49">
        <f>INDEX($JV$67:$JV$79,MATCH(LARGE($KA$67:$KA$79,7),$KA$67:$KA$79,0))</f>
        <v/>
      </c>
      <c r="E20" s="48">
        <f>INDEX($JW$67:$JW$79,MATCH(LARGE($KA$67:$KA$79,7),$KA$67:$KA$79,0))</f>
        <v/>
      </c>
      <c r="F20" s="48">
        <f>INDEX($JX$67:$JX$79,MATCH(LARGE($KA$67:$KA$79,7),$KA$67:$KA$79,0))</f>
        <v/>
      </c>
      <c r="G20" s="48">
        <f>INDEX($JY$67:$JY$79,MATCH(LARGE($KA$67:$KA$79,7),$KA$67:$KA$79,0))</f>
        <v/>
      </c>
      <c r="H20" s="50">
        <f>IF(G20=0,"— Sem meta",IF(C20&gt;=G20,"✓ Meta atingida","Em andamento"))</f>
        <v/>
      </c>
      <c r="KC20" s="13" t="n">
        <v>19</v>
      </c>
      <c r="KD20" s="14">
        <f>IF(19&lt;=$Z$3,DATE(Configurações!$B$3,8,19),"")</f>
        <v/>
      </c>
      <c r="KE20" s="13">
        <f>SUM($FO$67:$FO$79)</f>
        <v/>
      </c>
      <c r="KF20" s="13">
        <f>SUM($FJ$67:$FJ$79)</f>
        <v/>
      </c>
    </row>
    <row r="21" ht="18" customHeight="1">
      <c r="A21" s="41" t="n">
        <v>8</v>
      </c>
      <c r="B21" s="42">
        <f>INDEX($A$67:$A$79,MATCH(LARGE($KA$67:$KA$79,8),$KA$67:$KA$79,0))</f>
        <v/>
      </c>
      <c r="C21" s="43">
        <f>INDEX($JU$67:$JU$79,MATCH(LARGE($KA$67:$KA$79,8),$KA$67:$KA$79,0))</f>
        <v/>
      </c>
      <c r="D21" s="44">
        <f>INDEX($JV$67:$JV$79,MATCH(LARGE($KA$67:$KA$79,8),$KA$67:$KA$79,0))</f>
        <v/>
      </c>
      <c r="E21" s="43">
        <f>INDEX($JW$67:$JW$79,MATCH(LARGE($KA$67:$KA$79,8),$KA$67:$KA$79,0))</f>
        <v/>
      </c>
      <c r="F21" s="43">
        <f>INDEX($JX$67:$JX$79,MATCH(LARGE($KA$67:$KA$79,8),$KA$67:$KA$79,0))</f>
        <v/>
      </c>
      <c r="G21" s="43">
        <f>INDEX($JY$67:$JY$79,MATCH(LARGE($KA$67:$KA$79,8),$KA$67:$KA$79,0))</f>
        <v/>
      </c>
      <c r="H21" s="45">
        <f>IF(G21=0,"— Sem meta",IF(C21&gt;=G21,"✓ Meta atingida","Em andamento"))</f>
        <v/>
      </c>
      <c r="KC21" s="13" t="n">
        <v>20</v>
      </c>
      <c r="KD21" s="14">
        <f>IF(20&lt;=$Z$3,DATE(Configurações!$B$3,8,20),"")</f>
        <v/>
      </c>
      <c r="KE21" s="13">
        <f>SUM($FX$67:$FX$79)</f>
        <v/>
      </c>
      <c r="KF21" s="13">
        <f>SUM($FS$67:$FS$79)</f>
        <v/>
      </c>
    </row>
    <row r="22" ht="18" customHeight="1">
      <c r="A22" s="46" t="n">
        <v>9</v>
      </c>
      <c r="B22" s="47">
        <f>INDEX($A$67:$A$79,MATCH(LARGE($KA$67:$KA$79,9),$KA$67:$KA$79,0))</f>
        <v/>
      </c>
      <c r="C22" s="48">
        <f>INDEX($JU$67:$JU$79,MATCH(LARGE($KA$67:$KA$79,9),$KA$67:$KA$79,0))</f>
        <v/>
      </c>
      <c r="D22" s="49">
        <f>INDEX($JV$67:$JV$79,MATCH(LARGE($KA$67:$KA$79,9),$KA$67:$KA$79,0))</f>
        <v/>
      </c>
      <c r="E22" s="48">
        <f>INDEX($JW$67:$JW$79,MATCH(LARGE($KA$67:$KA$79,9),$KA$67:$KA$79,0))</f>
        <v/>
      </c>
      <c r="F22" s="48">
        <f>INDEX($JX$67:$JX$79,MATCH(LARGE($KA$67:$KA$79,9),$KA$67:$KA$79,0))</f>
        <v/>
      </c>
      <c r="G22" s="48">
        <f>INDEX($JY$67:$JY$79,MATCH(LARGE($KA$67:$KA$79,9),$KA$67:$KA$79,0))</f>
        <v/>
      </c>
      <c r="H22" s="50">
        <f>IF(G22=0,"— Sem meta",IF(C22&gt;=G22,"✓ Meta atingida","Em andamento"))</f>
        <v/>
      </c>
      <c r="KC22" s="13" t="n">
        <v>21</v>
      </c>
      <c r="KD22" s="14">
        <f>IF(21&lt;=$Z$3,DATE(Configurações!$B$3,8,21),"")</f>
        <v/>
      </c>
      <c r="KE22" s="13">
        <f>SUM($GG$67:$GG$79)</f>
        <v/>
      </c>
      <c r="KF22" s="13">
        <f>SUM($GB$67:$GB$79)</f>
        <v/>
      </c>
    </row>
    <row r="23" ht="18" customHeight="1">
      <c r="A23" s="41" t="n">
        <v>10</v>
      </c>
      <c r="B23" s="42">
        <f>INDEX($A$67:$A$79,MATCH(LARGE($KA$67:$KA$79,10),$KA$67:$KA$79,0))</f>
        <v/>
      </c>
      <c r="C23" s="43">
        <f>INDEX($JU$67:$JU$79,MATCH(LARGE($KA$67:$KA$79,10),$KA$67:$KA$79,0))</f>
        <v/>
      </c>
      <c r="D23" s="44">
        <f>INDEX($JV$67:$JV$79,MATCH(LARGE($KA$67:$KA$79,10),$KA$67:$KA$79,0))</f>
        <v/>
      </c>
      <c r="E23" s="43">
        <f>INDEX($JW$67:$JW$79,MATCH(LARGE($KA$67:$KA$79,10),$KA$67:$KA$79,0))</f>
        <v/>
      </c>
      <c r="F23" s="43">
        <f>INDEX($JX$67:$JX$79,MATCH(LARGE($KA$67:$KA$79,10),$KA$67:$KA$79,0))</f>
        <v/>
      </c>
      <c r="G23" s="43">
        <f>INDEX($JY$67:$JY$79,MATCH(LARGE($KA$67:$KA$79,10),$KA$67:$KA$79,0))</f>
        <v/>
      </c>
      <c r="H23" s="45">
        <f>IF(G23=0,"— Sem meta",IF(C23&gt;=G23,"✓ Meta atingida","Em andamento"))</f>
        <v/>
      </c>
      <c r="KC23" s="13" t="n">
        <v>22</v>
      </c>
      <c r="KD23" s="14">
        <f>IF(22&lt;=$Z$3,DATE(Configurações!$B$3,8,22),"")</f>
        <v/>
      </c>
      <c r="KE23" s="13">
        <f>SUM($GP$67:$GP$79)</f>
        <v/>
      </c>
      <c r="KF23" s="13">
        <f>SUM($GK$67:$GK$79)</f>
        <v/>
      </c>
    </row>
    <row r="24" ht="18" customHeight="1">
      <c r="A24" s="46" t="n">
        <v>11</v>
      </c>
      <c r="B24" s="47">
        <f>INDEX($A$67:$A$79,MATCH(LARGE($KA$67:$KA$79,11),$KA$67:$KA$79,0))</f>
        <v/>
      </c>
      <c r="C24" s="48">
        <f>INDEX($JU$67:$JU$79,MATCH(LARGE($KA$67:$KA$79,11),$KA$67:$KA$79,0))</f>
        <v/>
      </c>
      <c r="D24" s="49">
        <f>INDEX($JV$67:$JV$79,MATCH(LARGE($KA$67:$KA$79,11),$KA$67:$KA$79,0))</f>
        <v/>
      </c>
      <c r="E24" s="48">
        <f>INDEX($JW$67:$JW$79,MATCH(LARGE($KA$67:$KA$79,11),$KA$67:$KA$79,0))</f>
        <v/>
      </c>
      <c r="F24" s="48">
        <f>INDEX($JX$67:$JX$79,MATCH(LARGE($KA$67:$KA$79,11),$KA$67:$KA$79,0))</f>
        <v/>
      </c>
      <c r="G24" s="48">
        <f>INDEX($JY$67:$JY$79,MATCH(LARGE($KA$67:$KA$79,11),$KA$67:$KA$79,0))</f>
        <v/>
      </c>
      <c r="H24" s="50">
        <f>IF(G24=0,"— Sem meta",IF(C24&gt;=G24,"✓ Meta atingida","Em andamento"))</f>
        <v/>
      </c>
      <c r="KC24" s="13" t="n">
        <v>23</v>
      </c>
      <c r="KD24" s="14">
        <f>IF(23&lt;=$Z$3,DATE(Configurações!$B$3,8,23),"")</f>
        <v/>
      </c>
      <c r="KE24" s="13">
        <f>SUM($GY$67:$GY$79)</f>
        <v/>
      </c>
      <c r="KF24" s="13">
        <f>SUM($GT$67:$GT$79)</f>
        <v/>
      </c>
    </row>
    <row r="25" ht="18" customHeight="1">
      <c r="A25" s="41" t="n">
        <v>12</v>
      </c>
      <c r="B25" s="42">
        <f>INDEX($A$67:$A$79,MATCH(LARGE($KA$67:$KA$79,12),$KA$67:$KA$79,0))</f>
        <v/>
      </c>
      <c r="C25" s="43">
        <f>INDEX($JU$67:$JU$79,MATCH(LARGE($KA$67:$KA$79,12),$KA$67:$KA$79,0))</f>
        <v/>
      </c>
      <c r="D25" s="44">
        <f>INDEX($JV$67:$JV$79,MATCH(LARGE($KA$67:$KA$79,12),$KA$67:$KA$79,0))</f>
        <v/>
      </c>
      <c r="E25" s="43">
        <f>INDEX($JW$67:$JW$79,MATCH(LARGE($KA$67:$KA$79,12),$KA$67:$KA$79,0))</f>
        <v/>
      </c>
      <c r="F25" s="43">
        <f>INDEX($JX$67:$JX$79,MATCH(LARGE($KA$67:$KA$79,12),$KA$67:$KA$79,0))</f>
        <v/>
      </c>
      <c r="G25" s="43">
        <f>INDEX($JY$67:$JY$79,MATCH(LARGE($KA$67:$KA$79,12),$KA$67:$KA$79,0))</f>
        <v/>
      </c>
      <c r="H25" s="45">
        <f>IF(G25=0,"— Sem meta",IF(C25&gt;=G25,"✓ Meta atingida","Em andamento"))</f>
        <v/>
      </c>
      <c r="KC25" s="13" t="n">
        <v>24</v>
      </c>
      <c r="KD25" s="14">
        <f>IF(24&lt;=$Z$3,DATE(Configurações!$B$3,8,24),"")</f>
        <v/>
      </c>
      <c r="KE25" s="13">
        <f>SUM($HH$67:$HH$79)</f>
        <v/>
      </c>
      <c r="KF25" s="13">
        <f>SUM($HC$67:$HC$79)</f>
        <v/>
      </c>
    </row>
    <row r="26" ht="18" customHeight="1">
      <c r="A26" s="46" t="n">
        <v>13</v>
      </c>
      <c r="B26" s="47">
        <f>INDEX($A$67:$A$79,MATCH(LARGE($KA$67:$KA$79,13),$KA$67:$KA$79,0))</f>
        <v/>
      </c>
      <c r="C26" s="48">
        <f>INDEX($JU$67:$JU$79,MATCH(LARGE($KA$67:$KA$79,13),$KA$67:$KA$79,0))</f>
        <v/>
      </c>
      <c r="D26" s="49">
        <f>INDEX($JV$67:$JV$79,MATCH(LARGE($KA$67:$KA$79,13),$KA$67:$KA$79,0))</f>
        <v/>
      </c>
      <c r="E26" s="48">
        <f>INDEX($JW$67:$JW$79,MATCH(LARGE($KA$67:$KA$79,13),$KA$67:$KA$79,0))</f>
        <v/>
      </c>
      <c r="F26" s="48">
        <f>INDEX($JX$67:$JX$79,MATCH(LARGE($KA$67:$KA$79,13),$KA$67:$KA$79,0))</f>
        <v/>
      </c>
      <c r="G26" s="48">
        <f>INDEX($JY$67:$JY$79,MATCH(LARGE($KA$67:$KA$79,13),$KA$67:$KA$79,0))</f>
        <v/>
      </c>
      <c r="H26" s="50">
        <f>IF(G26=0,"— Sem meta",IF(C26&gt;=G26,"✓ Meta atingida","Em andamento"))</f>
        <v/>
      </c>
      <c r="KC26" s="13" t="n">
        <v>25</v>
      </c>
      <c r="KD26" s="14">
        <f>IF(25&lt;=$Z$3,DATE(Configurações!$B$3,8,25),"")</f>
        <v/>
      </c>
      <c r="KE26" s="13">
        <f>SUM($HQ$67:$HQ$79)</f>
        <v/>
      </c>
      <c r="KF26" s="13">
        <f>SUM($HL$67:$HL$79)</f>
        <v/>
      </c>
    </row>
    <row r="27">
      <c r="KC27" s="13" t="n">
        <v>26</v>
      </c>
      <c r="KD27" s="14">
        <f>IF(26&lt;=$Z$3,DATE(Configurações!$B$3,8,26),"")</f>
        <v/>
      </c>
      <c r="KE27" s="13">
        <f>SUM($HZ$67:$HZ$79)</f>
        <v/>
      </c>
      <c r="KF27" s="13">
        <f>SUM($HU$67:$HU$79)</f>
        <v/>
      </c>
    </row>
    <row r="28">
      <c r="KC28" s="13" t="n">
        <v>27</v>
      </c>
      <c r="KD28" s="14">
        <f>IF(27&lt;=$Z$3,DATE(Configurações!$B$3,8,27),"")</f>
        <v/>
      </c>
      <c r="KE28" s="13">
        <f>SUM($II$67:$II$79)</f>
        <v/>
      </c>
      <c r="KF28" s="13">
        <f>SUM($ID$67:$ID$79)</f>
        <v/>
      </c>
    </row>
    <row r="29">
      <c r="KC29" s="13" t="n">
        <v>28</v>
      </c>
      <c r="KD29" s="14">
        <f>IF(28&lt;=$Z$3,DATE(Configurações!$B$3,8,28),"")</f>
        <v/>
      </c>
      <c r="KE29" s="13">
        <f>SUM($IR$67:$IR$79)</f>
        <v/>
      </c>
      <c r="KF29" s="13">
        <f>SUM($IM$67:$IM$79)</f>
        <v/>
      </c>
    </row>
    <row r="30">
      <c r="KC30" s="13" t="n">
        <v>29</v>
      </c>
      <c r="KD30" s="14">
        <f>IF(29&lt;=$Z$3,DATE(Configurações!$B$3,8,29),"")</f>
        <v/>
      </c>
      <c r="KE30" s="13">
        <f>SUM($JA$67:$JA$79)</f>
        <v/>
      </c>
      <c r="KF30" s="13">
        <f>SUM($IV$67:$IV$79)</f>
        <v/>
      </c>
    </row>
    <row r="31">
      <c r="KC31" s="13" t="n">
        <v>30</v>
      </c>
      <c r="KD31" s="14">
        <f>IF(30&lt;=$Z$3,DATE(Configurações!$B$3,8,30),"")</f>
        <v/>
      </c>
      <c r="KE31" s="13">
        <f>SUM($JJ$67:$JJ$79)</f>
        <v/>
      </c>
      <c r="KF31" s="13">
        <f>SUM($JE$67:$JE$79)</f>
        <v/>
      </c>
    </row>
    <row r="32">
      <c r="KC32" s="13" t="n">
        <v>31</v>
      </c>
      <c r="KD32" s="14">
        <f>IF(31&lt;=$Z$3,DATE(Configurações!$B$3,8,31),"")</f>
        <v/>
      </c>
      <c r="KE32" s="13">
        <f>SUM($JS$67:$JS$79)</f>
        <v/>
      </c>
      <c r="KF32" s="13">
        <f>SUM($JN$67:$JN$79)</f>
        <v/>
      </c>
    </row>
    <row r="64" ht="22" customHeight="1">
      <c r="A64" s="51" t="inlineStr">
        <is>
          <t>📋  LANÇAMENTOS DIÁRIOS POR ASSESSOR (role para a direita)</t>
        </is>
      </c>
    </row>
    <row r="65" ht="20" customHeight="1">
      <c r="A65" s="52" t="inlineStr">
        <is>
          <t>Assessor</t>
        </is>
      </c>
      <c r="B65" s="18">
        <f>"Dia 1 — "&amp;IF(1&lt;=$Z$3,TEXT(DATE(Configurações!$B$3,8,1),"dd/mm")&amp;" ("&amp;CHOOSE(WEEKDAY(DATE(Configurações!$B$3,8,1)),"Dom","Seg","Ter","Qua","Qui","Sex","Sáb")&amp;")","—")</f>
        <v/>
      </c>
      <c r="K65" s="18">
        <f>"Dia 2 — "&amp;IF(2&lt;=$Z$3,TEXT(DATE(Configurações!$B$3,8,2),"dd/mm")&amp;" ("&amp;CHOOSE(WEEKDAY(DATE(Configurações!$B$3,8,2)),"Dom","Seg","Ter","Qua","Qui","Sex","Sáb")&amp;")","—")</f>
        <v/>
      </c>
      <c r="T65" s="18">
        <f>"Dia 3 — "&amp;IF(3&lt;=$Z$3,TEXT(DATE(Configurações!$B$3,8,3),"dd/mm")&amp;" ("&amp;CHOOSE(WEEKDAY(DATE(Configurações!$B$3,8,3)),"Dom","Seg","Ter","Qua","Qui","Sex","Sáb")&amp;")","—")</f>
        <v/>
      </c>
      <c r="AC65" s="18">
        <f>"Dia 4 — "&amp;IF(4&lt;=$Z$3,TEXT(DATE(Configurações!$B$3,8,4),"dd/mm")&amp;" ("&amp;CHOOSE(WEEKDAY(DATE(Configurações!$B$3,8,4)),"Dom","Seg","Ter","Qua","Qui","Sex","Sáb")&amp;")","—")</f>
        <v/>
      </c>
      <c r="AL65" s="18">
        <f>"Dia 5 — "&amp;IF(5&lt;=$Z$3,TEXT(DATE(Configurações!$B$3,8,5),"dd/mm")&amp;" ("&amp;CHOOSE(WEEKDAY(DATE(Configurações!$B$3,8,5)),"Dom","Seg","Ter","Qua","Qui","Sex","Sáb")&amp;")","—")</f>
        <v/>
      </c>
      <c r="AU65" s="18">
        <f>"Dia 6 — "&amp;IF(6&lt;=$Z$3,TEXT(DATE(Configurações!$B$3,8,6),"dd/mm")&amp;" ("&amp;CHOOSE(WEEKDAY(DATE(Configurações!$B$3,8,6)),"Dom","Seg","Ter","Qua","Qui","Sex","Sáb")&amp;")","—")</f>
        <v/>
      </c>
      <c r="BD65" s="18">
        <f>"Dia 7 — "&amp;IF(7&lt;=$Z$3,TEXT(DATE(Configurações!$B$3,8,7),"dd/mm")&amp;" ("&amp;CHOOSE(WEEKDAY(DATE(Configurações!$B$3,8,7)),"Dom","Seg","Ter","Qua","Qui","Sex","Sáb")&amp;")","—")</f>
        <v/>
      </c>
      <c r="BM65" s="18">
        <f>"Dia 8 — "&amp;IF(8&lt;=$Z$3,TEXT(DATE(Configurações!$B$3,8,8),"dd/mm")&amp;" ("&amp;CHOOSE(WEEKDAY(DATE(Configurações!$B$3,8,8)),"Dom","Seg","Ter","Qua","Qui","Sex","Sáb")&amp;")","—")</f>
        <v/>
      </c>
      <c r="BV65" s="18">
        <f>"Dia 9 — "&amp;IF(9&lt;=$Z$3,TEXT(DATE(Configurações!$B$3,8,9),"dd/mm")&amp;" ("&amp;CHOOSE(WEEKDAY(DATE(Configurações!$B$3,8,9)),"Dom","Seg","Ter","Qua","Qui","Sex","Sáb")&amp;")","—")</f>
        <v/>
      </c>
      <c r="CE65" s="18">
        <f>"Dia 10 — "&amp;IF(10&lt;=$Z$3,TEXT(DATE(Configurações!$B$3,8,10),"dd/mm")&amp;" ("&amp;CHOOSE(WEEKDAY(DATE(Configurações!$B$3,8,10)),"Dom","Seg","Ter","Qua","Qui","Sex","Sáb")&amp;")","—")</f>
        <v/>
      </c>
      <c r="CN65" s="18">
        <f>"Dia 11 — "&amp;IF(11&lt;=$Z$3,TEXT(DATE(Configurações!$B$3,8,11),"dd/mm")&amp;" ("&amp;CHOOSE(WEEKDAY(DATE(Configurações!$B$3,8,11)),"Dom","Seg","Ter","Qua","Qui","Sex","Sáb")&amp;")","—")</f>
        <v/>
      </c>
      <c r="CW65" s="18">
        <f>"Dia 12 — "&amp;IF(12&lt;=$Z$3,TEXT(DATE(Configurações!$B$3,8,12),"dd/mm")&amp;" ("&amp;CHOOSE(WEEKDAY(DATE(Configurações!$B$3,8,12)),"Dom","Seg","Ter","Qua","Qui","Sex","Sáb")&amp;")","—")</f>
        <v/>
      </c>
      <c r="DF65" s="18">
        <f>"Dia 13 — "&amp;IF(13&lt;=$Z$3,TEXT(DATE(Configurações!$B$3,8,13),"dd/mm")&amp;" ("&amp;CHOOSE(WEEKDAY(DATE(Configurações!$B$3,8,13)),"Dom","Seg","Ter","Qua","Qui","Sex","Sáb")&amp;")","—")</f>
        <v/>
      </c>
      <c r="DO65" s="18">
        <f>"Dia 14 — "&amp;IF(14&lt;=$Z$3,TEXT(DATE(Configurações!$B$3,8,14),"dd/mm")&amp;" ("&amp;CHOOSE(WEEKDAY(DATE(Configurações!$B$3,8,14)),"Dom","Seg","Ter","Qua","Qui","Sex","Sáb")&amp;")","—")</f>
        <v/>
      </c>
      <c r="DX65" s="18">
        <f>"Dia 15 — "&amp;IF(15&lt;=$Z$3,TEXT(DATE(Configurações!$B$3,8,15),"dd/mm")&amp;" ("&amp;CHOOSE(WEEKDAY(DATE(Configurações!$B$3,8,15)),"Dom","Seg","Ter","Qua","Qui","Sex","Sáb")&amp;")","—")</f>
        <v/>
      </c>
      <c r="EG65" s="18">
        <f>"Dia 16 — "&amp;IF(16&lt;=$Z$3,TEXT(DATE(Configurações!$B$3,8,16),"dd/mm")&amp;" ("&amp;CHOOSE(WEEKDAY(DATE(Configurações!$B$3,8,16)),"Dom","Seg","Ter","Qua","Qui","Sex","Sáb")&amp;")","—")</f>
        <v/>
      </c>
      <c r="EP65" s="18">
        <f>"Dia 17 — "&amp;IF(17&lt;=$Z$3,TEXT(DATE(Configurações!$B$3,8,17),"dd/mm")&amp;" ("&amp;CHOOSE(WEEKDAY(DATE(Configurações!$B$3,8,17)),"Dom","Seg","Ter","Qua","Qui","Sex","Sáb")&amp;")","—")</f>
        <v/>
      </c>
      <c r="EY65" s="18">
        <f>"Dia 18 — "&amp;IF(18&lt;=$Z$3,TEXT(DATE(Configurações!$B$3,8,18),"dd/mm")&amp;" ("&amp;CHOOSE(WEEKDAY(DATE(Configurações!$B$3,8,18)),"Dom","Seg","Ter","Qua","Qui","Sex","Sáb")&amp;")","—")</f>
        <v/>
      </c>
      <c r="FH65" s="18">
        <f>"Dia 19 — "&amp;IF(19&lt;=$Z$3,TEXT(DATE(Configurações!$B$3,8,19),"dd/mm")&amp;" ("&amp;CHOOSE(WEEKDAY(DATE(Configurações!$B$3,8,19)),"Dom","Seg","Ter","Qua","Qui","Sex","Sáb")&amp;")","—")</f>
        <v/>
      </c>
      <c r="FQ65" s="18">
        <f>"Dia 20 — "&amp;IF(20&lt;=$Z$3,TEXT(DATE(Configurações!$B$3,8,20),"dd/mm")&amp;" ("&amp;CHOOSE(WEEKDAY(DATE(Configurações!$B$3,8,20)),"Dom","Seg","Ter","Qua","Qui","Sex","Sáb")&amp;")","—")</f>
        <v/>
      </c>
      <c r="FZ65" s="18">
        <f>"Dia 21 — "&amp;IF(21&lt;=$Z$3,TEXT(DATE(Configurações!$B$3,8,21),"dd/mm")&amp;" ("&amp;CHOOSE(WEEKDAY(DATE(Configurações!$B$3,8,21)),"Dom","Seg","Ter","Qua","Qui","Sex","Sáb")&amp;")","—")</f>
        <v/>
      </c>
      <c r="GI65" s="18">
        <f>"Dia 22 — "&amp;IF(22&lt;=$Z$3,TEXT(DATE(Configurações!$B$3,8,22),"dd/mm")&amp;" ("&amp;CHOOSE(WEEKDAY(DATE(Configurações!$B$3,8,22)),"Dom","Seg","Ter","Qua","Qui","Sex","Sáb")&amp;")","—")</f>
        <v/>
      </c>
      <c r="GR65" s="18">
        <f>"Dia 23 — "&amp;IF(23&lt;=$Z$3,TEXT(DATE(Configurações!$B$3,8,23),"dd/mm")&amp;" ("&amp;CHOOSE(WEEKDAY(DATE(Configurações!$B$3,8,23)),"Dom","Seg","Ter","Qua","Qui","Sex","Sáb")&amp;")","—")</f>
        <v/>
      </c>
      <c r="HA65" s="18">
        <f>"Dia 24 — "&amp;IF(24&lt;=$Z$3,TEXT(DATE(Configurações!$B$3,8,24),"dd/mm")&amp;" ("&amp;CHOOSE(WEEKDAY(DATE(Configurações!$B$3,8,24)),"Dom","Seg","Ter","Qua","Qui","Sex","Sáb")&amp;")","—")</f>
        <v/>
      </c>
      <c r="HJ65" s="18">
        <f>"Dia 25 — "&amp;IF(25&lt;=$Z$3,TEXT(DATE(Configurações!$B$3,8,25),"dd/mm")&amp;" ("&amp;CHOOSE(WEEKDAY(DATE(Configurações!$B$3,8,25)),"Dom","Seg","Ter","Qua","Qui","Sex","Sáb")&amp;")","—")</f>
        <v/>
      </c>
      <c r="HS65" s="18">
        <f>"Dia 26 — "&amp;IF(26&lt;=$Z$3,TEXT(DATE(Configurações!$B$3,8,26),"dd/mm")&amp;" ("&amp;CHOOSE(WEEKDAY(DATE(Configurações!$B$3,8,26)),"Dom","Seg","Ter","Qua","Qui","Sex","Sáb")&amp;")","—")</f>
        <v/>
      </c>
      <c r="IB65" s="18">
        <f>"Dia 27 — "&amp;IF(27&lt;=$Z$3,TEXT(DATE(Configurações!$B$3,8,27),"dd/mm")&amp;" ("&amp;CHOOSE(WEEKDAY(DATE(Configurações!$B$3,8,27)),"Dom","Seg","Ter","Qua","Qui","Sex","Sáb")&amp;")","—")</f>
        <v/>
      </c>
      <c r="IK65" s="18">
        <f>"Dia 28 — "&amp;IF(28&lt;=$Z$3,TEXT(DATE(Configurações!$B$3,8,28),"dd/mm")&amp;" ("&amp;CHOOSE(WEEKDAY(DATE(Configurações!$B$3,8,28)),"Dom","Seg","Ter","Qua","Qui","Sex","Sáb")&amp;")","—")</f>
        <v/>
      </c>
      <c r="IT65" s="18">
        <f>"Dia 29 — "&amp;IF(29&lt;=$Z$3,TEXT(DATE(Configurações!$B$3,8,29),"dd/mm")&amp;" ("&amp;CHOOSE(WEEKDAY(DATE(Configurações!$B$3,8,29)),"Dom","Seg","Ter","Qua","Qui","Sex","Sáb")&amp;")","—")</f>
        <v/>
      </c>
      <c r="JC65" s="18">
        <f>"Dia 30 — "&amp;IF(30&lt;=$Z$3,TEXT(DATE(Configurações!$B$3,8,30),"dd/mm")&amp;" ("&amp;CHOOSE(WEEKDAY(DATE(Configurações!$B$3,8,30)),"Dom","Seg","Ter","Qua","Qui","Sex","Sáb")&amp;")","—")</f>
        <v/>
      </c>
      <c r="JL65" s="18">
        <f>"Dia 31 — "&amp;IF(31&lt;=$Z$3,TEXT(DATE(Configurações!$B$3,8,31),"dd/mm")&amp;" ("&amp;CHOOSE(WEEKDAY(DATE(Configurações!$B$3,8,31)),"Dom","Seg","Ter","Qua","Qui","Sex","Sáb")&amp;")","—")</f>
        <v/>
      </c>
      <c r="JU65" s="53" t="inlineStr">
        <is>
          <t>Produção Total (Mês)</t>
        </is>
      </c>
      <c r="JV65" s="53" t="inlineStr">
        <is>
          <t>Captação Líquida (Mês)</t>
        </is>
      </c>
      <c r="JW65" s="53" t="inlineStr">
        <is>
          <t>Saldo Pulso Atual</t>
        </is>
      </c>
      <c r="JX65" s="53" t="inlineStr">
        <is>
          <t>Média Diária</t>
        </is>
      </c>
      <c r="JY65" s="53" t="inlineStr">
        <is>
          <t>Meta Mensal</t>
        </is>
      </c>
      <c r="JZ65" s="53" t="inlineStr">
        <is>
          <t>Status Meta</t>
        </is>
      </c>
      <c r="KA65" s="53" t="inlineStr"/>
    </row>
    <row r="66" ht="26" customHeight="1">
      <c r="B66" s="54" t="inlineStr">
        <is>
          <t>Saldo Pulso</t>
        </is>
      </c>
      <c r="C66" s="54" t="inlineStr">
        <is>
          <t>Saldo Anterior</t>
        </is>
      </c>
      <c r="D66" s="54" t="inlineStr">
        <is>
          <t>Captação Líq.</t>
        </is>
      </c>
      <c r="E66" s="54" t="inlineStr">
        <is>
          <t>COE</t>
        </is>
      </c>
      <c r="F66" s="54" t="inlineStr">
        <is>
          <t>Previdência</t>
        </is>
      </c>
      <c r="G66" s="54" t="inlineStr">
        <is>
          <t>Créd. Privado</t>
        </is>
      </c>
      <c r="H66" s="54" t="inlineStr">
        <is>
          <t>Tít. Públicos</t>
        </is>
      </c>
      <c r="I66" s="54" t="inlineStr">
        <is>
          <t>Produção Tot.</t>
        </is>
      </c>
      <c r="J66" s="54" t="inlineStr">
        <is>
          <t>Obs.</t>
        </is>
      </c>
      <c r="K66" s="54" t="inlineStr">
        <is>
          <t>Saldo Pulso</t>
        </is>
      </c>
      <c r="L66" s="54" t="inlineStr">
        <is>
          <t>Saldo Anterior</t>
        </is>
      </c>
      <c r="M66" s="54" t="inlineStr">
        <is>
          <t>Captação Líq.</t>
        </is>
      </c>
      <c r="N66" s="54" t="inlineStr">
        <is>
          <t>COE</t>
        </is>
      </c>
      <c r="O66" s="54" t="inlineStr">
        <is>
          <t>Previdência</t>
        </is>
      </c>
      <c r="P66" s="54" t="inlineStr">
        <is>
          <t>Créd. Privado</t>
        </is>
      </c>
      <c r="Q66" s="54" t="inlineStr">
        <is>
          <t>Tít. Públicos</t>
        </is>
      </c>
      <c r="R66" s="54" t="inlineStr">
        <is>
          <t>Produção Tot.</t>
        </is>
      </c>
      <c r="S66" s="54" t="inlineStr">
        <is>
          <t>Obs.</t>
        </is>
      </c>
      <c r="T66" s="54" t="inlineStr">
        <is>
          <t>Saldo Pulso</t>
        </is>
      </c>
      <c r="U66" s="54" t="inlineStr">
        <is>
          <t>Saldo Anterior</t>
        </is>
      </c>
      <c r="V66" s="54" t="inlineStr">
        <is>
          <t>Captação Líq.</t>
        </is>
      </c>
      <c r="W66" s="54" t="inlineStr">
        <is>
          <t>COE</t>
        </is>
      </c>
      <c r="X66" s="54" t="inlineStr">
        <is>
          <t>Previdência</t>
        </is>
      </c>
      <c r="Y66" s="54" t="inlineStr">
        <is>
          <t>Créd. Privado</t>
        </is>
      </c>
      <c r="Z66" s="54" t="inlineStr">
        <is>
          <t>Tít. Públicos</t>
        </is>
      </c>
      <c r="AA66" s="54" t="inlineStr">
        <is>
          <t>Produção Tot.</t>
        </is>
      </c>
      <c r="AB66" s="54" t="inlineStr">
        <is>
          <t>Obs.</t>
        </is>
      </c>
      <c r="AC66" s="54" t="inlineStr">
        <is>
          <t>Saldo Pulso</t>
        </is>
      </c>
      <c r="AD66" s="54" t="inlineStr">
        <is>
          <t>Saldo Anterior</t>
        </is>
      </c>
      <c r="AE66" s="54" t="inlineStr">
        <is>
          <t>Captação Líq.</t>
        </is>
      </c>
      <c r="AF66" s="54" t="inlineStr">
        <is>
          <t>COE</t>
        </is>
      </c>
      <c r="AG66" s="54" t="inlineStr">
        <is>
          <t>Previdência</t>
        </is>
      </c>
      <c r="AH66" s="54" t="inlineStr">
        <is>
          <t>Créd. Privado</t>
        </is>
      </c>
      <c r="AI66" s="54" t="inlineStr">
        <is>
          <t>Tít. Públicos</t>
        </is>
      </c>
      <c r="AJ66" s="54" t="inlineStr">
        <is>
          <t>Produção Tot.</t>
        </is>
      </c>
      <c r="AK66" s="54" t="inlineStr">
        <is>
          <t>Obs.</t>
        </is>
      </c>
      <c r="AL66" s="54" t="inlineStr">
        <is>
          <t>Saldo Pulso</t>
        </is>
      </c>
      <c r="AM66" s="54" t="inlineStr">
        <is>
          <t>Saldo Anterior</t>
        </is>
      </c>
      <c r="AN66" s="54" t="inlineStr">
        <is>
          <t>Captação Líq.</t>
        </is>
      </c>
      <c r="AO66" s="54" t="inlineStr">
        <is>
          <t>COE</t>
        </is>
      </c>
      <c r="AP66" s="54" t="inlineStr">
        <is>
          <t>Previdência</t>
        </is>
      </c>
      <c r="AQ66" s="54" t="inlineStr">
        <is>
          <t>Créd. Privado</t>
        </is>
      </c>
      <c r="AR66" s="54" t="inlineStr">
        <is>
          <t>Tít. Públicos</t>
        </is>
      </c>
      <c r="AS66" s="54" t="inlineStr">
        <is>
          <t>Produção Tot.</t>
        </is>
      </c>
      <c r="AT66" s="54" t="inlineStr">
        <is>
          <t>Obs.</t>
        </is>
      </c>
      <c r="AU66" s="54" t="inlineStr">
        <is>
          <t>Saldo Pulso</t>
        </is>
      </c>
      <c r="AV66" s="54" t="inlineStr">
        <is>
          <t>Saldo Anterior</t>
        </is>
      </c>
      <c r="AW66" s="54" t="inlineStr">
        <is>
          <t>Captação Líq.</t>
        </is>
      </c>
      <c r="AX66" s="54" t="inlineStr">
        <is>
          <t>COE</t>
        </is>
      </c>
      <c r="AY66" s="54" t="inlineStr">
        <is>
          <t>Previdência</t>
        </is>
      </c>
      <c r="AZ66" s="54" t="inlineStr">
        <is>
          <t>Créd. Privado</t>
        </is>
      </c>
      <c r="BA66" s="54" t="inlineStr">
        <is>
          <t>Tít. Públicos</t>
        </is>
      </c>
      <c r="BB66" s="54" t="inlineStr">
        <is>
          <t>Produção Tot.</t>
        </is>
      </c>
      <c r="BC66" s="54" t="inlineStr">
        <is>
          <t>Obs.</t>
        </is>
      </c>
      <c r="BD66" s="54" t="inlineStr">
        <is>
          <t>Saldo Pulso</t>
        </is>
      </c>
      <c r="BE66" s="54" t="inlineStr">
        <is>
          <t>Saldo Anterior</t>
        </is>
      </c>
      <c r="BF66" s="54" t="inlineStr">
        <is>
          <t>Captação Líq.</t>
        </is>
      </c>
      <c r="BG66" s="54" t="inlineStr">
        <is>
          <t>COE</t>
        </is>
      </c>
      <c r="BH66" s="54" t="inlineStr">
        <is>
          <t>Previdência</t>
        </is>
      </c>
      <c r="BI66" s="54" t="inlineStr">
        <is>
          <t>Créd. Privado</t>
        </is>
      </c>
      <c r="BJ66" s="54" t="inlineStr">
        <is>
          <t>Tít. Públicos</t>
        </is>
      </c>
      <c r="BK66" s="54" t="inlineStr">
        <is>
          <t>Produção Tot.</t>
        </is>
      </c>
      <c r="BL66" s="54" t="inlineStr">
        <is>
          <t>Obs.</t>
        </is>
      </c>
      <c r="BM66" s="54" t="inlineStr">
        <is>
          <t>Saldo Pulso</t>
        </is>
      </c>
      <c r="BN66" s="54" t="inlineStr">
        <is>
          <t>Saldo Anterior</t>
        </is>
      </c>
      <c r="BO66" s="54" t="inlineStr">
        <is>
          <t>Captação Líq.</t>
        </is>
      </c>
      <c r="BP66" s="54" t="inlineStr">
        <is>
          <t>COE</t>
        </is>
      </c>
      <c r="BQ66" s="54" t="inlineStr">
        <is>
          <t>Previdência</t>
        </is>
      </c>
      <c r="BR66" s="54" t="inlineStr">
        <is>
          <t>Créd. Privado</t>
        </is>
      </c>
      <c r="BS66" s="54" t="inlineStr">
        <is>
          <t>Tít. Públicos</t>
        </is>
      </c>
      <c r="BT66" s="54" t="inlineStr">
        <is>
          <t>Produção Tot.</t>
        </is>
      </c>
      <c r="BU66" s="54" t="inlineStr">
        <is>
          <t>Obs.</t>
        </is>
      </c>
      <c r="BV66" s="54" t="inlineStr">
        <is>
          <t>Saldo Pulso</t>
        </is>
      </c>
      <c r="BW66" s="54" t="inlineStr">
        <is>
          <t>Saldo Anterior</t>
        </is>
      </c>
      <c r="BX66" s="54" t="inlineStr">
        <is>
          <t>Captação Líq.</t>
        </is>
      </c>
      <c r="BY66" s="54" t="inlineStr">
        <is>
          <t>COE</t>
        </is>
      </c>
      <c r="BZ66" s="54" t="inlineStr">
        <is>
          <t>Previdência</t>
        </is>
      </c>
      <c r="CA66" s="54" t="inlineStr">
        <is>
          <t>Créd. Privado</t>
        </is>
      </c>
      <c r="CB66" s="54" t="inlineStr">
        <is>
          <t>Tít. Públicos</t>
        </is>
      </c>
      <c r="CC66" s="54" t="inlineStr">
        <is>
          <t>Produção Tot.</t>
        </is>
      </c>
      <c r="CD66" s="54" t="inlineStr">
        <is>
          <t>Obs.</t>
        </is>
      </c>
      <c r="CE66" s="54" t="inlineStr">
        <is>
          <t>Saldo Pulso</t>
        </is>
      </c>
      <c r="CF66" s="54" t="inlineStr">
        <is>
          <t>Saldo Anterior</t>
        </is>
      </c>
      <c r="CG66" s="54" t="inlineStr">
        <is>
          <t>Captação Líq.</t>
        </is>
      </c>
      <c r="CH66" s="54" t="inlineStr">
        <is>
          <t>COE</t>
        </is>
      </c>
      <c r="CI66" s="54" t="inlineStr">
        <is>
          <t>Previdência</t>
        </is>
      </c>
      <c r="CJ66" s="54" t="inlineStr">
        <is>
          <t>Créd. Privado</t>
        </is>
      </c>
      <c r="CK66" s="54" t="inlineStr">
        <is>
          <t>Tít. Públicos</t>
        </is>
      </c>
      <c r="CL66" s="54" t="inlineStr">
        <is>
          <t>Produção Tot.</t>
        </is>
      </c>
      <c r="CM66" s="54" t="inlineStr">
        <is>
          <t>Obs.</t>
        </is>
      </c>
      <c r="CN66" s="54" t="inlineStr">
        <is>
          <t>Saldo Pulso</t>
        </is>
      </c>
      <c r="CO66" s="54" t="inlineStr">
        <is>
          <t>Saldo Anterior</t>
        </is>
      </c>
      <c r="CP66" s="54" t="inlineStr">
        <is>
          <t>Captação Líq.</t>
        </is>
      </c>
      <c r="CQ66" s="54" t="inlineStr">
        <is>
          <t>COE</t>
        </is>
      </c>
      <c r="CR66" s="54" t="inlineStr">
        <is>
          <t>Previdência</t>
        </is>
      </c>
      <c r="CS66" s="54" t="inlineStr">
        <is>
          <t>Créd. Privado</t>
        </is>
      </c>
      <c r="CT66" s="54" t="inlineStr">
        <is>
          <t>Tít. Públicos</t>
        </is>
      </c>
      <c r="CU66" s="54" t="inlineStr">
        <is>
          <t>Produção Tot.</t>
        </is>
      </c>
      <c r="CV66" s="54" t="inlineStr">
        <is>
          <t>Obs.</t>
        </is>
      </c>
      <c r="CW66" s="54" t="inlineStr">
        <is>
          <t>Saldo Pulso</t>
        </is>
      </c>
      <c r="CX66" s="54" t="inlineStr">
        <is>
          <t>Saldo Anterior</t>
        </is>
      </c>
      <c r="CY66" s="54" t="inlineStr">
        <is>
          <t>Captação Líq.</t>
        </is>
      </c>
      <c r="CZ66" s="54" t="inlineStr">
        <is>
          <t>COE</t>
        </is>
      </c>
      <c r="DA66" s="54" t="inlineStr">
        <is>
          <t>Previdência</t>
        </is>
      </c>
      <c r="DB66" s="54" t="inlineStr">
        <is>
          <t>Créd. Privado</t>
        </is>
      </c>
      <c r="DC66" s="54" t="inlineStr">
        <is>
          <t>Tít. Públicos</t>
        </is>
      </c>
      <c r="DD66" s="54" t="inlineStr">
        <is>
          <t>Produção Tot.</t>
        </is>
      </c>
      <c r="DE66" s="54" t="inlineStr">
        <is>
          <t>Obs.</t>
        </is>
      </c>
      <c r="DF66" s="54" t="inlineStr">
        <is>
          <t>Saldo Pulso</t>
        </is>
      </c>
      <c r="DG66" s="54" t="inlineStr">
        <is>
          <t>Saldo Anterior</t>
        </is>
      </c>
      <c r="DH66" s="54" t="inlineStr">
        <is>
          <t>Captação Líq.</t>
        </is>
      </c>
      <c r="DI66" s="54" t="inlineStr">
        <is>
          <t>COE</t>
        </is>
      </c>
      <c r="DJ66" s="54" t="inlineStr">
        <is>
          <t>Previdência</t>
        </is>
      </c>
      <c r="DK66" s="54" t="inlineStr">
        <is>
          <t>Créd. Privado</t>
        </is>
      </c>
      <c r="DL66" s="54" t="inlineStr">
        <is>
          <t>Tít. Públicos</t>
        </is>
      </c>
      <c r="DM66" s="54" t="inlineStr">
        <is>
          <t>Produção Tot.</t>
        </is>
      </c>
      <c r="DN66" s="54" t="inlineStr">
        <is>
          <t>Obs.</t>
        </is>
      </c>
      <c r="DO66" s="54" t="inlineStr">
        <is>
          <t>Saldo Pulso</t>
        </is>
      </c>
      <c r="DP66" s="54" t="inlineStr">
        <is>
          <t>Saldo Anterior</t>
        </is>
      </c>
      <c r="DQ66" s="54" t="inlineStr">
        <is>
          <t>Captação Líq.</t>
        </is>
      </c>
      <c r="DR66" s="54" t="inlineStr">
        <is>
          <t>COE</t>
        </is>
      </c>
      <c r="DS66" s="54" t="inlineStr">
        <is>
          <t>Previdência</t>
        </is>
      </c>
      <c r="DT66" s="54" t="inlineStr">
        <is>
          <t>Créd. Privado</t>
        </is>
      </c>
      <c r="DU66" s="54" t="inlineStr">
        <is>
          <t>Tít. Públicos</t>
        </is>
      </c>
      <c r="DV66" s="54" t="inlineStr">
        <is>
          <t>Produção Tot.</t>
        </is>
      </c>
      <c r="DW66" s="54" t="inlineStr">
        <is>
          <t>Obs.</t>
        </is>
      </c>
      <c r="DX66" s="54" t="inlineStr">
        <is>
          <t>Saldo Pulso</t>
        </is>
      </c>
      <c r="DY66" s="54" t="inlineStr">
        <is>
          <t>Saldo Anterior</t>
        </is>
      </c>
      <c r="DZ66" s="54" t="inlineStr">
        <is>
          <t>Captação Líq.</t>
        </is>
      </c>
      <c r="EA66" s="54" t="inlineStr">
        <is>
          <t>COE</t>
        </is>
      </c>
      <c r="EB66" s="54" t="inlineStr">
        <is>
          <t>Previdência</t>
        </is>
      </c>
      <c r="EC66" s="54" t="inlineStr">
        <is>
          <t>Créd. Privado</t>
        </is>
      </c>
      <c r="ED66" s="54" t="inlineStr">
        <is>
          <t>Tít. Públicos</t>
        </is>
      </c>
      <c r="EE66" s="54" t="inlineStr">
        <is>
          <t>Produção Tot.</t>
        </is>
      </c>
      <c r="EF66" s="54" t="inlineStr">
        <is>
          <t>Obs.</t>
        </is>
      </c>
      <c r="EG66" s="54" t="inlineStr">
        <is>
          <t>Saldo Pulso</t>
        </is>
      </c>
      <c r="EH66" s="54" t="inlineStr">
        <is>
          <t>Saldo Anterior</t>
        </is>
      </c>
      <c r="EI66" s="54" t="inlineStr">
        <is>
          <t>Captação Líq.</t>
        </is>
      </c>
      <c r="EJ66" s="54" t="inlineStr">
        <is>
          <t>COE</t>
        </is>
      </c>
      <c r="EK66" s="54" t="inlineStr">
        <is>
          <t>Previdência</t>
        </is>
      </c>
      <c r="EL66" s="54" t="inlineStr">
        <is>
          <t>Créd. Privado</t>
        </is>
      </c>
      <c r="EM66" s="54" t="inlineStr">
        <is>
          <t>Tít. Públicos</t>
        </is>
      </c>
      <c r="EN66" s="54" t="inlineStr">
        <is>
          <t>Produção Tot.</t>
        </is>
      </c>
      <c r="EO66" s="54" t="inlineStr">
        <is>
          <t>Obs.</t>
        </is>
      </c>
      <c r="EP66" s="54" t="inlineStr">
        <is>
          <t>Saldo Pulso</t>
        </is>
      </c>
      <c r="EQ66" s="54" t="inlineStr">
        <is>
          <t>Saldo Anterior</t>
        </is>
      </c>
      <c r="ER66" s="54" t="inlineStr">
        <is>
          <t>Captação Líq.</t>
        </is>
      </c>
      <c r="ES66" s="54" t="inlineStr">
        <is>
          <t>COE</t>
        </is>
      </c>
      <c r="ET66" s="54" t="inlineStr">
        <is>
          <t>Previdência</t>
        </is>
      </c>
      <c r="EU66" s="54" t="inlineStr">
        <is>
          <t>Créd. Privado</t>
        </is>
      </c>
      <c r="EV66" s="54" t="inlineStr">
        <is>
          <t>Tít. Públicos</t>
        </is>
      </c>
      <c r="EW66" s="54" t="inlineStr">
        <is>
          <t>Produção Tot.</t>
        </is>
      </c>
      <c r="EX66" s="54" t="inlineStr">
        <is>
          <t>Obs.</t>
        </is>
      </c>
      <c r="EY66" s="54" t="inlineStr">
        <is>
          <t>Saldo Pulso</t>
        </is>
      </c>
      <c r="EZ66" s="54" t="inlineStr">
        <is>
          <t>Saldo Anterior</t>
        </is>
      </c>
      <c r="FA66" s="54" t="inlineStr">
        <is>
          <t>Captação Líq.</t>
        </is>
      </c>
      <c r="FB66" s="54" t="inlineStr">
        <is>
          <t>COE</t>
        </is>
      </c>
      <c r="FC66" s="54" t="inlineStr">
        <is>
          <t>Previdência</t>
        </is>
      </c>
      <c r="FD66" s="54" t="inlineStr">
        <is>
          <t>Créd. Privado</t>
        </is>
      </c>
      <c r="FE66" s="54" t="inlineStr">
        <is>
          <t>Tít. Públicos</t>
        </is>
      </c>
      <c r="FF66" s="54" t="inlineStr">
        <is>
          <t>Produção Tot.</t>
        </is>
      </c>
      <c r="FG66" s="54" t="inlineStr">
        <is>
          <t>Obs.</t>
        </is>
      </c>
      <c r="FH66" s="54" t="inlineStr">
        <is>
          <t>Saldo Pulso</t>
        </is>
      </c>
      <c r="FI66" s="54" t="inlineStr">
        <is>
          <t>Saldo Anterior</t>
        </is>
      </c>
      <c r="FJ66" s="54" t="inlineStr">
        <is>
          <t>Captação Líq.</t>
        </is>
      </c>
      <c r="FK66" s="54" t="inlineStr">
        <is>
          <t>COE</t>
        </is>
      </c>
      <c r="FL66" s="54" t="inlineStr">
        <is>
          <t>Previdência</t>
        </is>
      </c>
      <c r="FM66" s="54" t="inlineStr">
        <is>
          <t>Créd. Privado</t>
        </is>
      </c>
      <c r="FN66" s="54" t="inlineStr">
        <is>
          <t>Tít. Públicos</t>
        </is>
      </c>
      <c r="FO66" s="54" t="inlineStr">
        <is>
          <t>Produção Tot.</t>
        </is>
      </c>
      <c r="FP66" s="54" t="inlineStr">
        <is>
          <t>Obs.</t>
        </is>
      </c>
      <c r="FQ66" s="54" t="inlineStr">
        <is>
          <t>Saldo Pulso</t>
        </is>
      </c>
      <c r="FR66" s="54" t="inlineStr">
        <is>
          <t>Saldo Anterior</t>
        </is>
      </c>
      <c r="FS66" s="54" t="inlineStr">
        <is>
          <t>Captação Líq.</t>
        </is>
      </c>
      <c r="FT66" s="54" t="inlineStr">
        <is>
          <t>COE</t>
        </is>
      </c>
      <c r="FU66" s="54" t="inlineStr">
        <is>
          <t>Previdência</t>
        </is>
      </c>
      <c r="FV66" s="54" t="inlineStr">
        <is>
          <t>Créd. Privado</t>
        </is>
      </c>
      <c r="FW66" s="54" t="inlineStr">
        <is>
          <t>Tít. Públicos</t>
        </is>
      </c>
      <c r="FX66" s="54" t="inlineStr">
        <is>
          <t>Produção Tot.</t>
        </is>
      </c>
      <c r="FY66" s="54" t="inlineStr">
        <is>
          <t>Obs.</t>
        </is>
      </c>
      <c r="FZ66" s="54" t="inlineStr">
        <is>
          <t>Saldo Pulso</t>
        </is>
      </c>
      <c r="GA66" s="54" t="inlineStr">
        <is>
          <t>Saldo Anterior</t>
        </is>
      </c>
      <c r="GB66" s="54" t="inlineStr">
        <is>
          <t>Captação Líq.</t>
        </is>
      </c>
      <c r="GC66" s="54" t="inlineStr">
        <is>
          <t>COE</t>
        </is>
      </c>
      <c r="GD66" s="54" t="inlineStr">
        <is>
          <t>Previdência</t>
        </is>
      </c>
      <c r="GE66" s="54" t="inlineStr">
        <is>
          <t>Créd. Privado</t>
        </is>
      </c>
      <c r="GF66" s="54" t="inlineStr">
        <is>
          <t>Tít. Públicos</t>
        </is>
      </c>
      <c r="GG66" s="54" t="inlineStr">
        <is>
          <t>Produção Tot.</t>
        </is>
      </c>
      <c r="GH66" s="54" t="inlineStr">
        <is>
          <t>Obs.</t>
        </is>
      </c>
      <c r="GI66" s="54" t="inlineStr">
        <is>
          <t>Saldo Pulso</t>
        </is>
      </c>
      <c r="GJ66" s="54" t="inlineStr">
        <is>
          <t>Saldo Anterior</t>
        </is>
      </c>
      <c r="GK66" s="54" t="inlineStr">
        <is>
          <t>Captação Líq.</t>
        </is>
      </c>
      <c r="GL66" s="54" t="inlineStr">
        <is>
          <t>COE</t>
        </is>
      </c>
      <c r="GM66" s="54" t="inlineStr">
        <is>
          <t>Previdência</t>
        </is>
      </c>
      <c r="GN66" s="54" t="inlineStr">
        <is>
          <t>Créd. Privado</t>
        </is>
      </c>
      <c r="GO66" s="54" t="inlineStr">
        <is>
          <t>Tít. Públicos</t>
        </is>
      </c>
      <c r="GP66" s="54" t="inlineStr">
        <is>
          <t>Produção Tot.</t>
        </is>
      </c>
      <c r="GQ66" s="54" t="inlineStr">
        <is>
          <t>Obs.</t>
        </is>
      </c>
      <c r="GR66" s="54" t="inlineStr">
        <is>
          <t>Saldo Pulso</t>
        </is>
      </c>
      <c r="GS66" s="54" t="inlineStr">
        <is>
          <t>Saldo Anterior</t>
        </is>
      </c>
      <c r="GT66" s="54" t="inlineStr">
        <is>
          <t>Captação Líq.</t>
        </is>
      </c>
      <c r="GU66" s="54" t="inlineStr">
        <is>
          <t>COE</t>
        </is>
      </c>
      <c r="GV66" s="54" t="inlineStr">
        <is>
          <t>Previdência</t>
        </is>
      </c>
      <c r="GW66" s="54" t="inlineStr">
        <is>
          <t>Créd. Privado</t>
        </is>
      </c>
      <c r="GX66" s="54" t="inlineStr">
        <is>
          <t>Tít. Públicos</t>
        </is>
      </c>
      <c r="GY66" s="54" t="inlineStr">
        <is>
          <t>Produção Tot.</t>
        </is>
      </c>
      <c r="GZ66" s="54" t="inlineStr">
        <is>
          <t>Obs.</t>
        </is>
      </c>
      <c r="HA66" s="54" t="inlineStr">
        <is>
          <t>Saldo Pulso</t>
        </is>
      </c>
      <c r="HB66" s="54" t="inlineStr">
        <is>
          <t>Saldo Anterior</t>
        </is>
      </c>
      <c r="HC66" s="54" t="inlineStr">
        <is>
          <t>Captação Líq.</t>
        </is>
      </c>
      <c r="HD66" s="54" t="inlineStr">
        <is>
          <t>COE</t>
        </is>
      </c>
      <c r="HE66" s="54" t="inlineStr">
        <is>
          <t>Previdência</t>
        </is>
      </c>
      <c r="HF66" s="54" t="inlineStr">
        <is>
          <t>Créd. Privado</t>
        </is>
      </c>
      <c r="HG66" s="54" t="inlineStr">
        <is>
          <t>Tít. Públicos</t>
        </is>
      </c>
      <c r="HH66" s="54" t="inlineStr">
        <is>
          <t>Produção Tot.</t>
        </is>
      </c>
      <c r="HI66" s="54" t="inlineStr">
        <is>
          <t>Obs.</t>
        </is>
      </c>
      <c r="HJ66" s="54" t="inlineStr">
        <is>
          <t>Saldo Pulso</t>
        </is>
      </c>
      <c r="HK66" s="54" t="inlineStr">
        <is>
          <t>Saldo Anterior</t>
        </is>
      </c>
      <c r="HL66" s="54" t="inlineStr">
        <is>
          <t>Captação Líq.</t>
        </is>
      </c>
      <c r="HM66" s="54" t="inlineStr">
        <is>
          <t>COE</t>
        </is>
      </c>
      <c r="HN66" s="54" t="inlineStr">
        <is>
          <t>Previdência</t>
        </is>
      </c>
      <c r="HO66" s="54" t="inlineStr">
        <is>
          <t>Créd. Privado</t>
        </is>
      </c>
      <c r="HP66" s="54" t="inlineStr">
        <is>
          <t>Tít. Públicos</t>
        </is>
      </c>
      <c r="HQ66" s="54" t="inlineStr">
        <is>
          <t>Produção Tot.</t>
        </is>
      </c>
      <c r="HR66" s="54" t="inlineStr">
        <is>
          <t>Obs.</t>
        </is>
      </c>
      <c r="HS66" s="54" t="inlineStr">
        <is>
          <t>Saldo Pulso</t>
        </is>
      </c>
      <c r="HT66" s="54" t="inlineStr">
        <is>
          <t>Saldo Anterior</t>
        </is>
      </c>
      <c r="HU66" s="54" t="inlineStr">
        <is>
          <t>Captação Líq.</t>
        </is>
      </c>
      <c r="HV66" s="54" t="inlineStr">
        <is>
          <t>COE</t>
        </is>
      </c>
      <c r="HW66" s="54" t="inlineStr">
        <is>
          <t>Previdência</t>
        </is>
      </c>
      <c r="HX66" s="54" t="inlineStr">
        <is>
          <t>Créd. Privado</t>
        </is>
      </c>
      <c r="HY66" s="54" t="inlineStr">
        <is>
          <t>Tít. Públicos</t>
        </is>
      </c>
      <c r="HZ66" s="54" t="inlineStr">
        <is>
          <t>Produção Tot.</t>
        </is>
      </c>
      <c r="IA66" s="54" t="inlineStr">
        <is>
          <t>Obs.</t>
        </is>
      </c>
      <c r="IB66" s="54" t="inlineStr">
        <is>
          <t>Saldo Pulso</t>
        </is>
      </c>
      <c r="IC66" s="54" t="inlineStr">
        <is>
          <t>Saldo Anterior</t>
        </is>
      </c>
      <c r="ID66" s="54" t="inlineStr">
        <is>
          <t>Captação Líq.</t>
        </is>
      </c>
      <c r="IE66" s="54" t="inlineStr">
        <is>
          <t>COE</t>
        </is>
      </c>
      <c r="IF66" s="54" t="inlineStr">
        <is>
          <t>Previdência</t>
        </is>
      </c>
      <c r="IG66" s="54" t="inlineStr">
        <is>
          <t>Créd. Privado</t>
        </is>
      </c>
      <c r="IH66" s="54" t="inlineStr">
        <is>
          <t>Tít. Públicos</t>
        </is>
      </c>
      <c r="II66" s="54" t="inlineStr">
        <is>
          <t>Produção Tot.</t>
        </is>
      </c>
      <c r="IJ66" s="54" t="inlineStr">
        <is>
          <t>Obs.</t>
        </is>
      </c>
      <c r="IK66" s="54" t="inlineStr">
        <is>
          <t>Saldo Pulso</t>
        </is>
      </c>
      <c r="IL66" s="54" t="inlineStr">
        <is>
          <t>Saldo Anterior</t>
        </is>
      </c>
      <c r="IM66" s="54" t="inlineStr">
        <is>
          <t>Captação Líq.</t>
        </is>
      </c>
      <c r="IN66" s="54" t="inlineStr">
        <is>
          <t>COE</t>
        </is>
      </c>
      <c r="IO66" s="54" t="inlineStr">
        <is>
          <t>Previdência</t>
        </is>
      </c>
      <c r="IP66" s="54" t="inlineStr">
        <is>
          <t>Créd. Privado</t>
        </is>
      </c>
      <c r="IQ66" s="54" t="inlineStr">
        <is>
          <t>Tít. Públicos</t>
        </is>
      </c>
      <c r="IR66" s="54" t="inlineStr">
        <is>
          <t>Produção Tot.</t>
        </is>
      </c>
      <c r="IS66" s="54" t="inlineStr">
        <is>
          <t>Obs.</t>
        </is>
      </c>
      <c r="IT66" s="54" t="inlineStr">
        <is>
          <t>Saldo Pulso</t>
        </is>
      </c>
      <c r="IU66" s="54" t="inlineStr">
        <is>
          <t>Saldo Anterior</t>
        </is>
      </c>
      <c r="IV66" s="54" t="inlineStr">
        <is>
          <t>Captação Líq.</t>
        </is>
      </c>
      <c r="IW66" s="54" t="inlineStr">
        <is>
          <t>COE</t>
        </is>
      </c>
      <c r="IX66" s="54" t="inlineStr">
        <is>
          <t>Previdência</t>
        </is>
      </c>
      <c r="IY66" s="54" t="inlineStr">
        <is>
          <t>Créd. Privado</t>
        </is>
      </c>
      <c r="IZ66" s="54" t="inlineStr">
        <is>
          <t>Tít. Públicos</t>
        </is>
      </c>
      <c r="JA66" s="54" t="inlineStr">
        <is>
          <t>Produção Tot.</t>
        </is>
      </c>
      <c r="JB66" s="54" t="inlineStr">
        <is>
          <t>Obs.</t>
        </is>
      </c>
      <c r="JC66" s="54" t="inlineStr">
        <is>
          <t>Saldo Pulso</t>
        </is>
      </c>
      <c r="JD66" s="54" t="inlineStr">
        <is>
          <t>Saldo Anterior</t>
        </is>
      </c>
      <c r="JE66" s="54" t="inlineStr">
        <is>
          <t>Captação Líq.</t>
        </is>
      </c>
      <c r="JF66" s="54" t="inlineStr">
        <is>
          <t>COE</t>
        </is>
      </c>
      <c r="JG66" s="54" t="inlineStr">
        <is>
          <t>Previdência</t>
        </is>
      </c>
      <c r="JH66" s="54" t="inlineStr">
        <is>
          <t>Créd. Privado</t>
        </is>
      </c>
      <c r="JI66" s="54" t="inlineStr">
        <is>
          <t>Tít. Públicos</t>
        </is>
      </c>
      <c r="JJ66" s="54" t="inlineStr">
        <is>
          <t>Produção Tot.</t>
        </is>
      </c>
      <c r="JK66" s="54" t="inlineStr">
        <is>
          <t>Obs.</t>
        </is>
      </c>
      <c r="JL66" s="54" t="inlineStr">
        <is>
          <t>Saldo Pulso</t>
        </is>
      </c>
      <c r="JM66" s="54" t="inlineStr">
        <is>
          <t>Saldo Anterior</t>
        </is>
      </c>
      <c r="JN66" s="54" t="inlineStr">
        <is>
          <t>Captação Líq.</t>
        </is>
      </c>
      <c r="JO66" s="54" t="inlineStr">
        <is>
          <t>COE</t>
        </is>
      </c>
      <c r="JP66" s="54" t="inlineStr">
        <is>
          <t>Previdência</t>
        </is>
      </c>
      <c r="JQ66" s="54" t="inlineStr">
        <is>
          <t>Créd. Privado</t>
        </is>
      </c>
      <c r="JR66" s="54" t="inlineStr">
        <is>
          <t>Tít. Públicos</t>
        </is>
      </c>
      <c r="JS66" s="54" t="inlineStr">
        <is>
          <t>Produção Tot.</t>
        </is>
      </c>
      <c r="JT66" s="54" t="inlineStr">
        <is>
          <t>Obs.</t>
        </is>
      </c>
      <c r="JU66" s="55" t="n"/>
      <c r="JV66" s="55" t="n"/>
      <c r="JW66" s="55" t="n"/>
      <c r="JX66" s="55" t="n"/>
      <c r="JY66" s="55" t="n"/>
      <c r="JZ66" s="55" t="n"/>
      <c r="KA66" s="55" t="n"/>
    </row>
    <row r="67" ht="20" customHeight="1">
      <c r="A67" s="56">
        <f>IF(Configurações!$B$7="","Assessor 1",Configurações!$B$7)</f>
        <v/>
      </c>
      <c r="B67" s="57" t="n"/>
      <c r="C67" s="58">
        <f>'Julho'!$JW67</f>
        <v/>
      </c>
      <c r="D67" s="59" t="n"/>
      <c r="E67" s="57" t="n"/>
      <c r="F67" s="57" t="n"/>
      <c r="G67" s="57" t="n"/>
      <c r="H67" s="57" t="n"/>
      <c r="I67" s="60">
        <f>SUM(E67:H67)</f>
        <v/>
      </c>
      <c r="J67" s="61" t="n"/>
      <c r="K67" s="57" t="n"/>
      <c r="L67" s="58">
        <f>B67</f>
        <v/>
      </c>
      <c r="M67" s="59" t="n"/>
      <c r="N67" s="57" t="n"/>
      <c r="O67" s="57" t="n"/>
      <c r="P67" s="57" t="n"/>
      <c r="Q67" s="57" t="n"/>
      <c r="R67" s="60">
        <f>SUM(N67:Q67)</f>
        <v/>
      </c>
      <c r="S67" s="61" t="n"/>
      <c r="T67" s="57" t="n"/>
      <c r="U67" s="58">
        <f>K67</f>
        <v/>
      </c>
      <c r="V67" s="59" t="n"/>
      <c r="W67" s="57" t="n"/>
      <c r="X67" s="57" t="n"/>
      <c r="Y67" s="57" t="n"/>
      <c r="Z67" s="57" t="n"/>
      <c r="AA67" s="60">
        <f>SUM(W67:Z67)</f>
        <v/>
      </c>
      <c r="AB67" s="61" t="n"/>
      <c r="AC67" s="57" t="n"/>
      <c r="AD67" s="58">
        <f>T67</f>
        <v/>
      </c>
      <c r="AE67" s="59" t="n"/>
      <c r="AF67" s="57" t="n"/>
      <c r="AG67" s="57" t="n"/>
      <c r="AH67" s="57" t="n"/>
      <c r="AI67" s="57" t="n"/>
      <c r="AJ67" s="60">
        <f>SUM(AF67:AI67)</f>
        <v/>
      </c>
      <c r="AK67" s="61" t="n"/>
      <c r="AL67" s="57" t="n"/>
      <c r="AM67" s="58">
        <f>AC67</f>
        <v/>
      </c>
      <c r="AN67" s="59" t="n"/>
      <c r="AO67" s="57" t="n"/>
      <c r="AP67" s="57" t="n"/>
      <c r="AQ67" s="57" t="n"/>
      <c r="AR67" s="57" t="n"/>
      <c r="AS67" s="60">
        <f>SUM(AO67:AR67)</f>
        <v/>
      </c>
      <c r="AT67" s="61" t="n"/>
      <c r="AU67" s="57" t="n"/>
      <c r="AV67" s="58">
        <f>AL67</f>
        <v/>
      </c>
      <c r="AW67" s="59" t="n"/>
      <c r="AX67" s="57" t="n"/>
      <c r="AY67" s="57" t="n"/>
      <c r="AZ67" s="57" t="n"/>
      <c r="BA67" s="57" t="n"/>
      <c r="BB67" s="60">
        <f>SUM(AX67:BA67)</f>
        <v/>
      </c>
      <c r="BC67" s="61" t="n"/>
      <c r="BD67" s="57" t="n"/>
      <c r="BE67" s="58">
        <f>AU67</f>
        <v/>
      </c>
      <c r="BF67" s="59" t="n"/>
      <c r="BG67" s="57" t="n"/>
      <c r="BH67" s="57" t="n"/>
      <c r="BI67" s="57" t="n"/>
      <c r="BJ67" s="57" t="n"/>
      <c r="BK67" s="60">
        <f>SUM(BG67:BJ67)</f>
        <v/>
      </c>
      <c r="BL67" s="61" t="n"/>
      <c r="BM67" s="57" t="n"/>
      <c r="BN67" s="58">
        <f>BD67</f>
        <v/>
      </c>
      <c r="BO67" s="59" t="n"/>
      <c r="BP67" s="57" t="n"/>
      <c r="BQ67" s="57" t="n"/>
      <c r="BR67" s="57" t="n"/>
      <c r="BS67" s="57" t="n"/>
      <c r="BT67" s="60">
        <f>SUM(BP67:BS67)</f>
        <v/>
      </c>
      <c r="BU67" s="61" t="n"/>
      <c r="BV67" s="57" t="n"/>
      <c r="BW67" s="58">
        <f>BM67</f>
        <v/>
      </c>
      <c r="BX67" s="59" t="n"/>
      <c r="BY67" s="57" t="n"/>
      <c r="BZ67" s="57" t="n"/>
      <c r="CA67" s="57" t="n"/>
      <c r="CB67" s="57" t="n"/>
      <c r="CC67" s="60">
        <f>SUM(BY67:CB67)</f>
        <v/>
      </c>
      <c r="CD67" s="61" t="n"/>
      <c r="CE67" s="57" t="n"/>
      <c r="CF67" s="58">
        <f>BV67</f>
        <v/>
      </c>
      <c r="CG67" s="59" t="n"/>
      <c r="CH67" s="57" t="n"/>
      <c r="CI67" s="57" t="n"/>
      <c r="CJ67" s="57" t="n"/>
      <c r="CK67" s="57" t="n"/>
      <c r="CL67" s="60">
        <f>SUM(CH67:CK67)</f>
        <v/>
      </c>
      <c r="CM67" s="61" t="n"/>
      <c r="CN67" s="57" t="n"/>
      <c r="CO67" s="58">
        <f>CE67</f>
        <v/>
      </c>
      <c r="CP67" s="59" t="n"/>
      <c r="CQ67" s="57" t="n"/>
      <c r="CR67" s="57" t="n"/>
      <c r="CS67" s="57" t="n"/>
      <c r="CT67" s="57" t="n"/>
      <c r="CU67" s="60">
        <f>SUM(CQ67:CT67)</f>
        <v/>
      </c>
      <c r="CV67" s="61" t="n"/>
      <c r="CW67" s="57" t="n"/>
      <c r="CX67" s="58">
        <f>CN67</f>
        <v/>
      </c>
      <c r="CY67" s="59" t="n"/>
      <c r="CZ67" s="57" t="n"/>
      <c r="DA67" s="57" t="n"/>
      <c r="DB67" s="57" t="n"/>
      <c r="DC67" s="57" t="n"/>
      <c r="DD67" s="60">
        <f>SUM(CZ67:DC67)</f>
        <v/>
      </c>
      <c r="DE67" s="61" t="n"/>
      <c r="DF67" s="57" t="n"/>
      <c r="DG67" s="58">
        <f>CW67</f>
        <v/>
      </c>
      <c r="DH67" s="59" t="n"/>
      <c r="DI67" s="57" t="n"/>
      <c r="DJ67" s="57" t="n"/>
      <c r="DK67" s="57" t="n"/>
      <c r="DL67" s="57" t="n"/>
      <c r="DM67" s="60">
        <f>SUM(DI67:DL67)</f>
        <v/>
      </c>
      <c r="DN67" s="61" t="n"/>
      <c r="DO67" s="57" t="n"/>
      <c r="DP67" s="58">
        <f>DF67</f>
        <v/>
      </c>
      <c r="DQ67" s="59" t="n"/>
      <c r="DR67" s="57" t="n"/>
      <c r="DS67" s="57" t="n"/>
      <c r="DT67" s="57" t="n"/>
      <c r="DU67" s="57" t="n"/>
      <c r="DV67" s="60">
        <f>SUM(DR67:DU67)</f>
        <v/>
      </c>
      <c r="DW67" s="61" t="n"/>
      <c r="DX67" s="57" t="n"/>
      <c r="DY67" s="58">
        <f>DO67</f>
        <v/>
      </c>
      <c r="DZ67" s="59" t="n"/>
      <c r="EA67" s="57" t="n"/>
      <c r="EB67" s="57" t="n"/>
      <c r="EC67" s="57" t="n"/>
      <c r="ED67" s="57" t="n"/>
      <c r="EE67" s="60">
        <f>SUM(EA67:ED67)</f>
        <v/>
      </c>
      <c r="EF67" s="61" t="n"/>
      <c r="EG67" s="57" t="n"/>
      <c r="EH67" s="58">
        <f>DX67</f>
        <v/>
      </c>
      <c r="EI67" s="59" t="n"/>
      <c r="EJ67" s="57" t="n"/>
      <c r="EK67" s="57" t="n"/>
      <c r="EL67" s="57" t="n"/>
      <c r="EM67" s="57" t="n"/>
      <c r="EN67" s="60">
        <f>SUM(EJ67:EM67)</f>
        <v/>
      </c>
      <c r="EO67" s="61" t="n"/>
      <c r="EP67" s="57" t="n"/>
      <c r="EQ67" s="58">
        <f>EG67</f>
        <v/>
      </c>
      <c r="ER67" s="59" t="n"/>
      <c r="ES67" s="57" t="n"/>
      <c r="ET67" s="57" t="n"/>
      <c r="EU67" s="57" t="n"/>
      <c r="EV67" s="57" t="n"/>
      <c r="EW67" s="60">
        <f>SUM(ES67:EV67)</f>
        <v/>
      </c>
      <c r="EX67" s="61" t="n"/>
      <c r="EY67" s="57" t="n"/>
      <c r="EZ67" s="58">
        <f>EP67</f>
        <v/>
      </c>
      <c r="FA67" s="59" t="n"/>
      <c r="FB67" s="57" t="n"/>
      <c r="FC67" s="57" t="n"/>
      <c r="FD67" s="57" t="n"/>
      <c r="FE67" s="57" t="n"/>
      <c r="FF67" s="60">
        <f>SUM(FB67:FE67)</f>
        <v/>
      </c>
      <c r="FG67" s="61" t="n"/>
      <c r="FH67" s="57" t="n"/>
      <c r="FI67" s="58">
        <f>EY67</f>
        <v/>
      </c>
      <c r="FJ67" s="59" t="n"/>
      <c r="FK67" s="57" t="n"/>
      <c r="FL67" s="57" t="n"/>
      <c r="FM67" s="57" t="n"/>
      <c r="FN67" s="57" t="n"/>
      <c r="FO67" s="60">
        <f>SUM(FK67:FN67)</f>
        <v/>
      </c>
      <c r="FP67" s="61" t="n"/>
      <c r="FQ67" s="57" t="n"/>
      <c r="FR67" s="58">
        <f>FH67</f>
        <v/>
      </c>
      <c r="FS67" s="59" t="n"/>
      <c r="FT67" s="57" t="n"/>
      <c r="FU67" s="57" t="n"/>
      <c r="FV67" s="57" t="n"/>
      <c r="FW67" s="57" t="n"/>
      <c r="FX67" s="60">
        <f>SUM(FT67:FW67)</f>
        <v/>
      </c>
      <c r="FY67" s="61" t="n"/>
      <c r="FZ67" s="57" t="n"/>
      <c r="GA67" s="58">
        <f>FQ67</f>
        <v/>
      </c>
      <c r="GB67" s="59" t="n"/>
      <c r="GC67" s="57" t="n"/>
      <c r="GD67" s="57" t="n"/>
      <c r="GE67" s="57" t="n"/>
      <c r="GF67" s="57" t="n"/>
      <c r="GG67" s="60">
        <f>SUM(GC67:GF67)</f>
        <v/>
      </c>
      <c r="GH67" s="61" t="n"/>
      <c r="GI67" s="57" t="n"/>
      <c r="GJ67" s="58">
        <f>FZ67</f>
        <v/>
      </c>
      <c r="GK67" s="59" t="n"/>
      <c r="GL67" s="57" t="n"/>
      <c r="GM67" s="57" t="n"/>
      <c r="GN67" s="57" t="n"/>
      <c r="GO67" s="57" t="n"/>
      <c r="GP67" s="60">
        <f>SUM(GL67:GO67)</f>
        <v/>
      </c>
      <c r="GQ67" s="61" t="n"/>
      <c r="GR67" s="57" t="n"/>
      <c r="GS67" s="58">
        <f>GI67</f>
        <v/>
      </c>
      <c r="GT67" s="59" t="n"/>
      <c r="GU67" s="57" t="n"/>
      <c r="GV67" s="57" t="n"/>
      <c r="GW67" s="57" t="n"/>
      <c r="GX67" s="57" t="n"/>
      <c r="GY67" s="60">
        <f>SUM(GU67:GX67)</f>
        <v/>
      </c>
      <c r="GZ67" s="61" t="n"/>
      <c r="HA67" s="57" t="n"/>
      <c r="HB67" s="58">
        <f>GR67</f>
        <v/>
      </c>
      <c r="HC67" s="59" t="n"/>
      <c r="HD67" s="57" t="n"/>
      <c r="HE67" s="57" t="n"/>
      <c r="HF67" s="57" t="n"/>
      <c r="HG67" s="57" t="n"/>
      <c r="HH67" s="60">
        <f>SUM(HD67:HG67)</f>
        <v/>
      </c>
      <c r="HI67" s="61" t="n"/>
      <c r="HJ67" s="57" t="n"/>
      <c r="HK67" s="58">
        <f>HA67</f>
        <v/>
      </c>
      <c r="HL67" s="59" t="n"/>
      <c r="HM67" s="57" t="n"/>
      <c r="HN67" s="57" t="n"/>
      <c r="HO67" s="57" t="n"/>
      <c r="HP67" s="57" t="n"/>
      <c r="HQ67" s="60">
        <f>SUM(HM67:HP67)</f>
        <v/>
      </c>
      <c r="HR67" s="61" t="n"/>
      <c r="HS67" s="57" t="n"/>
      <c r="HT67" s="58">
        <f>HJ67</f>
        <v/>
      </c>
      <c r="HU67" s="59" t="n"/>
      <c r="HV67" s="57" t="n"/>
      <c r="HW67" s="57" t="n"/>
      <c r="HX67" s="57" t="n"/>
      <c r="HY67" s="57" t="n"/>
      <c r="HZ67" s="60">
        <f>SUM(HV67:HY67)</f>
        <v/>
      </c>
      <c r="IA67" s="61" t="n"/>
      <c r="IB67" s="57" t="n"/>
      <c r="IC67" s="58">
        <f>HS67</f>
        <v/>
      </c>
      <c r="ID67" s="59" t="n"/>
      <c r="IE67" s="57" t="n"/>
      <c r="IF67" s="57" t="n"/>
      <c r="IG67" s="57" t="n"/>
      <c r="IH67" s="57" t="n"/>
      <c r="II67" s="60">
        <f>SUM(IE67:IH67)</f>
        <v/>
      </c>
      <c r="IJ67" s="61" t="n"/>
      <c r="IK67" s="57" t="n"/>
      <c r="IL67" s="58">
        <f>IB67</f>
        <v/>
      </c>
      <c r="IM67" s="59" t="n"/>
      <c r="IN67" s="57" t="n"/>
      <c r="IO67" s="57" t="n"/>
      <c r="IP67" s="57" t="n"/>
      <c r="IQ67" s="57" t="n"/>
      <c r="IR67" s="60">
        <f>SUM(IN67:IQ67)</f>
        <v/>
      </c>
      <c r="IS67" s="61" t="n"/>
      <c r="IT67" s="57" t="n"/>
      <c r="IU67" s="58">
        <f>IK67</f>
        <v/>
      </c>
      <c r="IV67" s="59" t="n"/>
      <c r="IW67" s="57" t="n"/>
      <c r="IX67" s="57" t="n"/>
      <c r="IY67" s="57" t="n"/>
      <c r="IZ67" s="57" t="n"/>
      <c r="JA67" s="60">
        <f>SUM(IW67:IZ67)</f>
        <v/>
      </c>
      <c r="JB67" s="61" t="n"/>
      <c r="JC67" s="57" t="n"/>
      <c r="JD67" s="58">
        <f>IT67</f>
        <v/>
      </c>
      <c r="JE67" s="59" t="n"/>
      <c r="JF67" s="57" t="n"/>
      <c r="JG67" s="57" t="n"/>
      <c r="JH67" s="57" t="n"/>
      <c r="JI67" s="57" t="n"/>
      <c r="JJ67" s="60">
        <f>SUM(JF67:JI67)</f>
        <v/>
      </c>
      <c r="JK67" s="61" t="n"/>
      <c r="JL67" s="57" t="n"/>
      <c r="JM67" s="58">
        <f>JC67</f>
        <v/>
      </c>
      <c r="JN67" s="59" t="n"/>
      <c r="JO67" s="57" t="n"/>
      <c r="JP67" s="57" t="n"/>
      <c r="JQ67" s="57" t="n"/>
      <c r="JR67" s="57" t="n"/>
      <c r="JS67" s="60">
        <f>SUM(JO67:JR67)</f>
        <v/>
      </c>
      <c r="JT67" s="61" t="n"/>
      <c r="JU67" s="62">
        <f>I67+R67+AA67+AJ67+AS67+BB67+BK67+BT67+CC67+CL67+CU67+DD67+DM67+DV67+EE67+EN67+EW67+FF67+FO67+FX67+GG67+GP67+GY67+HH67+HQ67+HZ67+II67+IR67+JA67+JJ67+JS67</f>
        <v/>
      </c>
      <c r="JV67" s="63">
        <f>D67+M67+V67+AE67+AN67+AW67+BF67+BO67+BX67+CG67+CP67+CY67+DH67+DQ67+DZ67+EI67+ER67+FA67+FJ67+FS67+GB67+GK67+GT67+HC67+HL67+HU67+ID67+IM67+IV67+JE67+JN67</f>
        <v/>
      </c>
      <c r="JW67" s="62">
        <f>CHOOSE($Z$3,B67, K67, T67, AC67, AL67, AU67, BD67, BM67, BV67, CE67, CN67, CW67, DF67, DO67, DX67, EG67, EP67, EY67, FH67, FQ67, FZ67, GI67, GR67, HA67, HJ67, HS67, IB67, IK67, IT67, JC67, JL67)</f>
        <v/>
      </c>
      <c r="JX67" s="62">
        <f>IFERROR(JU67/$Z$3,0)</f>
        <v/>
      </c>
      <c r="JY67" s="62">
        <f>Configurações!$C$7</f>
        <v/>
      </c>
      <c r="JZ67" s="64">
        <f>IF(JY67=0,"— Sem meta",IF(JU67&gt;=JY67,"✓ Atingida","Em andamento"))</f>
        <v/>
      </c>
      <c r="KA67" s="65">
        <f>JU67+(13*0.0000001)</f>
        <v/>
      </c>
    </row>
    <row r="68" ht="20" customHeight="1">
      <c r="A68" s="56">
        <f>IF(Configurações!$B$8="","Assessor 2",Configurações!$B$8)</f>
        <v/>
      </c>
      <c r="B68" s="57" t="n"/>
      <c r="C68" s="66">
        <f>'Julho'!$JW68</f>
        <v/>
      </c>
      <c r="D68" s="59" t="n"/>
      <c r="E68" s="57" t="n"/>
      <c r="F68" s="57" t="n"/>
      <c r="G68" s="57" t="n"/>
      <c r="H68" s="57" t="n"/>
      <c r="I68" s="67">
        <f>SUM(E68:H68)</f>
        <v/>
      </c>
      <c r="J68" s="61" t="n"/>
      <c r="K68" s="57" t="n"/>
      <c r="L68" s="66">
        <f>B68</f>
        <v/>
      </c>
      <c r="M68" s="59" t="n"/>
      <c r="N68" s="57" t="n"/>
      <c r="O68" s="57" t="n"/>
      <c r="P68" s="57" t="n"/>
      <c r="Q68" s="57" t="n"/>
      <c r="R68" s="67">
        <f>SUM(N68:Q68)</f>
        <v/>
      </c>
      <c r="S68" s="61" t="n"/>
      <c r="T68" s="57" t="n"/>
      <c r="U68" s="66">
        <f>K68</f>
        <v/>
      </c>
      <c r="V68" s="59" t="n"/>
      <c r="W68" s="57" t="n"/>
      <c r="X68" s="57" t="n"/>
      <c r="Y68" s="57" t="n"/>
      <c r="Z68" s="57" t="n"/>
      <c r="AA68" s="67">
        <f>SUM(W68:Z68)</f>
        <v/>
      </c>
      <c r="AB68" s="61" t="n"/>
      <c r="AC68" s="57" t="n"/>
      <c r="AD68" s="66">
        <f>T68</f>
        <v/>
      </c>
      <c r="AE68" s="59" t="n"/>
      <c r="AF68" s="57" t="n"/>
      <c r="AG68" s="57" t="n"/>
      <c r="AH68" s="57" t="n"/>
      <c r="AI68" s="57" t="n"/>
      <c r="AJ68" s="67">
        <f>SUM(AF68:AI68)</f>
        <v/>
      </c>
      <c r="AK68" s="61" t="n"/>
      <c r="AL68" s="57" t="n"/>
      <c r="AM68" s="66">
        <f>AC68</f>
        <v/>
      </c>
      <c r="AN68" s="59" t="n"/>
      <c r="AO68" s="57" t="n"/>
      <c r="AP68" s="57" t="n"/>
      <c r="AQ68" s="57" t="n"/>
      <c r="AR68" s="57" t="n"/>
      <c r="AS68" s="67">
        <f>SUM(AO68:AR68)</f>
        <v/>
      </c>
      <c r="AT68" s="61" t="n"/>
      <c r="AU68" s="57" t="n"/>
      <c r="AV68" s="66">
        <f>AL68</f>
        <v/>
      </c>
      <c r="AW68" s="59" t="n"/>
      <c r="AX68" s="57" t="n"/>
      <c r="AY68" s="57" t="n"/>
      <c r="AZ68" s="57" t="n"/>
      <c r="BA68" s="57" t="n"/>
      <c r="BB68" s="67">
        <f>SUM(AX68:BA68)</f>
        <v/>
      </c>
      <c r="BC68" s="61" t="n"/>
      <c r="BD68" s="57" t="n"/>
      <c r="BE68" s="66">
        <f>AU68</f>
        <v/>
      </c>
      <c r="BF68" s="59" t="n"/>
      <c r="BG68" s="57" t="n"/>
      <c r="BH68" s="57" t="n"/>
      <c r="BI68" s="57" t="n"/>
      <c r="BJ68" s="57" t="n"/>
      <c r="BK68" s="67">
        <f>SUM(BG68:BJ68)</f>
        <v/>
      </c>
      <c r="BL68" s="61" t="n"/>
      <c r="BM68" s="57" t="n"/>
      <c r="BN68" s="66">
        <f>BD68</f>
        <v/>
      </c>
      <c r="BO68" s="59" t="n"/>
      <c r="BP68" s="57" t="n"/>
      <c r="BQ68" s="57" t="n"/>
      <c r="BR68" s="57" t="n"/>
      <c r="BS68" s="57" t="n"/>
      <c r="BT68" s="67">
        <f>SUM(BP68:BS68)</f>
        <v/>
      </c>
      <c r="BU68" s="61" t="n"/>
      <c r="BV68" s="57" t="n"/>
      <c r="BW68" s="66">
        <f>BM68</f>
        <v/>
      </c>
      <c r="BX68" s="59" t="n"/>
      <c r="BY68" s="57" t="n"/>
      <c r="BZ68" s="57" t="n"/>
      <c r="CA68" s="57" t="n"/>
      <c r="CB68" s="57" t="n"/>
      <c r="CC68" s="67">
        <f>SUM(BY68:CB68)</f>
        <v/>
      </c>
      <c r="CD68" s="61" t="n"/>
      <c r="CE68" s="57" t="n"/>
      <c r="CF68" s="66">
        <f>BV68</f>
        <v/>
      </c>
      <c r="CG68" s="59" t="n"/>
      <c r="CH68" s="57" t="n"/>
      <c r="CI68" s="57" t="n"/>
      <c r="CJ68" s="57" t="n"/>
      <c r="CK68" s="57" t="n"/>
      <c r="CL68" s="67">
        <f>SUM(CH68:CK68)</f>
        <v/>
      </c>
      <c r="CM68" s="61" t="n"/>
      <c r="CN68" s="57" t="n"/>
      <c r="CO68" s="66">
        <f>CE68</f>
        <v/>
      </c>
      <c r="CP68" s="59" t="n"/>
      <c r="CQ68" s="57" t="n"/>
      <c r="CR68" s="57" t="n"/>
      <c r="CS68" s="57" t="n"/>
      <c r="CT68" s="57" t="n"/>
      <c r="CU68" s="67">
        <f>SUM(CQ68:CT68)</f>
        <v/>
      </c>
      <c r="CV68" s="61" t="n"/>
      <c r="CW68" s="57" t="n"/>
      <c r="CX68" s="66">
        <f>CN68</f>
        <v/>
      </c>
      <c r="CY68" s="59" t="n"/>
      <c r="CZ68" s="57" t="n"/>
      <c r="DA68" s="57" t="n"/>
      <c r="DB68" s="57" t="n"/>
      <c r="DC68" s="57" t="n"/>
      <c r="DD68" s="67">
        <f>SUM(CZ68:DC68)</f>
        <v/>
      </c>
      <c r="DE68" s="61" t="n"/>
      <c r="DF68" s="57" t="n"/>
      <c r="DG68" s="66">
        <f>CW68</f>
        <v/>
      </c>
      <c r="DH68" s="59" t="n"/>
      <c r="DI68" s="57" t="n"/>
      <c r="DJ68" s="57" t="n"/>
      <c r="DK68" s="57" t="n"/>
      <c r="DL68" s="57" t="n"/>
      <c r="DM68" s="67">
        <f>SUM(DI68:DL68)</f>
        <v/>
      </c>
      <c r="DN68" s="61" t="n"/>
      <c r="DO68" s="57" t="n"/>
      <c r="DP68" s="66">
        <f>DF68</f>
        <v/>
      </c>
      <c r="DQ68" s="59" t="n"/>
      <c r="DR68" s="57" t="n"/>
      <c r="DS68" s="57" t="n"/>
      <c r="DT68" s="57" t="n"/>
      <c r="DU68" s="57" t="n"/>
      <c r="DV68" s="67">
        <f>SUM(DR68:DU68)</f>
        <v/>
      </c>
      <c r="DW68" s="61" t="n"/>
      <c r="DX68" s="57" t="n"/>
      <c r="DY68" s="66">
        <f>DO68</f>
        <v/>
      </c>
      <c r="DZ68" s="59" t="n"/>
      <c r="EA68" s="57" t="n"/>
      <c r="EB68" s="57" t="n"/>
      <c r="EC68" s="57" t="n"/>
      <c r="ED68" s="57" t="n"/>
      <c r="EE68" s="67">
        <f>SUM(EA68:ED68)</f>
        <v/>
      </c>
      <c r="EF68" s="61" t="n"/>
      <c r="EG68" s="57" t="n"/>
      <c r="EH68" s="66">
        <f>DX68</f>
        <v/>
      </c>
      <c r="EI68" s="59" t="n"/>
      <c r="EJ68" s="57" t="n"/>
      <c r="EK68" s="57" t="n"/>
      <c r="EL68" s="57" t="n"/>
      <c r="EM68" s="57" t="n"/>
      <c r="EN68" s="67">
        <f>SUM(EJ68:EM68)</f>
        <v/>
      </c>
      <c r="EO68" s="61" t="n"/>
      <c r="EP68" s="57" t="n"/>
      <c r="EQ68" s="66">
        <f>EG68</f>
        <v/>
      </c>
      <c r="ER68" s="59" t="n"/>
      <c r="ES68" s="57" t="n"/>
      <c r="ET68" s="57" t="n"/>
      <c r="EU68" s="57" t="n"/>
      <c r="EV68" s="57" t="n"/>
      <c r="EW68" s="67">
        <f>SUM(ES68:EV68)</f>
        <v/>
      </c>
      <c r="EX68" s="61" t="n"/>
      <c r="EY68" s="57" t="n"/>
      <c r="EZ68" s="66">
        <f>EP68</f>
        <v/>
      </c>
      <c r="FA68" s="59" t="n"/>
      <c r="FB68" s="57" t="n"/>
      <c r="FC68" s="57" t="n"/>
      <c r="FD68" s="57" t="n"/>
      <c r="FE68" s="57" t="n"/>
      <c r="FF68" s="67">
        <f>SUM(FB68:FE68)</f>
        <v/>
      </c>
      <c r="FG68" s="61" t="n"/>
      <c r="FH68" s="57" t="n"/>
      <c r="FI68" s="66">
        <f>EY68</f>
        <v/>
      </c>
      <c r="FJ68" s="59" t="n"/>
      <c r="FK68" s="57" t="n"/>
      <c r="FL68" s="57" t="n"/>
      <c r="FM68" s="57" t="n"/>
      <c r="FN68" s="57" t="n"/>
      <c r="FO68" s="67">
        <f>SUM(FK68:FN68)</f>
        <v/>
      </c>
      <c r="FP68" s="61" t="n"/>
      <c r="FQ68" s="57" t="n"/>
      <c r="FR68" s="66">
        <f>FH68</f>
        <v/>
      </c>
      <c r="FS68" s="59" t="n"/>
      <c r="FT68" s="57" t="n"/>
      <c r="FU68" s="57" t="n"/>
      <c r="FV68" s="57" t="n"/>
      <c r="FW68" s="57" t="n"/>
      <c r="FX68" s="67">
        <f>SUM(FT68:FW68)</f>
        <v/>
      </c>
      <c r="FY68" s="61" t="n"/>
      <c r="FZ68" s="57" t="n"/>
      <c r="GA68" s="66">
        <f>FQ68</f>
        <v/>
      </c>
      <c r="GB68" s="59" t="n"/>
      <c r="GC68" s="57" t="n"/>
      <c r="GD68" s="57" t="n"/>
      <c r="GE68" s="57" t="n"/>
      <c r="GF68" s="57" t="n"/>
      <c r="GG68" s="67">
        <f>SUM(GC68:GF68)</f>
        <v/>
      </c>
      <c r="GH68" s="61" t="n"/>
      <c r="GI68" s="57" t="n"/>
      <c r="GJ68" s="66">
        <f>FZ68</f>
        <v/>
      </c>
      <c r="GK68" s="59" t="n"/>
      <c r="GL68" s="57" t="n"/>
      <c r="GM68" s="57" t="n"/>
      <c r="GN68" s="57" t="n"/>
      <c r="GO68" s="57" t="n"/>
      <c r="GP68" s="67">
        <f>SUM(GL68:GO68)</f>
        <v/>
      </c>
      <c r="GQ68" s="61" t="n"/>
      <c r="GR68" s="57" t="n"/>
      <c r="GS68" s="66">
        <f>GI68</f>
        <v/>
      </c>
      <c r="GT68" s="59" t="n"/>
      <c r="GU68" s="57" t="n"/>
      <c r="GV68" s="57" t="n"/>
      <c r="GW68" s="57" t="n"/>
      <c r="GX68" s="57" t="n"/>
      <c r="GY68" s="67">
        <f>SUM(GU68:GX68)</f>
        <v/>
      </c>
      <c r="GZ68" s="61" t="n"/>
      <c r="HA68" s="57" t="n"/>
      <c r="HB68" s="66">
        <f>GR68</f>
        <v/>
      </c>
      <c r="HC68" s="59" t="n"/>
      <c r="HD68" s="57" t="n"/>
      <c r="HE68" s="57" t="n"/>
      <c r="HF68" s="57" t="n"/>
      <c r="HG68" s="57" t="n"/>
      <c r="HH68" s="67">
        <f>SUM(HD68:HG68)</f>
        <v/>
      </c>
      <c r="HI68" s="61" t="n"/>
      <c r="HJ68" s="57" t="n"/>
      <c r="HK68" s="66">
        <f>HA68</f>
        <v/>
      </c>
      <c r="HL68" s="59" t="n"/>
      <c r="HM68" s="57" t="n"/>
      <c r="HN68" s="57" t="n"/>
      <c r="HO68" s="57" t="n"/>
      <c r="HP68" s="57" t="n"/>
      <c r="HQ68" s="67">
        <f>SUM(HM68:HP68)</f>
        <v/>
      </c>
      <c r="HR68" s="61" t="n"/>
      <c r="HS68" s="57" t="n"/>
      <c r="HT68" s="66">
        <f>HJ68</f>
        <v/>
      </c>
      <c r="HU68" s="59" t="n"/>
      <c r="HV68" s="57" t="n"/>
      <c r="HW68" s="57" t="n"/>
      <c r="HX68" s="57" t="n"/>
      <c r="HY68" s="57" t="n"/>
      <c r="HZ68" s="67">
        <f>SUM(HV68:HY68)</f>
        <v/>
      </c>
      <c r="IA68" s="61" t="n"/>
      <c r="IB68" s="57" t="n"/>
      <c r="IC68" s="66">
        <f>HS68</f>
        <v/>
      </c>
      <c r="ID68" s="59" t="n"/>
      <c r="IE68" s="57" t="n"/>
      <c r="IF68" s="57" t="n"/>
      <c r="IG68" s="57" t="n"/>
      <c r="IH68" s="57" t="n"/>
      <c r="II68" s="67">
        <f>SUM(IE68:IH68)</f>
        <v/>
      </c>
      <c r="IJ68" s="61" t="n"/>
      <c r="IK68" s="57" t="n"/>
      <c r="IL68" s="66">
        <f>IB68</f>
        <v/>
      </c>
      <c r="IM68" s="59" t="n"/>
      <c r="IN68" s="57" t="n"/>
      <c r="IO68" s="57" t="n"/>
      <c r="IP68" s="57" t="n"/>
      <c r="IQ68" s="57" t="n"/>
      <c r="IR68" s="67">
        <f>SUM(IN68:IQ68)</f>
        <v/>
      </c>
      <c r="IS68" s="61" t="n"/>
      <c r="IT68" s="57" t="n"/>
      <c r="IU68" s="66">
        <f>IK68</f>
        <v/>
      </c>
      <c r="IV68" s="59" t="n"/>
      <c r="IW68" s="57" t="n"/>
      <c r="IX68" s="57" t="n"/>
      <c r="IY68" s="57" t="n"/>
      <c r="IZ68" s="57" t="n"/>
      <c r="JA68" s="67">
        <f>SUM(IW68:IZ68)</f>
        <v/>
      </c>
      <c r="JB68" s="61" t="n"/>
      <c r="JC68" s="57" t="n"/>
      <c r="JD68" s="66">
        <f>IT68</f>
        <v/>
      </c>
      <c r="JE68" s="59" t="n"/>
      <c r="JF68" s="57" t="n"/>
      <c r="JG68" s="57" t="n"/>
      <c r="JH68" s="57" t="n"/>
      <c r="JI68" s="57" t="n"/>
      <c r="JJ68" s="67">
        <f>SUM(JF68:JI68)</f>
        <v/>
      </c>
      <c r="JK68" s="61" t="n"/>
      <c r="JL68" s="57" t="n"/>
      <c r="JM68" s="66">
        <f>JC68</f>
        <v/>
      </c>
      <c r="JN68" s="59" t="n"/>
      <c r="JO68" s="57" t="n"/>
      <c r="JP68" s="57" t="n"/>
      <c r="JQ68" s="57" t="n"/>
      <c r="JR68" s="57" t="n"/>
      <c r="JS68" s="67">
        <f>SUM(JO68:JR68)</f>
        <v/>
      </c>
      <c r="JT68" s="61" t="n"/>
      <c r="JU68" s="62">
        <f>I68+R68+AA68+AJ68+AS68+BB68+BK68+BT68+CC68+CL68+CU68+DD68+DM68+DV68+EE68+EN68+EW68+FF68+FO68+FX68+GG68+GP68+GY68+HH68+HQ68+HZ68+II68+IR68+JA68+JJ68+JS68</f>
        <v/>
      </c>
      <c r="JV68" s="63">
        <f>D68+M68+V68+AE68+AN68+AW68+BF68+BO68+BX68+CG68+CP68+CY68+DH68+DQ68+DZ68+EI68+ER68+FA68+FJ68+FS68+GB68+GK68+GT68+HC68+HL68+HU68+ID68+IM68+IV68+JE68+JN68</f>
        <v/>
      </c>
      <c r="JW68" s="62">
        <f>CHOOSE($Z$3,B68, K68, T68, AC68, AL68, AU68, BD68, BM68, BV68, CE68, CN68, CW68, DF68, DO68, DX68, EG68, EP68, EY68, FH68, FQ68, FZ68, GI68, GR68, HA68, HJ68, HS68, IB68, IK68, IT68, JC68, JL68)</f>
        <v/>
      </c>
      <c r="JX68" s="62">
        <f>IFERROR(JU68/$Z$3,0)</f>
        <v/>
      </c>
      <c r="JY68" s="62">
        <f>Configurações!$C$8</f>
        <v/>
      </c>
      <c r="JZ68" s="64">
        <f>IF(JY68=0,"— Sem meta",IF(JU68&gt;=JY68,"✓ Atingida","Em andamento"))</f>
        <v/>
      </c>
      <c r="KA68" s="65">
        <f>JU68+(12*0.0000001)</f>
        <v/>
      </c>
    </row>
    <row r="69" ht="20" customHeight="1">
      <c r="A69" s="56">
        <f>IF(Configurações!$B$9="","Assessor 3",Configurações!$B$9)</f>
        <v/>
      </c>
      <c r="B69" s="57" t="n"/>
      <c r="C69" s="58">
        <f>'Julho'!$JW69</f>
        <v/>
      </c>
      <c r="D69" s="59" t="n"/>
      <c r="E69" s="57" t="n"/>
      <c r="F69" s="57" t="n"/>
      <c r="G69" s="57" t="n"/>
      <c r="H69" s="57" t="n"/>
      <c r="I69" s="60">
        <f>SUM(E69:H69)</f>
        <v/>
      </c>
      <c r="J69" s="61" t="n"/>
      <c r="K69" s="57" t="n"/>
      <c r="L69" s="58">
        <f>B69</f>
        <v/>
      </c>
      <c r="M69" s="59" t="n"/>
      <c r="N69" s="57" t="n"/>
      <c r="O69" s="57" t="n"/>
      <c r="P69" s="57" t="n"/>
      <c r="Q69" s="57" t="n"/>
      <c r="R69" s="60">
        <f>SUM(N69:Q69)</f>
        <v/>
      </c>
      <c r="S69" s="61" t="n"/>
      <c r="T69" s="57" t="n"/>
      <c r="U69" s="58">
        <f>K69</f>
        <v/>
      </c>
      <c r="V69" s="59" t="n"/>
      <c r="W69" s="57" t="n"/>
      <c r="X69" s="57" t="n"/>
      <c r="Y69" s="57" t="n"/>
      <c r="Z69" s="57" t="n"/>
      <c r="AA69" s="60">
        <f>SUM(W69:Z69)</f>
        <v/>
      </c>
      <c r="AB69" s="61" t="n"/>
      <c r="AC69" s="57" t="n"/>
      <c r="AD69" s="58">
        <f>T69</f>
        <v/>
      </c>
      <c r="AE69" s="59" t="n"/>
      <c r="AF69" s="57" t="n"/>
      <c r="AG69" s="57" t="n"/>
      <c r="AH69" s="57" t="n"/>
      <c r="AI69" s="57" t="n"/>
      <c r="AJ69" s="60">
        <f>SUM(AF69:AI69)</f>
        <v/>
      </c>
      <c r="AK69" s="61" t="n"/>
      <c r="AL69" s="57" t="n"/>
      <c r="AM69" s="58">
        <f>AC69</f>
        <v/>
      </c>
      <c r="AN69" s="59" t="n"/>
      <c r="AO69" s="57" t="n"/>
      <c r="AP69" s="57" t="n"/>
      <c r="AQ69" s="57" t="n"/>
      <c r="AR69" s="57" t="n"/>
      <c r="AS69" s="60">
        <f>SUM(AO69:AR69)</f>
        <v/>
      </c>
      <c r="AT69" s="61" t="n"/>
      <c r="AU69" s="57" t="n"/>
      <c r="AV69" s="58">
        <f>AL69</f>
        <v/>
      </c>
      <c r="AW69" s="59" t="n"/>
      <c r="AX69" s="57" t="n"/>
      <c r="AY69" s="57" t="n"/>
      <c r="AZ69" s="57" t="n"/>
      <c r="BA69" s="57" t="n"/>
      <c r="BB69" s="60">
        <f>SUM(AX69:BA69)</f>
        <v/>
      </c>
      <c r="BC69" s="61" t="n"/>
      <c r="BD69" s="57" t="n"/>
      <c r="BE69" s="58">
        <f>AU69</f>
        <v/>
      </c>
      <c r="BF69" s="59" t="n"/>
      <c r="BG69" s="57" t="n"/>
      <c r="BH69" s="57" t="n"/>
      <c r="BI69" s="57" t="n"/>
      <c r="BJ69" s="57" t="n"/>
      <c r="BK69" s="60">
        <f>SUM(BG69:BJ69)</f>
        <v/>
      </c>
      <c r="BL69" s="61" t="n"/>
      <c r="BM69" s="57" t="n"/>
      <c r="BN69" s="58">
        <f>BD69</f>
        <v/>
      </c>
      <c r="BO69" s="59" t="n"/>
      <c r="BP69" s="57" t="n"/>
      <c r="BQ69" s="57" t="n"/>
      <c r="BR69" s="57" t="n"/>
      <c r="BS69" s="57" t="n"/>
      <c r="BT69" s="60">
        <f>SUM(BP69:BS69)</f>
        <v/>
      </c>
      <c r="BU69" s="61" t="n"/>
      <c r="BV69" s="57" t="n"/>
      <c r="BW69" s="58">
        <f>BM69</f>
        <v/>
      </c>
      <c r="BX69" s="59" t="n"/>
      <c r="BY69" s="57" t="n"/>
      <c r="BZ69" s="57" t="n"/>
      <c r="CA69" s="57" t="n"/>
      <c r="CB69" s="57" t="n"/>
      <c r="CC69" s="60">
        <f>SUM(BY69:CB69)</f>
        <v/>
      </c>
      <c r="CD69" s="61" t="n"/>
      <c r="CE69" s="57" t="n"/>
      <c r="CF69" s="58">
        <f>BV69</f>
        <v/>
      </c>
      <c r="CG69" s="59" t="n"/>
      <c r="CH69" s="57" t="n"/>
      <c r="CI69" s="57" t="n"/>
      <c r="CJ69" s="57" t="n"/>
      <c r="CK69" s="57" t="n"/>
      <c r="CL69" s="60">
        <f>SUM(CH69:CK69)</f>
        <v/>
      </c>
      <c r="CM69" s="61" t="n"/>
      <c r="CN69" s="57" t="n"/>
      <c r="CO69" s="58">
        <f>CE69</f>
        <v/>
      </c>
      <c r="CP69" s="59" t="n"/>
      <c r="CQ69" s="57" t="n"/>
      <c r="CR69" s="57" t="n"/>
      <c r="CS69" s="57" t="n"/>
      <c r="CT69" s="57" t="n"/>
      <c r="CU69" s="60">
        <f>SUM(CQ69:CT69)</f>
        <v/>
      </c>
      <c r="CV69" s="61" t="n"/>
      <c r="CW69" s="57" t="n"/>
      <c r="CX69" s="58">
        <f>CN69</f>
        <v/>
      </c>
      <c r="CY69" s="59" t="n"/>
      <c r="CZ69" s="57" t="n"/>
      <c r="DA69" s="57" t="n"/>
      <c r="DB69" s="57" t="n"/>
      <c r="DC69" s="57" t="n"/>
      <c r="DD69" s="60">
        <f>SUM(CZ69:DC69)</f>
        <v/>
      </c>
      <c r="DE69" s="61" t="n"/>
      <c r="DF69" s="57" t="n"/>
      <c r="DG69" s="58">
        <f>CW69</f>
        <v/>
      </c>
      <c r="DH69" s="59" t="n"/>
      <c r="DI69" s="57" t="n"/>
      <c r="DJ69" s="57" t="n"/>
      <c r="DK69" s="57" t="n"/>
      <c r="DL69" s="57" t="n"/>
      <c r="DM69" s="60">
        <f>SUM(DI69:DL69)</f>
        <v/>
      </c>
      <c r="DN69" s="61" t="n"/>
      <c r="DO69" s="57" t="n"/>
      <c r="DP69" s="58">
        <f>DF69</f>
        <v/>
      </c>
      <c r="DQ69" s="59" t="n"/>
      <c r="DR69" s="57" t="n"/>
      <c r="DS69" s="57" t="n"/>
      <c r="DT69" s="57" t="n"/>
      <c r="DU69" s="57" t="n"/>
      <c r="DV69" s="60">
        <f>SUM(DR69:DU69)</f>
        <v/>
      </c>
      <c r="DW69" s="61" t="n"/>
      <c r="DX69" s="57" t="n"/>
      <c r="DY69" s="58">
        <f>DO69</f>
        <v/>
      </c>
      <c r="DZ69" s="59" t="n"/>
      <c r="EA69" s="57" t="n"/>
      <c r="EB69" s="57" t="n"/>
      <c r="EC69" s="57" t="n"/>
      <c r="ED69" s="57" t="n"/>
      <c r="EE69" s="60">
        <f>SUM(EA69:ED69)</f>
        <v/>
      </c>
      <c r="EF69" s="61" t="n"/>
      <c r="EG69" s="57" t="n"/>
      <c r="EH69" s="58">
        <f>DX69</f>
        <v/>
      </c>
      <c r="EI69" s="59" t="n"/>
      <c r="EJ69" s="57" t="n"/>
      <c r="EK69" s="57" t="n"/>
      <c r="EL69" s="57" t="n"/>
      <c r="EM69" s="57" t="n"/>
      <c r="EN69" s="60">
        <f>SUM(EJ69:EM69)</f>
        <v/>
      </c>
      <c r="EO69" s="61" t="n"/>
      <c r="EP69" s="57" t="n"/>
      <c r="EQ69" s="58">
        <f>EG69</f>
        <v/>
      </c>
      <c r="ER69" s="59" t="n"/>
      <c r="ES69" s="57" t="n"/>
      <c r="ET69" s="57" t="n"/>
      <c r="EU69" s="57" t="n"/>
      <c r="EV69" s="57" t="n"/>
      <c r="EW69" s="60">
        <f>SUM(ES69:EV69)</f>
        <v/>
      </c>
      <c r="EX69" s="61" t="n"/>
      <c r="EY69" s="57" t="n"/>
      <c r="EZ69" s="58">
        <f>EP69</f>
        <v/>
      </c>
      <c r="FA69" s="59" t="n"/>
      <c r="FB69" s="57" t="n"/>
      <c r="FC69" s="57" t="n"/>
      <c r="FD69" s="57" t="n"/>
      <c r="FE69" s="57" t="n"/>
      <c r="FF69" s="60">
        <f>SUM(FB69:FE69)</f>
        <v/>
      </c>
      <c r="FG69" s="61" t="n"/>
      <c r="FH69" s="57" t="n"/>
      <c r="FI69" s="58">
        <f>EY69</f>
        <v/>
      </c>
      <c r="FJ69" s="59" t="n"/>
      <c r="FK69" s="57" t="n"/>
      <c r="FL69" s="57" t="n"/>
      <c r="FM69" s="57" t="n"/>
      <c r="FN69" s="57" t="n"/>
      <c r="FO69" s="60">
        <f>SUM(FK69:FN69)</f>
        <v/>
      </c>
      <c r="FP69" s="61" t="n"/>
      <c r="FQ69" s="57" t="n"/>
      <c r="FR69" s="58">
        <f>FH69</f>
        <v/>
      </c>
      <c r="FS69" s="59" t="n"/>
      <c r="FT69" s="57" t="n"/>
      <c r="FU69" s="57" t="n"/>
      <c r="FV69" s="57" t="n"/>
      <c r="FW69" s="57" t="n"/>
      <c r="FX69" s="60">
        <f>SUM(FT69:FW69)</f>
        <v/>
      </c>
      <c r="FY69" s="61" t="n"/>
      <c r="FZ69" s="57" t="n"/>
      <c r="GA69" s="58">
        <f>FQ69</f>
        <v/>
      </c>
      <c r="GB69" s="59" t="n"/>
      <c r="GC69" s="57" t="n"/>
      <c r="GD69" s="57" t="n"/>
      <c r="GE69" s="57" t="n"/>
      <c r="GF69" s="57" t="n"/>
      <c r="GG69" s="60">
        <f>SUM(GC69:GF69)</f>
        <v/>
      </c>
      <c r="GH69" s="61" t="n"/>
      <c r="GI69" s="57" t="n"/>
      <c r="GJ69" s="58">
        <f>FZ69</f>
        <v/>
      </c>
      <c r="GK69" s="59" t="n"/>
      <c r="GL69" s="57" t="n"/>
      <c r="GM69" s="57" t="n"/>
      <c r="GN69" s="57" t="n"/>
      <c r="GO69" s="57" t="n"/>
      <c r="GP69" s="60">
        <f>SUM(GL69:GO69)</f>
        <v/>
      </c>
      <c r="GQ69" s="61" t="n"/>
      <c r="GR69" s="57" t="n"/>
      <c r="GS69" s="58">
        <f>GI69</f>
        <v/>
      </c>
      <c r="GT69" s="59" t="n"/>
      <c r="GU69" s="57" t="n"/>
      <c r="GV69" s="57" t="n"/>
      <c r="GW69" s="57" t="n"/>
      <c r="GX69" s="57" t="n"/>
      <c r="GY69" s="60">
        <f>SUM(GU69:GX69)</f>
        <v/>
      </c>
      <c r="GZ69" s="61" t="n"/>
      <c r="HA69" s="57" t="n"/>
      <c r="HB69" s="58">
        <f>GR69</f>
        <v/>
      </c>
      <c r="HC69" s="59" t="n"/>
      <c r="HD69" s="57" t="n"/>
      <c r="HE69" s="57" t="n"/>
      <c r="HF69" s="57" t="n"/>
      <c r="HG69" s="57" t="n"/>
      <c r="HH69" s="60">
        <f>SUM(HD69:HG69)</f>
        <v/>
      </c>
      <c r="HI69" s="61" t="n"/>
      <c r="HJ69" s="57" t="n"/>
      <c r="HK69" s="58">
        <f>HA69</f>
        <v/>
      </c>
      <c r="HL69" s="59" t="n"/>
      <c r="HM69" s="57" t="n"/>
      <c r="HN69" s="57" t="n"/>
      <c r="HO69" s="57" t="n"/>
      <c r="HP69" s="57" t="n"/>
      <c r="HQ69" s="60">
        <f>SUM(HM69:HP69)</f>
        <v/>
      </c>
      <c r="HR69" s="61" t="n"/>
      <c r="HS69" s="57" t="n"/>
      <c r="HT69" s="58">
        <f>HJ69</f>
        <v/>
      </c>
      <c r="HU69" s="59" t="n"/>
      <c r="HV69" s="57" t="n"/>
      <c r="HW69" s="57" t="n"/>
      <c r="HX69" s="57" t="n"/>
      <c r="HY69" s="57" t="n"/>
      <c r="HZ69" s="60">
        <f>SUM(HV69:HY69)</f>
        <v/>
      </c>
      <c r="IA69" s="61" t="n"/>
      <c r="IB69" s="57" t="n"/>
      <c r="IC69" s="58">
        <f>HS69</f>
        <v/>
      </c>
      <c r="ID69" s="59" t="n"/>
      <c r="IE69" s="57" t="n"/>
      <c r="IF69" s="57" t="n"/>
      <c r="IG69" s="57" t="n"/>
      <c r="IH69" s="57" t="n"/>
      <c r="II69" s="60">
        <f>SUM(IE69:IH69)</f>
        <v/>
      </c>
      <c r="IJ69" s="61" t="n"/>
      <c r="IK69" s="57" t="n"/>
      <c r="IL69" s="58">
        <f>IB69</f>
        <v/>
      </c>
      <c r="IM69" s="59" t="n"/>
      <c r="IN69" s="57" t="n"/>
      <c r="IO69" s="57" t="n"/>
      <c r="IP69" s="57" t="n"/>
      <c r="IQ69" s="57" t="n"/>
      <c r="IR69" s="60">
        <f>SUM(IN69:IQ69)</f>
        <v/>
      </c>
      <c r="IS69" s="61" t="n"/>
      <c r="IT69" s="57" t="n"/>
      <c r="IU69" s="58">
        <f>IK69</f>
        <v/>
      </c>
      <c r="IV69" s="59" t="n"/>
      <c r="IW69" s="57" t="n"/>
      <c r="IX69" s="57" t="n"/>
      <c r="IY69" s="57" t="n"/>
      <c r="IZ69" s="57" t="n"/>
      <c r="JA69" s="60">
        <f>SUM(IW69:IZ69)</f>
        <v/>
      </c>
      <c r="JB69" s="61" t="n"/>
      <c r="JC69" s="57" t="n"/>
      <c r="JD69" s="58">
        <f>IT69</f>
        <v/>
      </c>
      <c r="JE69" s="59" t="n"/>
      <c r="JF69" s="57" t="n"/>
      <c r="JG69" s="57" t="n"/>
      <c r="JH69" s="57" t="n"/>
      <c r="JI69" s="57" t="n"/>
      <c r="JJ69" s="60">
        <f>SUM(JF69:JI69)</f>
        <v/>
      </c>
      <c r="JK69" s="61" t="n"/>
      <c r="JL69" s="57" t="n"/>
      <c r="JM69" s="58">
        <f>JC69</f>
        <v/>
      </c>
      <c r="JN69" s="59" t="n"/>
      <c r="JO69" s="57" t="n"/>
      <c r="JP69" s="57" t="n"/>
      <c r="JQ69" s="57" t="n"/>
      <c r="JR69" s="57" t="n"/>
      <c r="JS69" s="60">
        <f>SUM(JO69:JR69)</f>
        <v/>
      </c>
      <c r="JT69" s="61" t="n"/>
      <c r="JU69" s="62">
        <f>I69+R69+AA69+AJ69+AS69+BB69+BK69+BT69+CC69+CL69+CU69+DD69+DM69+DV69+EE69+EN69+EW69+FF69+FO69+FX69+GG69+GP69+GY69+HH69+HQ69+HZ69+II69+IR69+JA69+JJ69+JS69</f>
        <v/>
      </c>
      <c r="JV69" s="63">
        <f>D69+M69+V69+AE69+AN69+AW69+BF69+BO69+BX69+CG69+CP69+CY69+DH69+DQ69+DZ69+EI69+ER69+FA69+FJ69+FS69+GB69+GK69+GT69+HC69+HL69+HU69+ID69+IM69+IV69+JE69+JN69</f>
        <v/>
      </c>
      <c r="JW69" s="62">
        <f>CHOOSE($Z$3,B69, K69, T69, AC69, AL69, AU69, BD69, BM69, BV69, CE69, CN69, CW69, DF69, DO69, DX69, EG69, EP69, EY69, FH69, FQ69, FZ69, GI69, GR69, HA69, HJ69, HS69, IB69, IK69, IT69, JC69, JL69)</f>
        <v/>
      </c>
      <c r="JX69" s="62">
        <f>IFERROR(JU69/$Z$3,0)</f>
        <v/>
      </c>
      <c r="JY69" s="62">
        <f>Configurações!$C$9</f>
        <v/>
      </c>
      <c r="JZ69" s="64">
        <f>IF(JY69=0,"— Sem meta",IF(JU69&gt;=JY69,"✓ Atingida","Em andamento"))</f>
        <v/>
      </c>
      <c r="KA69" s="65">
        <f>JU69+(11*0.0000001)</f>
        <v/>
      </c>
    </row>
    <row r="70" ht="20" customHeight="1">
      <c r="A70" s="56">
        <f>IF(Configurações!$B$10="","Assessor 4",Configurações!$B$10)</f>
        <v/>
      </c>
      <c r="B70" s="57" t="n"/>
      <c r="C70" s="66">
        <f>'Julho'!$JW70</f>
        <v/>
      </c>
      <c r="D70" s="59" t="n"/>
      <c r="E70" s="57" t="n"/>
      <c r="F70" s="57" t="n"/>
      <c r="G70" s="57" t="n"/>
      <c r="H70" s="57" t="n"/>
      <c r="I70" s="67">
        <f>SUM(E70:H70)</f>
        <v/>
      </c>
      <c r="J70" s="61" t="n"/>
      <c r="K70" s="57" t="n"/>
      <c r="L70" s="66">
        <f>B70</f>
        <v/>
      </c>
      <c r="M70" s="59" t="n"/>
      <c r="N70" s="57" t="n"/>
      <c r="O70" s="57" t="n"/>
      <c r="P70" s="57" t="n"/>
      <c r="Q70" s="57" t="n"/>
      <c r="R70" s="67">
        <f>SUM(N70:Q70)</f>
        <v/>
      </c>
      <c r="S70" s="61" t="n"/>
      <c r="T70" s="57" t="n"/>
      <c r="U70" s="66">
        <f>K70</f>
        <v/>
      </c>
      <c r="V70" s="59" t="n"/>
      <c r="W70" s="57" t="n"/>
      <c r="X70" s="57" t="n"/>
      <c r="Y70" s="57" t="n"/>
      <c r="Z70" s="57" t="n"/>
      <c r="AA70" s="67">
        <f>SUM(W70:Z70)</f>
        <v/>
      </c>
      <c r="AB70" s="61" t="n"/>
      <c r="AC70" s="57" t="n"/>
      <c r="AD70" s="66">
        <f>T70</f>
        <v/>
      </c>
      <c r="AE70" s="59" t="n"/>
      <c r="AF70" s="57" t="n"/>
      <c r="AG70" s="57" t="n"/>
      <c r="AH70" s="57" t="n"/>
      <c r="AI70" s="57" t="n"/>
      <c r="AJ70" s="67">
        <f>SUM(AF70:AI70)</f>
        <v/>
      </c>
      <c r="AK70" s="61" t="n"/>
      <c r="AL70" s="57" t="n"/>
      <c r="AM70" s="66">
        <f>AC70</f>
        <v/>
      </c>
      <c r="AN70" s="59" t="n"/>
      <c r="AO70" s="57" t="n"/>
      <c r="AP70" s="57" t="n"/>
      <c r="AQ70" s="57" t="n"/>
      <c r="AR70" s="57" t="n"/>
      <c r="AS70" s="67">
        <f>SUM(AO70:AR70)</f>
        <v/>
      </c>
      <c r="AT70" s="61" t="n"/>
      <c r="AU70" s="57" t="n"/>
      <c r="AV70" s="66">
        <f>AL70</f>
        <v/>
      </c>
      <c r="AW70" s="59" t="n"/>
      <c r="AX70" s="57" t="n"/>
      <c r="AY70" s="57" t="n"/>
      <c r="AZ70" s="57" t="n"/>
      <c r="BA70" s="57" t="n"/>
      <c r="BB70" s="67">
        <f>SUM(AX70:BA70)</f>
        <v/>
      </c>
      <c r="BC70" s="61" t="n"/>
      <c r="BD70" s="57" t="n"/>
      <c r="BE70" s="66">
        <f>AU70</f>
        <v/>
      </c>
      <c r="BF70" s="59" t="n"/>
      <c r="BG70" s="57" t="n"/>
      <c r="BH70" s="57" t="n"/>
      <c r="BI70" s="57" t="n"/>
      <c r="BJ70" s="57" t="n"/>
      <c r="BK70" s="67">
        <f>SUM(BG70:BJ70)</f>
        <v/>
      </c>
      <c r="BL70" s="61" t="n"/>
      <c r="BM70" s="57" t="n"/>
      <c r="BN70" s="66">
        <f>BD70</f>
        <v/>
      </c>
      <c r="BO70" s="59" t="n"/>
      <c r="BP70" s="57" t="n"/>
      <c r="BQ70" s="57" t="n"/>
      <c r="BR70" s="57" t="n"/>
      <c r="BS70" s="57" t="n"/>
      <c r="BT70" s="67">
        <f>SUM(BP70:BS70)</f>
        <v/>
      </c>
      <c r="BU70" s="61" t="n"/>
      <c r="BV70" s="57" t="n"/>
      <c r="BW70" s="66">
        <f>BM70</f>
        <v/>
      </c>
      <c r="BX70" s="59" t="n"/>
      <c r="BY70" s="57" t="n"/>
      <c r="BZ70" s="57" t="n"/>
      <c r="CA70" s="57" t="n"/>
      <c r="CB70" s="57" t="n"/>
      <c r="CC70" s="67">
        <f>SUM(BY70:CB70)</f>
        <v/>
      </c>
      <c r="CD70" s="61" t="n"/>
      <c r="CE70" s="57" t="n"/>
      <c r="CF70" s="66">
        <f>BV70</f>
        <v/>
      </c>
      <c r="CG70" s="59" t="n"/>
      <c r="CH70" s="57" t="n"/>
      <c r="CI70" s="57" t="n"/>
      <c r="CJ70" s="57" t="n"/>
      <c r="CK70" s="57" t="n"/>
      <c r="CL70" s="67">
        <f>SUM(CH70:CK70)</f>
        <v/>
      </c>
      <c r="CM70" s="61" t="n"/>
      <c r="CN70" s="57" t="n"/>
      <c r="CO70" s="66">
        <f>CE70</f>
        <v/>
      </c>
      <c r="CP70" s="59" t="n"/>
      <c r="CQ70" s="57" t="n"/>
      <c r="CR70" s="57" t="n"/>
      <c r="CS70" s="57" t="n"/>
      <c r="CT70" s="57" t="n"/>
      <c r="CU70" s="67">
        <f>SUM(CQ70:CT70)</f>
        <v/>
      </c>
      <c r="CV70" s="61" t="n"/>
      <c r="CW70" s="57" t="n"/>
      <c r="CX70" s="66">
        <f>CN70</f>
        <v/>
      </c>
      <c r="CY70" s="59" t="n"/>
      <c r="CZ70" s="57" t="n"/>
      <c r="DA70" s="57" t="n"/>
      <c r="DB70" s="57" t="n"/>
      <c r="DC70" s="57" t="n"/>
      <c r="DD70" s="67">
        <f>SUM(CZ70:DC70)</f>
        <v/>
      </c>
      <c r="DE70" s="61" t="n"/>
      <c r="DF70" s="57" t="n"/>
      <c r="DG70" s="66">
        <f>CW70</f>
        <v/>
      </c>
      <c r="DH70" s="59" t="n"/>
      <c r="DI70" s="57" t="n"/>
      <c r="DJ70" s="57" t="n"/>
      <c r="DK70" s="57" t="n"/>
      <c r="DL70" s="57" t="n"/>
      <c r="DM70" s="67">
        <f>SUM(DI70:DL70)</f>
        <v/>
      </c>
      <c r="DN70" s="61" t="n"/>
      <c r="DO70" s="57" t="n"/>
      <c r="DP70" s="66">
        <f>DF70</f>
        <v/>
      </c>
      <c r="DQ70" s="59" t="n"/>
      <c r="DR70" s="57" t="n"/>
      <c r="DS70" s="57" t="n"/>
      <c r="DT70" s="57" t="n"/>
      <c r="DU70" s="57" t="n"/>
      <c r="DV70" s="67">
        <f>SUM(DR70:DU70)</f>
        <v/>
      </c>
      <c r="DW70" s="61" t="n"/>
      <c r="DX70" s="57" t="n"/>
      <c r="DY70" s="66">
        <f>DO70</f>
        <v/>
      </c>
      <c r="DZ70" s="59" t="n"/>
      <c r="EA70" s="57" t="n"/>
      <c r="EB70" s="57" t="n"/>
      <c r="EC70" s="57" t="n"/>
      <c r="ED70" s="57" t="n"/>
      <c r="EE70" s="67">
        <f>SUM(EA70:ED70)</f>
        <v/>
      </c>
      <c r="EF70" s="61" t="n"/>
      <c r="EG70" s="57" t="n"/>
      <c r="EH70" s="66">
        <f>DX70</f>
        <v/>
      </c>
      <c r="EI70" s="59" t="n"/>
      <c r="EJ70" s="57" t="n"/>
      <c r="EK70" s="57" t="n"/>
      <c r="EL70" s="57" t="n"/>
      <c r="EM70" s="57" t="n"/>
      <c r="EN70" s="67">
        <f>SUM(EJ70:EM70)</f>
        <v/>
      </c>
      <c r="EO70" s="61" t="n"/>
      <c r="EP70" s="57" t="n"/>
      <c r="EQ70" s="66">
        <f>EG70</f>
        <v/>
      </c>
      <c r="ER70" s="59" t="n"/>
      <c r="ES70" s="57" t="n"/>
      <c r="ET70" s="57" t="n"/>
      <c r="EU70" s="57" t="n"/>
      <c r="EV70" s="57" t="n"/>
      <c r="EW70" s="67">
        <f>SUM(ES70:EV70)</f>
        <v/>
      </c>
      <c r="EX70" s="61" t="n"/>
      <c r="EY70" s="57" t="n"/>
      <c r="EZ70" s="66">
        <f>EP70</f>
        <v/>
      </c>
      <c r="FA70" s="59" t="n"/>
      <c r="FB70" s="57" t="n"/>
      <c r="FC70" s="57" t="n"/>
      <c r="FD70" s="57" t="n"/>
      <c r="FE70" s="57" t="n"/>
      <c r="FF70" s="67">
        <f>SUM(FB70:FE70)</f>
        <v/>
      </c>
      <c r="FG70" s="61" t="n"/>
      <c r="FH70" s="57" t="n"/>
      <c r="FI70" s="66">
        <f>EY70</f>
        <v/>
      </c>
      <c r="FJ70" s="59" t="n"/>
      <c r="FK70" s="57" t="n"/>
      <c r="FL70" s="57" t="n"/>
      <c r="FM70" s="57" t="n"/>
      <c r="FN70" s="57" t="n"/>
      <c r="FO70" s="67">
        <f>SUM(FK70:FN70)</f>
        <v/>
      </c>
      <c r="FP70" s="61" t="n"/>
      <c r="FQ70" s="57" t="n"/>
      <c r="FR70" s="66">
        <f>FH70</f>
        <v/>
      </c>
      <c r="FS70" s="59" t="n"/>
      <c r="FT70" s="57" t="n"/>
      <c r="FU70" s="57" t="n"/>
      <c r="FV70" s="57" t="n"/>
      <c r="FW70" s="57" t="n"/>
      <c r="FX70" s="67">
        <f>SUM(FT70:FW70)</f>
        <v/>
      </c>
      <c r="FY70" s="61" t="n"/>
      <c r="FZ70" s="57" t="n"/>
      <c r="GA70" s="66">
        <f>FQ70</f>
        <v/>
      </c>
      <c r="GB70" s="59" t="n"/>
      <c r="GC70" s="57" t="n"/>
      <c r="GD70" s="57" t="n"/>
      <c r="GE70" s="57" t="n"/>
      <c r="GF70" s="57" t="n"/>
      <c r="GG70" s="67">
        <f>SUM(GC70:GF70)</f>
        <v/>
      </c>
      <c r="GH70" s="61" t="n"/>
      <c r="GI70" s="57" t="n"/>
      <c r="GJ70" s="66">
        <f>FZ70</f>
        <v/>
      </c>
      <c r="GK70" s="59" t="n"/>
      <c r="GL70" s="57" t="n"/>
      <c r="GM70" s="57" t="n"/>
      <c r="GN70" s="57" t="n"/>
      <c r="GO70" s="57" t="n"/>
      <c r="GP70" s="67">
        <f>SUM(GL70:GO70)</f>
        <v/>
      </c>
      <c r="GQ70" s="61" t="n"/>
      <c r="GR70" s="57" t="n"/>
      <c r="GS70" s="66">
        <f>GI70</f>
        <v/>
      </c>
      <c r="GT70" s="59" t="n"/>
      <c r="GU70" s="57" t="n"/>
      <c r="GV70" s="57" t="n"/>
      <c r="GW70" s="57" t="n"/>
      <c r="GX70" s="57" t="n"/>
      <c r="GY70" s="67">
        <f>SUM(GU70:GX70)</f>
        <v/>
      </c>
      <c r="GZ70" s="61" t="n"/>
      <c r="HA70" s="57" t="n"/>
      <c r="HB70" s="66">
        <f>GR70</f>
        <v/>
      </c>
      <c r="HC70" s="59" t="n"/>
      <c r="HD70" s="57" t="n"/>
      <c r="HE70" s="57" t="n"/>
      <c r="HF70" s="57" t="n"/>
      <c r="HG70" s="57" t="n"/>
      <c r="HH70" s="67">
        <f>SUM(HD70:HG70)</f>
        <v/>
      </c>
      <c r="HI70" s="61" t="n"/>
      <c r="HJ70" s="57" t="n"/>
      <c r="HK70" s="66">
        <f>HA70</f>
        <v/>
      </c>
      <c r="HL70" s="59" t="n"/>
      <c r="HM70" s="57" t="n"/>
      <c r="HN70" s="57" t="n"/>
      <c r="HO70" s="57" t="n"/>
      <c r="HP70" s="57" t="n"/>
      <c r="HQ70" s="67">
        <f>SUM(HM70:HP70)</f>
        <v/>
      </c>
      <c r="HR70" s="61" t="n"/>
      <c r="HS70" s="57" t="n"/>
      <c r="HT70" s="66">
        <f>HJ70</f>
        <v/>
      </c>
      <c r="HU70" s="59" t="n"/>
      <c r="HV70" s="57" t="n"/>
      <c r="HW70" s="57" t="n"/>
      <c r="HX70" s="57" t="n"/>
      <c r="HY70" s="57" t="n"/>
      <c r="HZ70" s="67">
        <f>SUM(HV70:HY70)</f>
        <v/>
      </c>
      <c r="IA70" s="61" t="n"/>
      <c r="IB70" s="57" t="n"/>
      <c r="IC70" s="66">
        <f>HS70</f>
        <v/>
      </c>
      <c r="ID70" s="59" t="n"/>
      <c r="IE70" s="57" t="n"/>
      <c r="IF70" s="57" t="n"/>
      <c r="IG70" s="57" t="n"/>
      <c r="IH70" s="57" t="n"/>
      <c r="II70" s="67">
        <f>SUM(IE70:IH70)</f>
        <v/>
      </c>
      <c r="IJ70" s="61" t="n"/>
      <c r="IK70" s="57" t="n"/>
      <c r="IL70" s="66">
        <f>IB70</f>
        <v/>
      </c>
      <c r="IM70" s="59" t="n"/>
      <c r="IN70" s="57" t="n"/>
      <c r="IO70" s="57" t="n"/>
      <c r="IP70" s="57" t="n"/>
      <c r="IQ70" s="57" t="n"/>
      <c r="IR70" s="67">
        <f>SUM(IN70:IQ70)</f>
        <v/>
      </c>
      <c r="IS70" s="61" t="n"/>
      <c r="IT70" s="57" t="n"/>
      <c r="IU70" s="66">
        <f>IK70</f>
        <v/>
      </c>
      <c r="IV70" s="59" t="n"/>
      <c r="IW70" s="57" t="n"/>
      <c r="IX70" s="57" t="n"/>
      <c r="IY70" s="57" t="n"/>
      <c r="IZ70" s="57" t="n"/>
      <c r="JA70" s="67">
        <f>SUM(IW70:IZ70)</f>
        <v/>
      </c>
      <c r="JB70" s="61" t="n"/>
      <c r="JC70" s="57" t="n"/>
      <c r="JD70" s="66">
        <f>IT70</f>
        <v/>
      </c>
      <c r="JE70" s="59" t="n"/>
      <c r="JF70" s="57" t="n"/>
      <c r="JG70" s="57" t="n"/>
      <c r="JH70" s="57" t="n"/>
      <c r="JI70" s="57" t="n"/>
      <c r="JJ70" s="67">
        <f>SUM(JF70:JI70)</f>
        <v/>
      </c>
      <c r="JK70" s="61" t="n"/>
      <c r="JL70" s="57" t="n"/>
      <c r="JM70" s="66">
        <f>JC70</f>
        <v/>
      </c>
      <c r="JN70" s="59" t="n"/>
      <c r="JO70" s="57" t="n"/>
      <c r="JP70" s="57" t="n"/>
      <c r="JQ70" s="57" t="n"/>
      <c r="JR70" s="57" t="n"/>
      <c r="JS70" s="67">
        <f>SUM(JO70:JR70)</f>
        <v/>
      </c>
      <c r="JT70" s="61" t="n"/>
      <c r="JU70" s="62">
        <f>I70+R70+AA70+AJ70+AS70+BB70+BK70+BT70+CC70+CL70+CU70+DD70+DM70+DV70+EE70+EN70+EW70+FF70+FO70+FX70+GG70+GP70+GY70+HH70+HQ70+HZ70+II70+IR70+JA70+JJ70+JS70</f>
        <v/>
      </c>
      <c r="JV70" s="63">
        <f>D70+M70+V70+AE70+AN70+AW70+BF70+BO70+BX70+CG70+CP70+CY70+DH70+DQ70+DZ70+EI70+ER70+FA70+FJ70+FS70+GB70+GK70+GT70+HC70+HL70+HU70+ID70+IM70+IV70+JE70+JN70</f>
        <v/>
      </c>
      <c r="JW70" s="62">
        <f>CHOOSE($Z$3,B70, K70, T70, AC70, AL70, AU70, BD70, BM70, BV70, CE70, CN70, CW70, DF70, DO70, DX70, EG70, EP70, EY70, FH70, FQ70, FZ70, GI70, GR70, HA70, HJ70, HS70, IB70, IK70, IT70, JC70, JL70)</f>
        <v/>
      </c>
      <c r="JX70" s="62">
        <f>IFERROR(JU70/$Z$3,0)</f>
        <v/>
      </c>
      <c r="JY70" s="62">
        <f>Configurações!$C$10</f>
        <v/>
      </c>
      <c r="JZ70" s="64">
        <f>IF(JY70=0,"— Sem meta",IF(JU70&gt;=JY70,"✓ Atingida","Em andamento"))</f>
        <v/>
      </c>
      <c r="KA70" s="65">
        <f>JU70+(10*0.0000001)</f>
        <v/>
      </c>
    </row>
    <row r="71" ht="20" customHeight="1">
      <c r="A71" s="56">
        <f>IF(Configurações!$B$11="","Assessor 5",Configurações!$B$11)</f>
        <v/>
      </c>
      <c r="B71" s="57" t="n"/>
      <c r="C71" s="58">
        <f>'Julho'!$JW71</f>
        <v/>
      </c>
      <c r="D71" s="59" t="n"/>
      <c r="E71" s="57" t="n"/>
      <c r="F71" s="57" t="n"/>
      <c r="G71" s="57" t="n"/>
      <c r="H71" s="57" t="n"/>
      <c r="I71" s="60">
        <f>SUM(E71:H71)</f>
        <v/>
      </c>
      <c r="J71" s="61" t="n"/>
      <c r="K71" s="57" t="n"/>
      <c r="L71" s="58">
        <f>B71</f>
        <v/>
      </c>
      <c r="M71" s="59" t="n"/>
      <c r="N71" s="57" t="n"/>
      <c r="O71" s="57" t="n"/>
      <c r="P71" s="57" t="n"/>
      <c r="Q71" s="57" t="n"/>
      <c r="R71" s="60">
        <f>SUM(N71:Q71)</f>
        <v/>
      </c>
      <c r="S71" s="61" t="n"/>
      <c r="T71" s="57" t="n"/>
      <c r="U71" s="58">
        <f>K71</f>
        <v/>
      </c>
      <c r="V71" s="59" t="n"/>
      <c r="W71" s="57" t="n"/>
      <c r="X71" s="57" t="n"/>
      <c r="Y71" s="57" t="n"/>
      <c r="Z71" s="57" t="n"/>
      <c r="AA71" s="60">
        <f>SUM(W71:Z71)</f>
        <v/>
      </c>
      <c r="AB71" s="61" t="n"/>
      <c r="AC71" s="57" t="n"/>
      <c r="AD71" s="58">
        <f>T71</f>
        <v/>
      </c>
      <c r="AE71" s="59" t="n"/>
      <c r="AF71" s="57" t="n"/>
      <c r="AG71" s="57" t="n"/>
      <c r="AH71" s="57" t="n"/>
      <c r="AI71" s="57" t="n"/>
      <c r="AJ71" s="60">
        <f>SUM(AF71:AI71)</f>
        <v/>
      </c>
      <c r="AK71" s="61" t="n"/>
      <c r="AL71" s="57" t="n"/>
      <c r="AM71" s="58">
        <f>AC71</f>
        <v/>
      </c>
      <c r="AN71" s="59" t="n"/>
      <c r="AO71" s="57" t="n"/>
      <c r="AP71" s="57" t="n"/>
      <c r="AQ71" s="57" t="n"/>
      <c r="AR71" s="57" t="n"/>
      <c r="AS71" s="60">
        <f>SUM(AO71:AR71)</f>
        <v/>
      </c>
      <c r="AT71" s="61" t="n"/>
      <c r="AU71" s="57" t="n"/>
      <c r="AV71" s="58">
        <f>AL71</f>
        <v/>
      </c>
      <c r="AW71" s="59" t="n"/>
      <c r="AX71" s="57" t="n"/>
      <c r="AY71" s="57" t="n"/>
      <c r="AZ71" s="57" t="n"/>
      <c r="BA71" s="57" t="n"/>
      <c r="BB71" s="60">
        <f>SUM(AX71:BA71)</f>
        <v/>
      </c>
      <c r="BC71" s="61" t="n"/>
      <c r="BD71" s="57" t="n"/>
      <c r="BE71" s="58">
        <f>AU71</f>
        <v/>
      </c>
      <c r="BF71" s="59" t="n"/>
      <c r="BG71" s="57" t="n"/>
      <c r="BH71" s="57" t="n"/>
      <c r="BI71" s="57" t="n"/>
      <c r="BJ71" s="57" t="n"/>
      <c r="BK71" s="60">
        <f>SUM(BG71:BJ71)</f>
        <v/>
      </c>
      <c r="BL71" s="61" t="n"/>
      <c r="BM71" s="57" t="n"/>
      <c r="BN71" s="58">
        <f>BD71</f>
        <v/>
      </c>
      <c r="BO71" s="59" t="n"/>
      <c r="BP71" s="57" t="n"/>
      <c r="BQ71" s="57" t="n"/>
      <c r="BR71" s="57" t="n"/>
      <c r="BS71" s="57" t="n"/>
      <c r="BT71" s="60">
        <f>SUM(BP71:BS71)</f>
        <v/>
      </c>
      <c r="BU71" s="61" t="n"/>
      <c r="BV71" s="57" t="n"/>
      <c r="BW71" s="58">
        <f>BM71</f>
        <v/>
      </c>
      <c r="BX71" s="59" t="n"/>
      <c r="BY71" s="57" t="n"/>
      <c r="BZ71" s="57" t="n"/>
      <c r="CA71" s="57" t="n"/>
      <c r="CB71" s="57" t="n"/>
      <c r="CC71" s="60">
        <f>SUM(BY71:CB71)</f>
        <v/>
      </c>
      <c r="CD71" s="61" t="n"/>
      <c r="CE71" s="57" t="n"/>
      <c r="CF71" s="58">
        <f>BV71</f>
        <v/>
      </c>
      <c r="CG71" s="59" t="n"/>
      <c r="CH71" s="57" t="n"/>
      <c r="CI71" s="57" t="n"/>
      <c r="CJ71" s="57" t="n"/>
      <c r="CK71" s="57" t="n"/>
      <c r="CL71" s="60">
        <f>SUM(CH71:CK71)</f>
        <v/>
      </c>
      <c r="CM71" s="61" t="n"/>
      <c r="CN71" s="57" t="n"/>
      <c r="CO71" s="58">
        <f>CE71</f>
        <v/>
      </c>
      <c r="CP71" s="59" t="n"/>
      <c r="CQ71" s="57" t="n"/>
      <c r="CR71" s="57" t="n"/>
      <c r="CS71" s="57" t="n"/>
      <c r="CT71" s="57" t="n"/>
      <c r="CU71" s="60">
        <f>SUM(CQ71:CT71)</f>
        <v/>
      </c>
      <c r="CV71" s="61" t="n"/>
      <c r="CW71" s="57" t="n"/>
      <c r="CX71" s="58">
        <f>CN71</f>
        <v/>
      </c>
      <c r="CY71" s="59" t="n"/>
      <c r="CZ71" s="57" t="n"/>
      <c r="DA71" s="57" t="n"/>
      <c r="DB71" s="57" t="n"/>
      <c r="DC71" s="57" t="n"/>
      <c r="DD71" s="60">
        <f>SUM(CZ71:DC71)</f>
        <v/>
      </c>
      <c r="DE71" s="61" t="n"/>
      <c r="DF71" s="57" t="n"/>
      <c r="DG71" s="58">
        <f>CW71</f>
        <v/>
      </c>
      <c r="DH71" s="59" t="n"/>
      <c r="DI71" s="57" t="n"/>
      <c r="DJ71" s="57" t="n"/>
      <c r="DK71" s="57" t="n"/>
      <c r="DL71" s="57" t="n"/>
      <c r="DM71" s="60">
        <f>SUM(DI71:DL71)</f>
        <v/>
      </c>
      <c r="DN71" s="61" t="n"/>
      <c r="DO71" s="57" t="n"/>
      <c r="DP71" s="58">
        <f>DF71</f>
        <v/>
      </c>
      <c r="DQ71" s="59" t="n"/>
      <c r="DR71" s="57" t="n"/>
      <c r="DS71" s="57" t="n"/>
      <c r="DT71" s="57" t="n"/>
      <c r="DU71" s="57" t="n"/>
      <c r="DV71" s="60">
        <f>SUM(DR71:DU71)</f>
        <v/>
      </c>
      <c r="DW71" s="61" t="n"/>
      <c r="DX71" s="57" t="n"/>
      <c r="DY71" s="58">
        <f>DO71</f>
        <v/>
      </c>
      <c r="DZ71" s="59" t="n"/>
      <c r="EA71" s="57" t="n"/>
      <c r="EB71" s="57" t="n"/>
      <c r="EC71" s="57" t="n"/>
      <c r="ED71" s="57" t="n"/>
      <c r="EE71" s="60">
        <f>SUM(EA71:ED71)</f>
        <v/>
      </c>
      <c r="EF71" s="61" t="n"/>
      <c r="EG71" s="57" t="n"/>
      <c r="EH71" s="58">
        <f>DX71</f>
        <v/>
      </c>
      <c r="EI71" s="59" t="n"/>
      <c r="EJ71" s="57" t="n"/>
      <c r="EK71" s="57" t="n"/>
      <c r="EL71" s="57" t="n"/>
      <c r="EM71" s="57" t="n"/>
      <c r="EN71" s="60">
        <f>SUM(EJ71:EM71)</f>
        <v/>
      </c>
      <c r="EO71" s="61" t="n"/>
      <c r="EP71" s="57" t="n"/>
      <c r="EQ71" s="58">
        <f>EG71</f>
        <v/>
      </c>
      <c r="ER71" s="59" t="n"/>
      <c r="ES71" s="57" t="n"/>
      <c r="ET71" s="57" t="n"/>
      <c r="EU71" s="57" t="n"/>
      <c r="EV71" s="57" t="n"/>
      <c r="EW71" s="60">
        <f>SUM(ES71:EV71)</f>
        <v/>
      </c>
      <c r="EX71" s="61" t="n"/>
      <c r="EY71" s="57" t="n"/>
      <c r="EZ71" s="58">
        <f>EP71</f>
        <v/>
      </c>
      <c r="FA71" s="59" t="n"/>
      <c r="FB71" s="57" t="n"/>
      <c r="FC71" s="57" t="n"/>
      <c r="FD71" s="57" t="n"/>
      <c r="FE71" s="57" t="n"/>
      <c r="FF71" s="60">
        <f>SUM(FB71:FE71)</f>
        <v/>
      </c>
      <c r="FG71" s="61" t="n"/>
      <c r="FH71" s="57" t="n"/>
      <c r="FI71" s="58">
        <f>EY71</f>
        <v/>
      </c>
      <c r="FJ71" s="59" t="n"/>
      <c r="FK71" s="57" t="n"/>
      <c r="FL71" s="57" t="n"/>
      <c r="FM71" s="57" t="n"/>
      <c r="FN71" s="57" t="n"/>
      <c r="FO71" s="60">
        <f>SUM(FK71:FN71)</f>
        <v/>
      </c>
      <c r="FP71" s="61" t="n"/>
      <c r="FQ71" s="57" t="n"/>
      <c r="FR71" s="58">
        <f>FH71</f>
        <v/>
      </c>
      <c r="FS71" s="59" t="n"/>
      <c r="FT71" s="57" t="n"/>
      <c r="FU71" s="57" t="n"/>
      <c r="FV71" s="57" t="n"/>
      <c r="FW71" s="57" t="n"/>
      <c r="FX71" s="60">
        <f>SUM(FT71:FW71)</f>
        <v/>
      </c>
      <c r="FY71" s="61" t="n"/>
      <c r="FZ71" s="57" t="n"/>
      <c r="GA71" s="58">
        <f>FQ71</f>
        <v/>
      </c>
      <c r="GB71" s="59" t="n"/>
      <c r="GC71" s="57" t="n"/>
      <c r="GD71" s="57" t="n"/>
      <c r="GE71" s="57" t="n"/>
      <c r="GF71" s="57" t="n"/>
      <c r="GG71" s="60">
        <f>SUM(GC71:GF71)</f>
        <v/>
      </c>
      <c r="GH71" s="61" t="n"/>
      <c r="GI71" s="57" t="n"/>
      <c r="GJ71" s="58">
        <f>FZ71</f>
        <v/>
      </c>
      <c r="GK71" s="59" t="n"/>
      <c r="GL71" s="57" t="n"/>
      <c r="GM71" s="57" t="n"/>
      <c r="GN71" s="57" t="n"/>
      <c r="GO71" s="57" t="n"/>
      <c r="GP71" s="60">
        <f>SUM(GL71:GO71)</f>
        <v/>
      </c>
      <c r="GQ71" s="61" t="n"/>
      <c r="GR71" s="57" t="n"/>
      <c r="GS71" s="58">
        <f>GI71</f>
        <v/>
      </c>
      <c r="GT71" s="59" t="n"/>
      <c r="GU71" s="57" t="n"/>
      <c r="GV71" s="57" t="n"/>
      <c r="GW71" s="57" t="n"/>
      <c r="GX71" s="57" t="n"/>
      <c r="GY71" s="60">
        <f>SUM(GU71:GX71)</f>
        <v/>
      </c>
      <c r="GZ71" s="61" t="n"/>
      <c r="HA71" s="57" t="n"/>
      <c r="HB71" s="58">
        <f>GR71</f>
        <v/>
      </c>
      <c r="HC71" s="59" t="n"/>
      <c r="HD71" s="57" t="n"/>
      <c r="HE71" s="57" t="n"/>
      <c r="HF71" s="57" t="n"/>
      <c r="HG71" s="57" t="n"/>
      <c r="HH71" s="60">
        <f>SUM(HD71:HG71)</f>
        <v/>
      </c>
      <c r="HI71" s="61" t="n"/>
      <c r="HJ71" s="57" t="n"/>
      <c r="HK71" s="58">
        <f>HA71</f>
        <v/>
      </c>
      <c r="HL71" s="59" t="n"/>
      <c r="HM71" s="57" t="n"/>
      <c r="HN71" s="57" t="n"/>
      <c r="HO71" s="57" t="n"/>
      <c r="HP71" s="57" t="n"/>
      <c r="HQ71" s="60">
        <f>SUM(HM71:HP71)</f>
        <v/>
      </c>
      <c r="HR71" s="61" t="n"/>
      <c r="HS71" s="57" t="n"/>
      <c r="HT71" s="58">
        <f>HJ71</f>
        <v/>
      </c>
      <c r="HU71" s="59" t="n"/>
      <c r="HV71" s="57" t="n"/>
      <c r="HW71" s="57" t="n"/>
      <c r="HX71" s="57" t="n"/>
      <c r="HY71" s="57" t="n"/>
      <c r="HZ71" s="60">
        <f>SUM(HV71:HY71)</f>
        <v/>
      </c>
      <c r="IA71" s="61" t="n"/>
      <c r="IB71" s="57" t="n"/>
      <c r="IC71" s="58">
        <f>HS71</f>
        <v/>
      </c>
      <c r="ID71" s="59" t="n"/>
      <c r="IE71" s="57" t="n"/>
      <c r="IF71" s="57" t="n"/>
      <c r="IG71" s="57" t="n"/>
      <c r="IH71" s="57" t="n"/>
      <c r="II71" s="60">
        <f>SUM(IE71:IH71)</f>
        <v/>
      </c>
      <c r="IJ71" s="61" t="n"/>
      <c r="IK71" s="57" t="n"/>
      <c r="IL71" s="58">
        <f>IB71</f>
        <v/>
      </c>
      <c r="IM71" s="59" t="n"/>
      <c r="IN71" s="57" t="n"/>
      <c r="IO71" s="57" t="n"/>
      <c r="IP71" s="57" t="n"/>
      <c r="IQ71" s="57" t="n"/>
      <c r="IR71" s="60">
        <f>SUM(IN71:IQ71)</f>
        <v/>
      </c>
      <c r="IS71" s="61" t="n"/>
      <c r="IT71" s="57" t="n"/>
      <c r="IU71" s="58">
        <f>IK71</f>
        <v/>
      </c>
      <c r="IV71" s="59" t="n"/>
      <c r="IW71" s="57" t="n"/>
      <c r="IX71" s="57" t="n"/>
      <c r="IY71" s="57" t="n"/>
      <c r="IZ71" s="57" t="n"/>
      <c r="JA71" s="60">
        <f>SUM(IW71:IZ71)</f>
        <v/>
      </c>
      <c r="JB71" s="61" t="n"/>
      <c r="JC71" s="57" t="n"/>
      <c r="JD71" s="58">
        <f>IT71</f>
        <v/>
      </c>
      <c r="JE71" s="59" t="n"/>
      <c r="JF71" s="57" t="n"/>
      <c r="JG71" s="57" t="n"/>
      <c r="JH71" s="57" t="n"/>
      <c r="JI71" s="57" t="n"/>
      <c r="JJ71" s="60">
        <f>SUM(JF71:JI71)</f>
        <v/>
      </c>
      <c r="JK71" s="61" t="n"/>
      <c r="JL71" s="57" t="n"/>
      <c r="JM71" s="58">
        <f>JC71</f>
        <v/>
      </c>
      <c r="JN71" s="59" t="n"/>
      <c r="JO71" s="57" t="n"/>
      <c r="JP71" s="57" t="n"/>
      <c r="JQ71" s="57" t="n"/>
      <c r="JR71" s="57" t="n"/>
      <c r="JS71" s="60">
        <f>SUM(JO71:JR71)</f>
        <v/>
      </c>
      <c r="JT71" s="61" t="n"/>
      <c r="JU71" s="62">
        <f>I71+R71+AA71+AJ71+AS71+BB71+BK71+BT71+CC71+CL71+CU71+DD71+DM71+DV71+EE71+EN71+EW71+FF71+FO71+FX71+GG71+GP71+GY71+HH71+HQ71+HZ71+II71+IR71+JA71+JJ71+JS71</f>
        <v/>
      </c>
      <c r="JV71" s="63">
        <f>D71+M71+V71+AE71+AN71+AW71+BF71+BO71+BX71+CG71+CP71+CY71+DH71+DQ71+DZ71+EI71+ER71+FA71+FJ71+FS71+GB71+GK71+GT71+HC71+HL71+HU71+ID71+IM71+IV71+JE71+JN71</f>
        <v/>
      </c>
      <c r="JW71" s="62">
        <f>CHOOSE($Z$3,B71, K71, T71, AC71, AL71, AU71, BD71, BM71, BV71, CE71, CN71, CW71, DF71, DO71, DX71, EG71, EP71, EY71, FH71, FQ71, FZ71, GI71, GR71, HA71, HJ71, HS71, IB71, IK71, IT71, JC71, JL71)</f>
        <v/>
      </c>
      <c r="JX71" s="62">
        <f>IFERROR(JU71/$Z$3,0)</f>
        <v/>
      </c>
      <c r="JY71" s="62">
        <f>Configurações!$C$11</f>
        <v/>
      </c>
      <c r="JZ71" s="64">
        <f>IF(JY71=0,"— Sem meta",IF(JU71&gt;=JY71,"✓ Atingida","Em andamento"))</f>
        <v/>
      </c>
      <c r="KA71" s="65">
        <f>JU71+(9*0.0000001)</f>
        <v/>
      </c>
    </row>
    <row r="72" ht="20" customHeight="1">
      <c r="A72" s="56">
        <f>IF(Configurações!$B$12="","Assessor 6",Configurações!$B$12)</f>
        <v/>
      </c>
      <c r="B72" s="57" t="n"/>
      <c r="C72" s="66">
        <f>'Julho'!$JW72</f>
        <v/>
      </c>
      <c r="D72" s="59" t="n"/>
      <c r="E72" s="57" t="n"/>
      <c r="F72" s="57" t="n"/>
      <c r="G72" s="57" t="n"/>
      <c r="H72" s="57" t="n"/>
      <c r="I72" s="67">
        <f>SUM(E72:H72)</f>
        <v/>
      </c>
      <c r="J72" s="61" t="n"/>
      <c r="K72" s="57" t="n"/>
      <c r="L72" s="66">
        <f>B72</f>
        <v/>
      </c>
      <c r="M72" s="59" t="n"/>
      <c r="N72" s="57" t="n"/>
      <c r="O72" s="57" t="n"/>
      <c r="P72" s="57" t="n"/>
      <c r="Q72" s="57" t="n"/>
      <c r="R72" s="67">
        <f>SUM(N72:Q72)</f>
        <v/>
      </c>
      <c r="S72" s="61" t="n"/>
      <c r="T72" s="57" t="n"/>
      <c r="U72" s="66">
        <f>K72</f>
        <v/>
      </c>
      <c r="V72" s="59" t="n"/>
      <c r="W72" s="57" t="n"/>
      <c r="X72" s="57" t="n"/>
      <c r="Y72" s="57" t="n"/>
      <c r="Z72" s="57" t="n"/>
      <c r="AA72" s="67">
        <f>SUM(W72:Z72)</f>
        <v/>
      </c>
      <c r="AB72" s="61" t="n"/>
      <c r="AC72" s="57" t="n"/>
      <c r="AD72" s="66">
        <f>T72</f>
        <v/>
      </c>
      <c r="AE72" s="59" t="n"/>
      <c r="AF72" s="57" t="n"/>
      <c r="AG72" s="57" t="n"/>
      <c r="AH72" s="57" t="n"/>
      <c r="AI72" s="57" t="n"/>
      <c r="AJ72" s="67">
        <f>SUM(AF72:AI72)</f>
        <v/>
      </c>
      <c r="AK72" s="61" t="n"/>
      <c r="AL72" s="57" t="n"/>
      <c r="AM72" s="66">
        <f>AC72</f>
        <v/>
      </c>
      <c r="AN72" s="59" t="n"/>
      <c r="AO72" s="57" t="n"/>
      <c r="AP72" s="57" t="n"/>
      <c r="AQ72" s="57" t="n"/>
      <c r="AR72" s="57" t="n"/>
      <c r="AS72" s="67">
        <f>SUM(AO72:AR72)</f>
        <v/>
      </c>
      <c r="AT72" s="61" t="n"/>
      <c r="AU72" s="57" t="n"/>
      <c r="AV72" s="66">
        <f>AL72</f>
        <v/>
      </c>
      <c r="AW72" s="59" t="n"/>
      <c r="AX72" s="57" t="n"/>
      <c r="AY72" s="57" t="n"/>
      <c r="AZ72" s="57" t="n"/>
      <c r="BA72" s="57" t="n"/>
      <c r="BB72" s="67">
        <f>SUM(AX72:BA72)</f>
        <v/>
      </c>
      <c r="BC72" s="61" t="n"/>
      <c r="BD72" s="57" t="n"/>
      <c r="BE72" s="66">
        <f>AU72</f>
        <v/>
      </c>
      <c r="BF72" s="59" t="n"/>
      <c r="BG72" s="57" t="n"/>
      <c r="BH72" s="57" t="n"/>
      <c r="BI72" s="57" t="n"/>
      <c r="BJ72" s="57" t="n"/>
      <c r="BK72" s="67">
        <f>SUM(BG72:BJ72)</f>
        <v/>
      </c>
      <c r="BL72" s="61" t="n"/>
      <c r="BM72" s="57" t="n"/>
      <c r="BN72" s="66">
        <f>BD72</f>
        <v/>
      </c>
      <c r="BO72" s="59" t="n"/>
      <c r="BP72" s="57" t="n"/>
      <c r="BQ72" s="57" t="n"/>
      <c r="BR72" s="57" t="n"/>
      <c r="BS72" s="57" t="n"/>
      <c r="BT72" s="67">
        <f>SUM(BP72:BS72)</f>
        <v/>
      </c>
      <c r="BU72" s="61" t="n"/>
      <c r="BV72" s="57" t="n"/>
      <c r="BW72" s="66">
        <f>BM72</f>
        <v/>
      </c>
      <c r="BX72" s="59" t="n"/>
      <c r="BY72" s="57" t="n"/>
      <c r="BZ72" s="57" t="n"/>
      <c r="CA72" s="57" t="n"/>
      <c r="CB72" s="57" t="n"/>
      <c r="CC72" s="67">
        <f>SUM(BY72:CB72)</f>
        <v/>
      </c>
      <c r="CD72" s="61" t="n"/>
      <c r="CE72" s="57" t="n"/>
      <c r="CF72" s="66">
        <f>BV72</f>
        <v/>
      </c>
      <c r="CG72" s="59" t="n"/>
      <c r="CH72" s="57" t="n"/>
      <c r="CI72" s="57" t="n"/>
      <c r="CJ72" s="57" t="n"/>
      <c r="CK72" s="57" t="n"/>
      <c r="CL72" s="67">
        <f>SUM(CH72:CK72)</f>
        <v/>
      </c>
      <c r="CM72" s="61" t="n"/>
      <c r="CN72" s="57" t="n"/>
      <c r="CO72" s="66">
        <f>CE72</f>
        <v/>
      </c>
      <c r="CP72" s="59" t="n"/>
      <c r="CQ72" s="57" t="n"/>
      <c r="CR72" s="57" t="n"/>
      <c r="CS72" s="57" t="n"/>
      <c r="CT72" s="57" t="n"/>
      <c r="CU72" s="67">
        <f>SUM(CQ72:CT72)</f>
        <v/>
      </c>
      <c r="CV72" s="61" t="n"/>
      <c r="CW72" s="57" t="n"/>
      <c r="CX72" s="66">
        <f>CN72</f>
        <v/>
      </c>
      <c r="CY72" s="59" t="n"/>
      <c r="CZ72" s="57" t="n"/>
      <c r="DA72" s="57" t="n"/>
      <c r="DB72" s="57" t="n"/>
      <c r="DC72" s="57" t="n"/>
      <c r="DD72" s="67">
        <f>SUM(CZ72:DC72)</f>
        <v/>
      </c>
      <c r="DE72" s="61" t="n"/>
      <c r="DF72" s="57" t="n"/>
      <c r="DG72" s="66">
        <f>CW72</f>
        <v/>
      </c>
      <c r="DH72" s="59" t="n"/>
      <c r="DI72" s="57" t="n"/>
      <c r="DJ72" s="57" t="n"/>
      <c r="DK72" s="57" t="n"/>
      <c r="DL72" s="57" t="n"/>
      <c r="DM72" s="67">
        <f>SUM(DI72:DL72)</f>
        <v/>
      </c>
      <c r="DN72" s="61" t="n"/>
      <c r="DO72" s="57" t="n"/>
      <c r="DP72" s="66">
        <f>DF72</f>
        <v/>
      </c>
      <c r="DQ72" s="59" t="n"/>
      <c r="DR72" s="57" t="n"/>
      <c r="DS72" s="57" t="n"/>
      <c r="DT72" s="57" t="n"/>
      <c r="DU72" s="57" t="n"/>
      <c r="DV72" s="67">
        <f>SUM(DR72:DU72)</f>
        <v/>
      </c>
      <c r="DW72" s="61" t="n"/>
      <c r="DX72" s="57" t="n"/>
      <c r="DY72" s="66">
        <f>DO72</f>
        <v/>
      </c>
      <c r="DZ72" s="59" t="n"/>
      <c r="EA72" s="57" t="n"/>
      <c r="EB72" s="57" t="n"/>
      <c r="EC72" s="57" t="n"/>
      <c r="ED72" s="57" t="n"/>
      <c r="EE72" s="67">
        <f>SUM(EA72:ED72)</f>
        <v/>
      </c>
      <c r="EF72" s="61" t="n"/>
      <c r="EG72" s="57" t="n"/>
      <c r="EH72" s="66">
        <f>DX72</f>
        <v/>
      </c>
      <c r="EI72" s="59" t="n"/>
      <c r="EJ72" s="57" t="n"/>
      <c r="EK72" s="57" t="n"/>
      <c r="EL72" s="57" t="n"/>
      <c r="EM72" s="57" t="n"/>
      <c r="EN72" s="67">
        <f>SUM(EJ72:EM72)</f>
        <v/>
      </c>
      <c r="EO72" s="61" t="n"/>
      <c r="EP72" s="57" t="n"/>
      <c r="EQ72" s="66">
        <f>EG72</f>
        <v/>
      </c>
      <c r="ER72" s="59" t="n"/>
      <c r="ES72" s="57" t="n"/>
      <c r="ET72" s="57" t="n"/>
      <c r="EU72" s="57" t="n"/>
      <c r="EV72" s="57" t="n"/>
      <c r="EW72" s="67">
        <f>SUM(ES72:EV72)</f>
        <v/>
      </c>
      <c r="EX72" s="61" t="n"/>
      <c r="EY72" s="57" t="n"/>
      <c r="EZ72" s="66">
        <f>EP72</f>
        <v/>
      </c>
      <c r="FA72" s="59" t="n"/>
      <c r="FB72" s="57" t="n"/>
      <c r="FC72" s="57" t="n"/>
      <c r="FD72" s="57" t="n"/>
      <c r="FE72" s="57" t="n"/>
      <c r="FF72" s="67">
        <f>SUM(FB72:FE72)</f>
        <v/>
      </c>
      <c r="FG72" s="61" t="n"/>
      <c r="FH72" s="57" t="n"/>
      <c r="FI72" s="66">
        <f>EY72</f>
        <v/>
      </c>
      <c r="FJ72" s="59" t="n"/>
      <c r="FK72" s="57" t="n"/>
      <c r="FL72" s="57" t="n"/>
      <c r="FM72" s="57" t="n"/>
      <c r="FN72" s="57" t="n"/>
      <c r="FO72" s="67">
        <f>SUM(FK72:FN72)</f>
        <v/>
      </c>
      <c r="FP72" s="61" t="n"/>
      <c r="FQ72" s="57" t="n"/>
      <c r="FR72" s="66">
        <f>FH72</f>
        <v/>
      </c>
      <c r="FS72" s="59" t="n"/>
      <c r="FT72" s="57" t="n"/>
      <c r="FU72" s="57" t="n"/>
      <c r="FV72" s="57" t="n"/>
      <c r="FW72" s="57" t="n"/>
      <c r="FX72" s="67">
        <f>SUM(FT72:FW72)</f>
        <v/>
      </c>
      <c r="FY72" s="61" t="n"/>
      <c r="FZ72" s="57" t="n"/>
      <c r="GA72" s="66">
        <f>FQ72</f>
        <v/>
      </c>
      <c r="GB72" s="59" t="n"/>
      <c r="GC72" s="57" t="n"/>
      <c r="GD72" s="57" t="n"/>
      <c r="GE72" s="57" t="n"/>
      <c r="GF72" s="57" t="n"/>
      <c r="GG72" s="67">
        <f>SUM(GC72:GF72)</f>
        <v/>
      </c>
      <c r="GH72" s="61" t="n"/>
      <c r="GI72" s="57" t="n"/>
      <c r="GJ72" s="66">
        <f>FZ72</f>
        <v/>
      </c>
      <c r="GK72" s="59" t="n"/>
      <c r="GL72" s="57" t="n"/>
      <c r="GM72" s="57" t="n"/>
      <c r="GN72" s="57" t="n"/>
      <c r="GO72" s="57" t="n"/>
      <c r="GP72" s="67">
        <f>SUM(GL72:GO72)</f>
        <v/>
      </c>
      <c r="GQ72" s="61" t="n"/>
      <c r="GR72" s="57" t="n"/>
      <c r="GS72" s="66">
        <f>GI72</f>
        <v/>
      </c>
      <c r="GT72" s="59" t="n"/>
      <c r="GU72" s="57" t="n"/>
      <c r="GV72" s="57" t="n"/>
      <c r="GW72" s="57" t="n"/>
      <c r="GX72" s="57" t="n"/>
      <c r="GY72" s="67">
        <f>SUM(GU72:GX72)</f>
        <v/>
      </c>
      <c r="GZ72" s="61" t="n"/>
      <c r="HA72" s="57" t="n"/>
      <c r="HB72" s="66">
        <f>GR72</f>
        <v/>
      </c>
      <c r="HC72" s="59" t="n"/>
      <c r="HD72" s="57" t="n"/>
      <c r="HE72" s="57" t="n"/>
      <c r="HF72" s="57" t="n"/>
      <c r="HG72" s="57" t="n"/>
      <c r="HH72" s="67">
        <f>SUM(HD72:HG72)</f>
        <v/>
      </c>
      <c r="HI72" s="61" t="n"/>
      <c r="HJ72" s="57" t="n"/>
      <c r="HK72" s="66">
        <f>HA72</f>
        <v/>
      </c>
      <c r="HL72" s="59" t="n"/>
      <c r="HM72" s="57" t="n"/>
      <c r="HN72" s="57" t="n"/>
      <c r="HO72" s="57" t="n"/>
      <c r="HP72" s="57" t="n"/>
      <c r="HQ72" s="67">
        <f>SUM(HM72:HP72)</f>
        <v/>
      </c>
      <c r="HR72" s="61" t="n"/>
      <c r="HS72" s="57" t="n"/>
      <c r="HT72" s="66">
        <f>HJ72</f>
        <v/>
      </c>
      <c r="HU72" s="59" t="n"/>
      <c r="HV72" s="57" t="n"/>
      <c r="HW72" s="57" t="n"/>
      <c r="HX72" s="57" t="n"/>
      <c r="HY72" s="57" t="n"/>
      <c r="HZ72" s="67">
        <f>SUM(HV72:HY72)</f>
        <v/>
      </c>
      <c r="IA72" s="61" t="n"/>
      <c r="IB72" s="57" t="n"/>
      <c r="IC72" s="66">
        <f>HS72</f>
        <v/>
      </c>
      <c r="ID72" s="59" t="n"/>
      <c r="IE72" s="57" t="n"/>
      <c r="IF72" s="57" t="n"/>
      <c r="IG72" s="57" t="n"/>
      <c r="IH72" s="57" t="n"/>
      <c r="II72" s="67">
        <f>SUM(IE72:IH72)</f>
        <v/>
      </c>
      <c r="IJ72" s="61" t="n"/>
      <c r="IK72" s="57" t="n"/>
      <c r="IL72" s="66">
        <f>IB72</f>
        <v/>
      </c>
      <c r="IM72" s="59" t="n"/>
      <c r="IN72" s="57" t="n"/>
      <c r="IO72" s="57" t="n"/>
      <c r="IP72" s="57" t="n"/>
      <c r="IQ72" s="57" t="n"/>
      <c r="IR72" s="67">
        <f>SUM(IN72:IQ72)</f>
        <v/>
      </c>
      <c r="IS72" s="61" t="n"/>
      <c r="IT72" s="57" t="n"/>
      <c r="IU72" s="66">
        <f>IK72</f>
        <v/>
      </c>
      <c r="IV72" s="59" t="n"/>
      <c r="IW72" s="57" t="n"/>
      <c r="IX72" s="57" t="n"/>
      <c r="IY72" s="57" t="n"/>
      <c r="IZ72" s="57" t="n"/>
      <c r="JA72" s="67">
        <f>SUM(IW72:IZ72)</f>
        <v/>
      </c>
      <c r="JB72" s="61" t="n"/>
      <c r="JC72" s="57" t="n"/>
      <c r="JD72" s="66">
        <f>IT72</f>
        <v/>
      </c>
      <c r="JE72" s="59" t="n"/>
      <c r="JF72" s="57" t="n"/>
      <c r="JG72" s="57" t="n"/>
      <c r="JH72" s="57" t="n"/>
      <c r="JI72" s="57" t="n"/>
      <c r="JJ72" s="67">
        <f>SUM(JF72:JI72)</f>
        <v/>
      </c>
      <c r="JK72" s="61" t="n"/>
      <c r="JL72" s="57" t="n"/>
      <c r="JM72" s="66">
        <f>JC72</f>
        <v/>
      </c>
      <c r="JN72" s="59" t="n"/>
      <c r="JO72" s="57" t="n"/>
      <c r="JP72" s="57" t="n"/>
      <c r="JQ72" s="57" t="n"/>
      <c r="JR72" s="57" t="n"/>
      <c r="JS72" s="67">
        <f>SUM(JO72:JR72)</f>
        <v/>
      </c>
      <c r="JT72" s="61" t="n"/>
      <c r="JU72" s="62">
        <f>I72+R72+AA72+AJ72+AS72+BB72+BK72+BT72+CC72+CL72+CU72+DD72+DM72+DV72+EE72+EN72+EW72+FF72+FO72+FX72+GG72+GP72+GY72+HH72+HQ72+HZ72+II72+IR72+JA72+JJ72+JS72</f>
        <v/>
      </c>
      <c r="JV72" s="63">
        <f>D72+M72+V72+AE72+AN72+AW72+BF72+BO72+BX72+CG72+CP72+CY72+DH72+DQ72+DZ72+EI72+ER72+FA72+FJ72+FS72+GB72+GK72+GT72+HC72+HL72+HU72+ID72+IM72+IV72+JE72+JN72</f>
        <v/>
      </c>
      <c r="JW72" s="62">
        <f>CHOOSE($Z$3,B72, K72, T72, AC72, AL72, AU72, BD72, BM72, BV72, CE72, CN72, CW72, DF72, DO72, DX72, EG72, EP72, EY72, FH72, FQ72, FZ72, GI72, GR72, HA72, HJ72, HS72, IB72, IK72, IT72, JC72, JL72)</f>
        <v/>
      </c>
      <c r="JX72" s="62">
        <f>IFERROR(JU72/$Z$3,0)</f>
        <v/>
      </c>
      <c r="JY72" s="62">
        <f>Configurações!$C$12</f>
        <v/>
      </c>
      <c r="JZ72" s="64">
        <f>IF(JY72=0,"— Sem meta",IF(JU72&gt;=JY72,"✓ Atingida","Em andamento"))</f>
        <v/>
      </c>
      <c r="KA72" s="65">
        <f>JU72+(8*0.0000001)</f>
        <v/>
      </c>
    </row>
    <row r="73" ht="20" customHeight="1">
      <c r="A73" s="56">
        <f>IF(Configurações!$B$13="","Assessor 7",Configurações!$B$13)</f>
        <v/>
      </c>
      <c r="B73" s="57" t="n"/>
      <c r="C73" s="58">
        <f>'Julho'!$JW73</f>
        <v/>
      </c>
      <c r="D73" s="59" t="n"/>
      <c r="E73" s="57" t="n"/>
      <c r="F73" s="57" t="n"/>
      <c r="G73" s="57" t="n"/>
      <c r="H73" s="57" t="n"/>
      <c r="I73" s="60">
        <f>SUM(E73:H73)</f>
        <v/>
      </c>
      <c r="J73" s="61" t="n"/>
      <c r="K73" s="57" t="n"/>
      <c r="L73" s="58">
        <f>B73</f>
        <v/>
      </c>
      <c r="M73" s="59" t="n"/>
      <c r="N73" s="57" t="n"/>
      <c r="O73" s="57" t="n"/>
      <c r="P73" s="57" t="n"/>
      <c r="Q73" s="57" t="n"/>
      <c r="R73" s="60">
        <f>SUM(N73:Q73)</f>
        <v/>
      </c>
      <c r="S73" s="61" t="n"/>
      <c r="T73" s="57" t="n"/>
      <c r="U73" s="58">
        <f>K73</f>
        <v/>
      </c>
      <c r="V73" s="59" t="n"/>
      <c r="W73" s="57" t="n"/>
      <c r="X73" s="57" t="n"/>
      <c r="Y73" s="57" t="n"/>
      <c r="Z73" s="57" t="n"/>
      <c r="AA73" s="60">
        <f>SUM(W73:Z73)</f>
        <v/>
      </c>
      <c r="AB73" s="61" t="n"/>
      <c r="AC73" s="57" t="n"/>
      <c r="AD73" s="58">
        <f>T73</f>
        <v/>
      </c>
      <c r="AE73" s="59" t="n"/>
      <c r="AF73" s="57" t="n"/>
      <c r="AG73" s="57" t="n"/>
      <c r="AH73" s="57" t="n"/>
      <c r="AI73" s="57" t="n"/>
      <c r="AJ73" s="60">
        <f>SUM(AF73:AI73)</f>
        <v/>
      </c>
      <c r="AK73" s="61" t="n"/>
      <c r="AL73" s="57" t="n"/>
      <c r="AM73" s="58">
        <f>AC73</f>
        <v/>
      </c>
      <c r="AN73" s="59" t="n"/>
      <c r="AO73" s="57" t="n"/>
      <c r="AP73" s="57" t="n"/>
      <c r="AQ73" s="57" t="n"/>
      <c r="AR73" s="57" t="n"/>
      <c r="AS73" s="60">
        <f>SUM(AO73:AR73)</f>
        <v/>
      </c>
      <c r="AT73" s="61" t="n"/>
      <c r="AU73" s="57" t="n"/>
      <c r="AV73" s="58">
        <f>AL73</f>
        <v/>
      </c>
      <c r="AW73" s="59" t="n"/>
      <c r="AX73" s="57" t="n"/>
      <c r="AY73" s="57" t="n"/>
      <c r="AZ73" s="57" t="n"/>
      <c r="BA73" s="57" t="n"/>
      <c r="BB73" s="60">
        <f>SUM(AX73:BA73)</f>
        <v/>
      </c>
      <c r="BC73" s="61" t="n"/>
      <c r="BD73" s="57" t="n"/>
      <c r="BE73" s="58">
        <f>AU73</f>
        <v/>
      </c>
      <c r="BF73" s="59" t="n"/>
      <c r="BG73" s="57" t="n"/>
      <c r="BH73" s="57" t="n"/>
      <c r="BI73" s="57" t="n"/>
      <c r="BJ73" s="57" t="n"/>
      <c r="BK73" s="60">
        <f>SUM(BG73:BJ73)</f>
        <v/>
      </c>
      <c r="BL73" s="61" t="n"/>
      <c r="BM73" s="57" t="n"/>
      <c r="BN73" s="58">
        <f>BD73</f>
        <v/>
      </c>
      <c r="BO73" s="59" t="n"/>
      <c r="BP73" s="57" t="n"/>
      <c r="BQ73" s="57" t="n"/>
      <c r="BR73" s="57" t="n"/>
      <c r="BS73" s="57" t="n"/>
      <c r="BT73" s="60">
        <f>SUM(BP73:BS73)</f>
        <v/>
      </c>
      <c r="BU73" s="61" t="n"/>
      <c r="BV73" s="57" t="n"/>
      <c r="BW73" s="58">
        <f>BM73</f>
        <v/>
      </c>
      <c r="BX73" s="59" t="n"/>
      <c r="BY73" s="57" t="n"/>
      <c r="BZ73" s="57" t="n"/>
      <c r="CA73" s="57" t="n"/>
      <c r="CB73" s="57" t="n"/>
      <c r="CC73" s="60">
        <f>SUM(BY73:CB73)</f>
        <v/>
      </c>
      <c r="CD73" s="61" t="n"/>
      <c r="CE73" s="57" t="n"/>
      <c r="CF73" s="58">
        <f>BV73</f>
        <v/>
      </c>
      <c r="CG73" s="59" t="n"/>
      <c r="CH73" s="57" t="n"/>
      <c r="CI73" s="57" t="n"/>
      <c r="CJ73" s="57" t="n"/>
      <c r="CK73" s="57" t="n"/>
      <c r="CL73" s="60">
        <f>SUM(CH73:CK73)</f>
        <v/>
      </c>
      <c r="CM73" s="61" t="n"/>
      <c r="CN73" s="57" t="n"/>
      <c r="CO73" s="58">
        <f>CE73</f>
        <v/>
      </c>
      <c r="CP73" s="59" t="n"/>
      <c r="CQ73" s="57" t="n"/>
      <c r="CR73" s="57" t="n"/>
      <c r="CS73" s="57" t="n"/>
      <c r="CT73" s="57" t="n"/>
      <c r="CU73" s="60">
        <f>SUM(CQ73:CT73)</f>
        <v/>
      </c>
      <c r="CV73" s="61" t="n"/>
      <c r="CW73" s="57" t="n"/>
      <c r="CX73" s="58">
        <f>CN73</f>
        <v/>
      </c>
      <c r="CY73" s="59" t="n"/>
      <c r="CZ73" s="57" t="n"/>
      <c r="DA73" s="57" t="n"/>
      <c r="DB73" s="57" t="n"/>
      <c r="DC73" s="57" t="n"/>
      <c r="DD73" s="60">
        <f>SUM(CZ73:DC73)</f>
        <v/>
      </c>
      <c r="DE73" s="61" t="n"/>
      <c r="DF73" s="57" t="n"/>
      <c r="DG73" s="58">
        <f>CW73</f>
        <v/>
      </c>
      <c r="DH73" s="59" t="n"/>
      <c r="DI73" s="57" t="n"/>
      <c r="DJ73" s="57" t="n"/>
      <c r="DK73" s="57" t="n"/>
      <c r="DL73" s="57" t="n"/>
      <c r="DM73" s="60">
        <f>SUM(DI73:DL73)</f>
        <v/>
      </c>
      <c r="DN73" s="61" t="n"/>
      <c r="DO73" s="57" t="n"/>
      <c r="DP73" s="58">
        <f>DF73</f>
        <v/>
      </c>
      <c r="DQ73" s="59" t="n"/>
      <c r="DR73" s="57" t="n"/>
      <c r="DS73" s="57" t="n"/>
      <c r="DT73" s="57" t="n"/>
      <c r="DU73" s="57" t="n"/>
      <c r="DV73" s="60">
        <f>SUM(DR73:DU73)</f>
        <v/>
      </c>
      <c r="DW73" s="61" t="n"/>
      <c r="DX73" s="57" t="n"/>
      <c r="DY73" s="58">
        <f>DO73</f>
        <v/>
      </c>
      <c r="DZ73" s="59" t="n"/>
      <c r="EA73" s="57" t="n"/>
      <c r="EB73" s="57" t="n"/>
      <c r="EC73" s="57" t="n"/>
      <c r="ED73" s="57" t="n"/>
      <c r="EE73" s="60">
        <f>SUM(EA73:ED73)</f>
        <v/>
      </c>
      <c r="EF73" s="61" t="n"/>
      <c r="EG73" s="57" t="n"/>
      <c r="EH73" s="58">
        <f>DX73</f>
        <v/>
      </c>
      <c r="EI73" s="59" t="n"/>
      <c r="EJ73" s="57" t="n"/>
      <c r="EK73" s="57" t="n"/>
      <c r="EL73" s="57" t="n"/>
      <c r="EM73" s="57" t="n"/>
      <c r="EN73" s="60">
        <f>SUM(EJ73:EM73)</f>
        <v/>
      </c>
      <c r="EO73" s="61" t="n"/>
      <c r="EP73" s="57" t="n"/>
      <c r="EQ73" s="58">
        <f>EG73</f>
        <v/>
      </c>
      <c r="ER73" s="59" t="n"/>
      <c r="ES73" s="57" t="n"/>
      <c r="ET73" s="57" t="n"/>
      <c r="EU73" s="57" t="n"/>
      <c r="EV73" s="57" t="n"/>
      <c r="EW73" s="60">
        <f>SUM(ES73:EV73)</f>
        <v/>
      </c>
      <c r="EX73" s="61" t="n"/>
      <c r="EY73" s="57" t="n"/>
      <c r="EZ73" s="58">
        <f>EP73</f>
        <v/>
      </c>
      <c r="FA73" s="59" t="n"/>
      <c r="FB73" s="57" t="n"/>
      <c r="FC73" s="57" t="n"/>
      <c r="FD73" s="57" t="n"/>
      <c r="FE73" s="57" t="n"/>
      <c r="FF73" s="60">
        <f>SUM(FB73:FE73)</f>
        <v/>
      </c>
      <c r="FG73" s="61" t="n"/>
      <c r="FH73" s="57" t="n"/>
      <c r="FI73" s="58">
        <f>EY73</f>
        <v/>
      </c>
      <c r="FJ73" s="59" t="n"/>
      <c r="FK73" s="57" t="n"/>
      <c r="FL73" s="57" t="n"/>
      <c r="FM73" s="57" t="n"/>
      <c r="FN73" s="57" t="n"/>
      <c r="FO73" s="60">
        <f>SUM(FK73:FN73)</f>
        <v/>
      </c>
      <c r="FP73" s="61" t="n"/>
      <c r="FQ73" s="57" t="n"/>
      <c r="FR73" s="58">
        <f>FH73</f>
        <v/>
      </c>
      <c r="FS73" s="59" t="n"/>
      <c r="FT73" s="57" t="n"/>
      <c r="FU73" s="57" t="n"/>
      <c r="FV73" s="57" t="n"/>
      <c r="FW73" s="57" t="n"/>
      <c r="FX73" s="60">
        <f>SUM(FT73:FW73)</f>
        <v/>
      </c>
      <c r="FY73" s="61" t="n"/>
      <c r="FZ73" s="57" t="n"/>
      <c r="GA73" s="58">
        <f>FQ73</f>
        <v/>
      </c>
      <c r="GB73" s="59" t="n"/>
      <c r="GC73" s="57" t="n"/>
      <c r="GD73" s="57" t="n"/>
      <c r="GE73" s="57" t="n"/>
      <c r="GF73" s="57" t="n"/>
      <c r="GG73" s="60">
        <f>SUM(GC73:GF73)</f>
        <v/>
      </c>
      <c r="GH73" s="61" t="n"/>
      <c r="GI73" s="57" t="n"/>
      <c r="GJ73" s="58">
        <f>FZ73</f>
        <v/>
      </c>
      <c r="GK73" s="59" t="n"/>
      <c r="GL73" s="57" t="n"/>
      <c r="GM73" s="57" t="n"/>
      <c r="GN73" s="57" t="n"/>
      <c r="GO73" s="57" t="n"/>
      <c r="GP73" s="60">
        <f>SUM(GL73:GO73)</f>
        <v/>
      </c>
      <c r="GQ73" s="61" t="n"/>
      <c r="GR73" s="57" t="n"/>
      <c r="GS73" s="58">
        <f>GI73</f>
        <v/>
      </c>
      <c r="GT73" s="59" t="n"/>
      <c r="GU73" s="57" t="n"/>
      <c r="GV73" s="57" t="n"/>
      <c r="GW73" s="57" t="n"/>
      <c r="GX73" s="57" t="n"/>
      <c r="GY73" s="60">
        <f>SUM(GU73:GX73)</f>
        <v/>
      </c>
      <c r="GZ73" s="61" t="n"/>
      <c r="HA73" s="57" t="n"/>
      <c r="HB73" s="58">
        <f>GR73</f>
        <v/>
      </c>
      <c r="HC73" s="59" t="n"/>
      <c r="HD73" s="57" t="n"/>
      <c r="HE73" s="57" t="n"/>
      <c r="HF73" s="57" t="n"/>
      <c r="HG73" s="57" t="n"/>
      <c r="HH73" s="60">
        <f>SUM(HD73:HG73)</f>
        <v/>
      </c>
      <c r="HI73" s="61" t="n"/>
      <c r="HJ73" s="57" t="n"/>
      <c r="HK73" s="58">
        <f>HA73</f>
        <v/>
      </c>
      <c r="HL73" s="59" t="n"/>
      <c r="HM73" s="57" t="n"/>
      <c r="HN73" s="57" t="n"/>
      <c r="HO73" s="57" t="n"/>
      <c r="HP73" s="57" t="n"/>
      <c r="HQ73" s="60">
        <f>SUM(HM73:HP73)</f>
        <v/>
      </c>
      <c r="HR73" s="61" t="n"/>
      <c r="HS73" s="57" t="n"/>
      <c r="HT73" s="58">
        <f>HJ73</f>
        <v/>
      </c>
      <c r="HU73" s="59" t="n"/>
      <c r="HV73" s="57" t="n"/>
      <c r="HW73" s="57" t="n"/>
      <c r="HX73" s="57" t="n"/>
      <c r="HY73" s="57" t="n"/>
      <c r="HZ73" s="60">
        <f>SUM(HV73:HY73)</f>
        <v/>
      </c>
      <c r="IA73" s="61" t="n"/>
      <c r="IB73" s="57" t="n"/>
      <c r="IC73" s="58">
        <f>HS73</f>
        <v/>
      </c>
      <c r="ID73" s="59" t="n"/>
      <c r="IE73" s="57" t="n"/>
      <c r="IF73" s="57" t="n"/>
      <c r="IG73" s="57" t="n"/>
      <c r="IH73" s="57" t="n"/>
      <c r="II73" s="60">
        <f>SUM(IE73:IH73)</f>
        <v/>
      </c>
      <c r="IJ73" s="61" t="n"/>
      <c r="IK73" s="57" t="n"/>
      <c r="IL73" s="58">
        <f>IB73</f>
        <v/>
      </c>
      <c r="IM73" s="59" t="n"/>
      <c r="IN73" s="57" t="n"/>
      <c r="IO73" s="57" t="n"/>
      <c r="IP73" s="57" t="n"/>
      <c r="IQ73" s="57" t="n"/>
      <c r="IR73" s="60">
        <f>SUM(IN73:IQ73)</f>
        <v/>
      </c>
      <c r="IS73" s="61" t="n"/>
      <c r="IT73" s="57" t="n"/>
      <c r="IU73" s="58">
        <f>IK73</f>
        <v/>
      </c>
      <c r="IV73" s="59" t="n"/>
      <c r="IW73" s="57" t="n"/>
      <c r="IX73" s="57" t="n"/>
      <c r="IY73" s="57" t="n"/>
      <c r="IZ73" s="57" t="n"/>
      <c r="JA73" s="60">
        <f>SUM(IW73:IZ73)</f>
        <v/>
      </c>
      <c r="JB73" s="61" t="n"/>
      <c r="JC73" s="57" t="n"/>
      <c r="JD73" s="58">
        <f>IT73</f>
        <v/>
      </c>
      <c r="JE73" s="59" t="n"/>
      <c r="JF73" s="57" t="n"/>
      <c r="JG73" s="57" t="n"/>
      <c r="JH73" s="57" t="n"/>
      <c r="JI73" s="57" t="n"/>
      <c r="JJ73" s="60">
        <f>SUM(JF73:JI73)</f>
        <v/>
      </c>
      <c r="JK73" s="61" t="n"/>
      <c r="JL73" s="57" t="n"/>
      <c r="JM73" s="58">
        <f>JC73</f>
        <v/>
      </c>
      <c r="JN73" s="59" t="n"/>
      <c r="JO73" s="57" t="n"/>
      <c r="JP73" s="57" t="n"/>
      <c r="JQ73" s="57" t="n"/>
      <c r="JR73" s="57" t="n"/>
      <c r="JS73" s="60">
        <f>SUM(JO73:JR73)</f>
        <v/>
      </c>
      <c r="JT73" s="61" t="n"/>
      <c r="JU73" s="62">
        <f>I73+R73+AA73+AJ73+AS73+BB73+BK73+BT73+CC73+CL73+CU73+DD73+DM73+DV73+EE73+EN73+EW73+FF73+FO73+FX73+GG73+GP73+GY73+HH73+HQ73+HZ73+II73+IR73+JA73+JJ73+JS73</f>
        <v/>
      </c>
      <c r="JV73" s="63">
        <f>D73+M73+V73+AE73+AN73+AW73+BF73+BO73+BX73+CG73+CP73+CY73+DH73+DQ73+DZ73+EI73+ER73+FA73+FJ73+FS73+GB73+GK73+GT73+HC73+HL73+HU73+ID73+IM73+IV73+JE73+JN73</f>
        <v/>
      </c>
      <c r="JW73" s="62">
        <f>CHOOSE($Z$3,B73, K73, T73, AC73, AL73, AU73, BD73, BM73, BV73, CE73, CN73, CW73, DF73, DO73, DX73, EG73, EP73, EY73, FH73, FQ73, FZ73, GI73, GR73, HA73, HJ73, HS73, IB73, IK73, IT73, JC73, JL73)</f>
        <v/>
      </c>
      <c r="JX73" s="62">
        <f>IFERROR(JU73/$Z$3,0)</f>
        <v/>
      </c>
      <c r="JY73" s="62">
        <f>Configurações!$C$13</f>
        <v/>
      </c>
      <c r="JZ73" s="64">
        <f>IF(JY73=0,"— Sem meta",IF(JU73&gt;=JY73,"✓ Atingida","Em andamento"))</f>
        <v/>
      </c>
      <c r="KA73" s="65">
        <f>JU73+(7*0.0000001)</f>
        <v/>
      </c>
    </row>
    <row r="74" ht="20" customHeight="1">
      <c r="A74" s="56">
        <f>IF(Configurações!$B$14="","Assessor 8",Configurações!$B$14)</f>
        <v/>
      </c>
      <c r="B74" s="57" t="n"/>
      <c r="C74" s="66">
        <f>'Julho'!$JW74</f>
        <v/>
      </c>
      <c r="D74" s="59" t="n"/>
      <c r="E74" s="57" t="n"/>
      <c r="F74" s="57" t="n"/>
      <c r="G74" s="57" t="n"/>
      <c r="H74" s="57" t="n"/>
      <c r="I74" s="67">
        <f>SUM(E74:H74)</f>
        <v/>
      </c>
      <c r="J74" s="61" t="n"/>
      <c r="K74" s="57" t="n"/>
      <c r="L74" s="66">
        <f>B74</f>
        <v/>
      </c>
      <c r="M74" s="59" t="n"/>
      <c r="N74" s="57" t="n"/>
      <c r="O74" s="57" t="n"/>
      <c r="P74" s="57" t="n"/>
      <c r="Q74" s="57" t="n"/>
      <c r="R74" s="67">
        <f>SUM(N74:Q74)</f>
        <v/>
      </c>
      <c r="S74" s="61" t="n"/>
      <c r="T74" s="57" t="n"/>
      <c r="U74" s="66">
        <f>K74</f>
        <v/>
      </c>
      <c r="V74" s="59" t="n"/>
      <c r="W74" s="57" t="n"/>
      <c r="X74" s="57" t="n"/>
      <c r="Y74" s="57" t="n"/>
      <c r="Z74" s="57" t="n"/>
      <c r="AA74" s="67">
        <f>SUM(W74:Z74)</f>
        <v/>
      </c>
      <c r="AB74" s="61" t="n"/>
      <c r="AC74" s="57" t="n"/>
      <c r="AD74" s="66">
        <f>T74</f>
        <v/>
      </c>
      <c r="AE74" s="59" t="n"/>
      <c r="AF74" s="57" t="n"/>
      <c r="AG74" s="57" t="n"/>
      <c r="AH74" s="57" t="n"/>
      <c r="AI74" s="57" t="n"/>
      <c r="AJ74" s="67">
        <f>SUM(AF74:AI74)</f>
        <v/>
      </c>
      <c r="AK74" s="61" t="n"/>
      <c r="AL74" s="57" t="n"/>
      <c r="AM74" s="66">
        <f>AC74</f>
        <v/>
      </c>
      <c r="AN74" s="59" t="n"/>
      <c r="AO74" s="57" t="n"/>
      <c r="AP74" s="57" t="n"/>
      <c r="AQ74" s="57" t="n"/>
      <c r="AR74" s="57" t="n"/>
      <c r="AS74" s="67">
        <f>SUM(AO74:AR74)</f>
        <v/>
      </c>
      <c r="AT74" s="61" t="n"/>
      <c r="AU74" s="57" t="n"/>
      <c r="AV74" s="66">
        <f>AL74</f>
        <v/>
      </c>
      <c r="AW74" s="59" t="n"/>
      <c r="AX74" s="57" t="n"/>
      <c r="AY74" s="57" t="n"/>
      <c r="AZ74" s="57" t="n"/>
      <c r="BA74" s="57" t="n"/>
      <c r="BB74" s="67">
        <f>SUM(AX74:BA74)</f>
        <v/>
      </c>
      <c r="BC74" s="61" t="n"/>
      <c r="BD74" s="57" t="n"/>
      <c r="BE74" s="66">
        <f>AU74</f>
        <v/>
      </c>
      <c r="BF74" s="59" t="n"/>
      <c r="BG74" s="57" t="n"/>
      <c r="BH74" s="57" t="n"/>
      <c r="BI74" s="57" t="n"/>
      <c r="BJ74" s="57" t="n"/>
      <c r="BK74" s="67">
        <f>SUM(BG74:BJ74)</f>
        <v/>
      </c>
      <c r="BL74" s="61" t="n"/>
      <c r="BM74" s="57" t="n"/>
      <c r="BN74" s="66">
        <f>BD74</f>
        <v/>
      </c>
      <c r="BO74" s="59" t="n"/>
      <c r="BP74" s="57" t="n"/>
      <c r="BQ74" s="57" t="n"/>
      <c r="BR74" s="57" t="n"/>
      <c r="BS74" s="57" t="n"/>
      <c r="BT74" s="67">
        <f>SUM(BP74:BS74)</f>
        <v/>
      </c>
      <c r="BU74" s="61" t="n"/>
      <c r="BV74" s="57" t="n"/>
      <c r="BW74" s="66">
        <f>BM74</f>
        <v/>
      </c>
      <c r="BX74" s="59" t="n"/>
      <c r="BY74" s="57" t="n"/>
      <c r="BZ74" s="57" t="n"/>
      <c r="CA74" s="57" t="n"/>
      <c r="CB74" s="57" t="n"/>
      <c r="CC74" s="67">
        <f>SUM(BY74:CB74)</f>
        <v/>
      </c>
      <c r="CD74" s="61" t="n"/>
      <c r="CE74" s="57" t="n"/>
      <c r="CF74" s="66">
        <f>BV74</f>
        <v/>
      </c>
      <c r="CG74" s="59" t="n"/>
      <c r="CH74" s="57" t="n"/>
      <c r="CI74" s="57" t="n"/>
      <c r="CJ74" s="57" t="n"/>
      <c r="CK74" s="57" t="n"/>
      <c r="CL74" s="67">
        <f>SUM(CH74:CK74)</f>
        <v/>
      </c>
      <c r="CM74" s="61" t="n"/>
      <c r="CN74" s="57" t="n"/>
      <c r="CO74" s="66">
        <f>CE74</f>
        <v/>
      </c>
      <c r="CP74" s="59" t="n"/>
      <c r="CQ74" s="57" t="n"/>
      <c r="CR74" s="57" t="n"/>
      <c r="CS74" s="57" t="n"/>
      <c r="CT74" s="57" t="n"/>
      <c r="CU74" s="67">
        <f>SUM(CQ74:CT74)</f>
        <v/>
      </c>
      <c r="CV74" s="61" t="n"/>
      <c r="CW74" s="57" t="n"/>
      <c r="CX74" s="66">
        <f>CN74</f>
        <v/>
      </c>
      <c r="CY74" s="59" t="n"/>
      <c r="CZ74" s="57" t="n"/>
      <c r="DA74" s="57" t="n"/>
      <c r="DB74" s="57" t="n"/>
      <c r="DC74" s="57" t="n"/>
      <c r="DD74" s="67">
        <f>SUM(CZ74:DC74)</f>
        <v/>
      </c>
      <c r="DE74" s="61" t="n"/>
      <c r="DF74" s="57" t="n"/>
      <c r="DG74" s="66">
        <f>CW74</f>
        <v/>
      </c>
      <c r="DH74" s="59" t="n"/>
      <c r="DI74" s="57" t="n"/>
      <c r="DJ74" s="57" t="n"/>
      <c r="DK74" s="57" t="n"/>
      <c r="DL74" s="57" t="n"/>
      <c r="DM74" s="67">
        <f>SUM(DI74:DL74)</f>
        <v/>
      </c>
      <c r="DN74" s="61" t="n"/>
      <c r="DO74" s="57" t="n"/>
      <c r="DP74" s="66">
        <f>DF74</f>
        <v/>
      </c>
      <c r="DQ74" s="59" t="n"/>
      <c r="DR74" s="57" t="n"/>
      <c r="DS74" s="57" t="n"/>
      <c r="DT74" s="57" t="n"/>
      <c r="DU74" s="57" t="n"/>
      <c r="DV74" s="67">
        <f>SUM(DR74:DU74)</f>
        <v/>
      </c>
      <c r="DW74" s="61" t="n"/>
      <c r="DX74" s="57" t="n"/>
      <c r="DY74" s="66">
        <f>DO74</f>
        <v/>
      </c>
      <c r="DZ74" s="59" t="n"/>
      <c r="EA74" s="57" t="n"/>
      <c r="EB74" s="57" t="n"/>
      <c r="EC74" s="57" t="n"/>
      <c r="ED74" s="57" t="n"/>
      <c r="EE74" s="67">
        <f>SUM(EA74:ED74)</f>
        <v/>
      </c>
      <c r="EF74" s="61" t="n"/>
      <c r="EG74" s="57" t="n"/>
      <c r="EH74" s="66">
        <f>DX74</f>
        <v/>
      </c>
      <c r="EI74" s="59" t="n"/>
      <c r="EJ74" s="57" t="n"/>
      <c r="EK74" s="57" t="n"/>
      <c r="EL74" s="57" t="n"/>
      <c r="EM74" s="57" t="n"/>
      <c r="EN74" s="67">
        <f>SUM(EJ74:EM74)</f>
        <v/>
      </c>
      <c r="EO74" s="61" t="n"/>
      <c r="EP74" s="57" t="n"/>
      <c r="EQ74" s="66">
        <f>EG74</f>
        <v/>
      </c>
      <c r="ER74" s="59" t="n"/>
      <c r="ES74" s="57" t="n"/>
      <c r="ET74" s="57" t="n"/>
      <c r="EU74" s="57" t="n"/>
      <c r="EV74" s="57" t="n"/>
      <c r="EW74" s="67">
        <f>SUM(ES74:EV74)</f>
        <v/>
      </c>
      <c r="EX74" s="61" t="n"/>
      <c r="EY74" s="57" t="n"/>
      <c r="EZ74" s="66">
        <f>EP74</f>
        <v/>
      </c>
      <c r="FA74" s="59" t="n"/>
      <c r="FB74" s="57" t="n"/>
      <c r="FC74" s="57" t="n"/>
      <c r="FD74" s="57" t="n"/>
      <c r="FE74" s="57" t="n"/>
      <c r="FF74" s="67">
        <f>SUM(FB74:FE74)</f>
        <v/>
      </c>
      <c r="FG74" s="61" t="n"/>
      <c r="FH74" s="57" t="n"/>
      <c r="FI74" s="66">
        <f>EY74</f>
        <v/>
      </c>
      <c r="FJ74" s="59" t="n"/>
      <c r="FK74" s="57" t="n"/>
      <c r="FL74" s="57" t="n"/>
      <c r="FM74" s="57" t="n"/>
      <c r="FN74" s="57" t="n"/>
      <c r="FO74" s="67">
        <f>SUM(FK74:FN74)</f>
        <v/>
      </c>
      <c r="FP74" s="61" t="n"/>
      <c r="FQ74" s="57" t="n"/>
      <c r="FR74" s="66">
        <f>FH74</f>
        <v/>
      </c>
      <c r="FS74" s="59" t="n"/>
      <c r="FT74" s="57" t="n"/>
      <c r="FU74" s="57" t="n"/>
      <c r="FV74" s="57" t="n"/>
      <c r="FW74" s="57" t="n"/>
      <c r="FX74" s="67">
        <f>SUM(FT74:FW74)</f>
        <v/>
      </c>
      <c r="FY74" s="61" t="n"/>
      <c r="FZ74" s="57" t="n"/>
      <c r="GA74" s="66">
        <f>FQ74</f>
        <v/>
      </c>
      <c r="GB74" s="59" t="n"/>
      <c r="GC74" s="57" t="n"/>
      <c r="GD74" s="57" t="n"/>
      <c r="GE74" s="57" t="n"/>
      <c r="GF74" s="57" t="n"/>
      <c r="GG74" s="67">
        <f>SUM(GC74:GF74)</f>
        <v/>
      </c>
      <c r="GH74" s="61" t="n"/>
      <c r="GI74" s="57" t="n"/>
      <c r="GJ74" s="66">
        <f>FZ74</f>
        <v/>
      </c>
      <c r="GK74" s="59" t="n"/>
      <c r="GL74" s="57" t="n"/>
      <c r="GM74" s="57" t="n"/>
      <c r="GN74" s="57" t="n"/>
      <c r="GO74" s="57" t="n"/>
      <c r="GP74" s="67">
        <f>SUM(GL74:GO74)</f>
        <v/>
      </c>
      <c r="GQ74" s="61" t="n"/>
      <c r="GR74" s="57" t="n"/>
      <c r="GS74" s="66">
        <f>GI74</f>
        <v/>
      </c>
      <c r="GT74" s="59" t="n"/>
      <c r="GU74" s="57" t="n"/>
      <c r="GV74" s="57" t="n"/>
      <c r="GW74" s="57" t="n"/>
      <c r="GX74" s="57" t="n"/>
      <c r="GY74" s="67">
        <f>SUM(GU74:GX74)</f>
        <v/>
      </c>
      <c r="GZ74" s="61" t="n"/>
      <c r="HA74" s="57" t="n"/>
      <c r="HB74" s="66">
        <f>GR74</f>
        <v/>
      </c>
      <c r="HC74" s="59" t="n"/>
      <c r="HD74" s="57" t="n"/>
      <c r="HE74" s="57" t="n"/>
      <c r="HF74" s="57" t="n"/>
      <c r="HG74" s="57" t="n"/>
      <c r="HH74" s="67">
        <f>SUM(HD74:HG74)</f>
        <v/>
      </c>
      <c r="HI74" s="61" t="n"/>
      <c r="HJ74" s="57" t="n"/>
      <c r="HK74" s="66">
        <f>HA74</f>
        <v/>
      </c>
      <c r="HL74" s="59" t="n"/>
      <c r="HM74" s="57" t="n"/>
      <c r="HN74" s="57" t="n"/>
      <c r="HO74" s="57" t="n"/>
      <c r="HP74" s="57" t="n"/>
      <c r="HQ74" s="67">
        <f>SUM(HM74:HP74)</f>
        <v/>
      </c>
      <c r="HR74" s="61" t="n"/>
      <c r="HS74" s="57" t="n"/>
      <c r="HT74" s="66">
        <f>HJ74</f>
        <v/>
      </c>
      <c r="HU74" s="59" t="n"/>
      <c r="HV74" s="57" t="n"/>
      <c r="HW74" s="57" t="n"/>
      <c r="HX74" s="57" t="n"/>
      <c r="HY74" s="57" t="n"/>
      <c r="HZ74" s="67">
        <f>SUM(HV74:HY74)</f>
        <v/>
      </c>
      <c r="IA74" s="61" t="n"/>
      <c r="IB74" s="57" t="n"/>
      <c r="IC74" s="66">
        <f>HS74</f>
        <v/>
      </c>
      <c r="ID74" s="59" t="n"/>
      <c r="IE74" s="57" t="n"/>
      <c r="IF74" s="57" t="n"/>
      <c r="IG74" s="57" t="n"/>
      <c r="IH74" s="57" t="n"/>
      <c r="II74" s="67">
        <f>SUM(IE74:IH74)</f>
        <v/>
      </c>
      <c r="IJ74" s="61" t="n"/>
      <c r="IK74" s="57" t="n"/>
      <c r="IL74" s="66">
        <f>IB74</f>
        <v/>
      </c>
      <c r="IM74" s="59" t="n"/>
      <c r="IN74" s="57" t="n"/>
      <c r="IO74" s="57" t="n"/>
      <c r="IP74" s="57" t="n"/>
      <c r="IQ74" s="57" t="n"/>
      <c r="IR74" s="67">
        <f>SUM(IN74:IQ74)</f>
        <v/>
      </c>
      <c r="IS74" s="61" t="n"/>
      <c r="IT74" s="57" t="n"/>
      <c r="IU74" s="66">
        <f>IK74</f>
        <v/>
      </c>
      <c r="IV74" s="59" t="n"/>
      <c r="IW74" s="57" t="n"/>
      <c r="IX74" s="57" t="n"/>
      <c r="IY74" s="57" t="n"/>
      <c r="IZ74" s="57" t="n"/>
      <c r="JA74" s="67">
        <f>SUM(IW74:IZ74)</f>
        <v/>
      </c>
      <c r="JB74" s="61" t="n"/>
      <c r="JC74" s="57" t="n"/>
      <c r="JD74" s="66">
        <f>IT74</f>
        <v/>
      </c>
      <c r="JE74" s="59" t="n"/>
      <c r="JF74" s="57" t="n"/>
      <c r="JG74" s="57" t="n"/>
      <c r="JH74" s="57" t="n"/>
      <c r="JI74" s="57" t="n"/>
      <c r="JJ74" s="67">
        <f>SUM(JF74:JI74)</f>
        <v/>
      </c>
      <c r="JK74" s="61" t="n"/>
      <c r="JL74" s="57" t="n"/>
      <c r="JM74" s="66">
        <f>JC74</f>
        <v/>
      </c>
      <c r="JN74" s="59" t="n"/>
      <c r="JO74" s="57" t="n"/>
      <c r="JP74" s="57" t="n"/>
      <c r="JQ74" s="57" t="n"/>
      <c r="JR74" s="57" t="n"/>
      <c r="JS74" s="67">
        <f>SUM(JO74:JR74)</f>
        <v/>
      </c>
      <c r="JT74" s="61" t="n"/>
      <c r="JU74" s="62">
        <f>I74+R74+AA74+AJ74+AS74+BB74+BK74+BT74+CC74+CL74+CU74+DD74+DM74+DV74+EE74+EN74+EW74+FF74+FO74+FX74+GG74+GP74+GY74+HH74+HQ74+HZ74+II74+IR74+JA74+JJ74+JS74</f>
        <v/>
      </c>
      <c r="JV74" s="63">
        <f>D74+M74+V74+AE74+AN74+AW74+BF74+BO74+BX74+CG74+CP74+CY74+DH74+DQ74+DZ74+EI74+ER74+FA74+FJ74+FS74+GB74+GK74+GT74+HC74+HL74+HU74+ID74+IM74+IV74+JE74+JN74</f>
        <v/>
      </c>
      <c r="JW74" s="62">
        <f>CHOOSE($Z$3,B74, K74, T74, AC74, AL74, AU74, BD74, BM74, BV74, CE74, CN74, CW74, DF74, DO74, DX74, EG74, EP74, EY74, FH74, FQ74, FZ74, GI74, GR74, HA74, HJ74, HS74, IB74, IK74, IT74, JC74, JL74)</f>
        <v/>
      </c>
      <c r="JX74" s="62">
        <f>IFERROR(JU74/$Z$3,0)</f>
        <v/>
      </c>
      <c r="JY74" s="62">
        <f>Configurações!$C$14</f>
        <v/>
      </c>
      <c r="JZ74" s="64">
        <f>IF(JY74=0,"— Sem meta",IF(JU74&gt;=JY74,"✓ Atingida","Em andamento"))</f>
        <v/>
      </c>
      <c r="KA74" s="65">
        <f>JU74+(6*0.0000001)</f>
        <v/>
      </c>
    </row>
    <row r="75" ht="20" customHeight="1">
      <c r="A75" s="56">
        <f>IF(Configurações!$B$15="","Assessor 9",Configurações!$B$15)</f>
        <v/>
      </c>
      <c r="B75" s="57" t="n"/>
      <c r="C75" s="58">
        <f>'Julho'!$JW75</f>
        <v/>
      </c>
      <c r="D75" s="59" t="n"/>
      <c r="E75" s="57" t="n"/>
      <c r="F75" s="57" t="n"/>
      <c r="G75" s="57" t="n"/>
      <c r="H75" s="57" t="n"/>
      <c r="I75" s="60">
        <f>SUM(E75:H75)</f>
        <v/>
      </c>
      <c r="J75" s="61" t="n"/>
      <c r="K75" s="57" t="n"/>
      <c r="L75" s="58">
        <f>B75</f>
        <v/>
      </c>
      <c r="M75" s="59" t="n"/>
      <c r="N75" s="57" t="n"/>
      <c r="O75" s="57" t="n"/>
      <c r="P75" s="57" t="n"/>
      <c r="Q75" s="57" t="n"/>
      <c r="R75" s="60">
        <f>SUM(N75:Q75)</f>
        <v/>
      </c>
      <c r="S75" s="61" t="n"/>
      <c r="T75" s="57" t="n"/>
      <c r="U75" s="58">
        <f>K75</f>
        <v/>
      </c>
      <c r="V75" s="59" t="n"/>
      <c r="W75" s="57" t="n"/>
      <c r="X75" s="57" t="n"/>
      <c r="Y75" s="57" t="n"/>
      <c r="Z75" s="57" t="n"/>
      <c r="AA75" s="60">
        <f>SUM(W75:Z75)</f>
        <v/>
      </c>
      <c r="AB75" s="61" t="n"/>
      <c r="AC75" s="57" t="n"/>
      <c r="AD75" s="58">
        <f>T75</f>
        <v/>
      </c>
      <c r="AE75" s="59" t="n"/>
      <c r="AF75" s="57" t="n"/>
      <c r="AG75" s="57" t="n"/>
      <c r="AH75" s="57" t="n"/>
      <c r="AI75" s="57" t="n"/>
      <c r="AJ75" s="60">
        <f>SUM(AF75:AI75)</f>
        <v/>
      </c>
      <c r="AK75" s="61" t="n"/>
      <c r="AL75" s="57" t="n"/>
      <c r="AM75" s="58">
        <f>AC75</f>
        <v/>
      </c>
      <c r="AN75" s="59" t="n"/>
      <c r="AO75" s="57" t="n"/>
      <c r="AP75" s="57" t="n"/>
      <c r="AQ75" s="57" t="n"/>
      <c r="AR75" s="57" t="n"/>
      <c r="AS75" s="60">
        <f>SUM(AO75:AR75)</f>
        <v/>
      </c>
      <c r="AT75" s="61" t="n"/>
      <c r="AU75" s="57" t="n"/>
      <c r="AV75" s="58">
        <f>AL75</f>
        <v/>
      </c>
      <c r="AW75" s="59" t="n"/>
      <c r="AX75" s="57" t="n"/>
      <c r="AY75" s="57" t="n"/>
      <c r="AZ75" s="57" t="n"/>
      <c r="BA75" s="57" t="n"/>
      <c r="BB75" s="60">
        <f>SUM(AX75:BA75)</f>
        <v/>
      </c>
      <c r="BC75" s="61" t="n"/>
      <c r="BD75" s="57" t="n"/>
      <c r="BE75" s="58">
        <f>AU75</f>
        <v/>
      </c>
      <c r="BF75" s="59" t="n"/>
      <c r="BG75" s="57" t="n"/>
      <c r="BH75" s="57" t="n"/>
      <c r="BI75" s="57" t="n"/>
      <c r="BJ75" s="57" t="n"/>
      <c r="BK75" s="60">
        <f>SUM(BG75:BJ75)</f>
        <v/>
      </c>
      <c r="BL75" s="61" t="n"/>
      <c r="BM75" s="57" t="n"/>
      <c r="BN75" s="58">
        <f>BD75</f>
        <v/>
      </c>
      <c r="BO75" s="59" t="n"/>
      <c r="BP75" s="57" t="n"/>
      <c r="BQ75" s="57" t="n"/>
      <c r="BR75" s="57" t="n"/>
      <c r="BS75" s="57" t="n"/>
      <c r="BT75" s="60">
        <f>SUM(BP75:BS75)</f>
        <v/>
      </c>
      <c r="BU75" s="61" t="n"/>
      <c r="BV75" s="57" t="n"/>
      <c r="BW75" s="58">
        <f>BM75</f>
        <v/>
      </c>
      <c r="BX75" s="59" t="n"/>
      <c r="BY75" s="57" t="n"/>
      <c r="BZ75" s="57" t="n"/>
      <c r="CA75" s="57" t="n"/>
      <c r="CB75" s="57" t="n"/>
      <c r="CC75" s="60">
        <f>SUM(BY75:CB75)</f>
        <v/>
      </c>
      <c r="CD75" s="61" t="n"/>
      <c r="CE75" s="57" t="n"/>
      <c r="CF75" s="58">
        <f>BV75</f>
        <v/>
      </c>
      <c r="CG75" s="59" t="n"/>
      <c r="CH75" s="57" t="n"/>
      <c r="CI75" s="57" t="n"/>
      <c r="CJ75" s="57" t="n"/>
      <c r="CK75" s="57" t="n"/>
      <c r="CL75" s="60">
        <f>SUM(CH75:CK75)</f>
        <v/>
      </c>
      <c r="CM75" s="61" t="n"/>
      <c r="CN75" s="57" t="n"/>
      <c r="CO75" s="58">
        <f>CE75</f>
        <v/>
      </c>
      <c r="CP75" s="59" t="n"/>
      <c r="CQ75" s="57" t="n"/>
      <c r="CR75" s="57" t="n"/>
      <c r="CS75" s="57" t="n"/>
      <c r="CT75" s="57" t="n"/>
      <c r="CU75" s="60">
        <f>SUM(CQ75:CT75)</f>
        <v/>
      </c>
      <c r="CV75" s="61" t="n"/>
      <c r="CW75" s="57" t="n"/>
      <c r="CX75" s="58">
        <f>CN75</f>
        <v/>
      </c>
      <c r="CY75" s="59" t="n"/>
      <c r="CZ75" s="57" t="n"/>
      <c r="DA75" s="57" t="n"/>
      <c r="DB75" s="57" t="n"/>
      <c r="DC75" s="57" t="n"/>
      <c r="DD75" s="60">
        <f>SUM(CZ75:DC75)</f>
        <v/>
      </c>
      <c r="DE75" s="61" t="n"/>
      <c r="DF75" s="57" t="n"/>
      <c r="DG75" s="58">
        <f>CW75</f>
        <v/>
      </c>
      <c r="DH75" s="59" t="n"/>
      <c r="DI75" s="57" t="n"/>
      <c r="DJ75" s="57" t="n"/>
      <c r="DK75" s="57" t="n"/>
      <c r="DL75" s="57" t="n"/>
      <c r="DM75" s="60">
        <f>SUM(DI75:DL75)</f>
        <v/>
      </c>
      <c r="DN75" s="61" t="n"/>
      <c r="DO75" s="57" t="n"/>
      <c r="DP75" s="58">
        <f>DF75</f>
        <v/>
      </c>
      <c r="DQ75" s="59" t="n"/>
      <c r="DR75" s="57" t="n"/>
      <c r="DS75" s="57" t="n"/>
      <c r="DT75" s="57" t="n"/>
      <c r="DU75" s="57" t="n"/>
      <c r="DV75" s="60">
        <f>SUM(DR75:DU75)</f>
        <v/>
      </c>
      <c r="DW75" s="61" t="n"/>
      <c r="DX75" s="57" t="n"/>
      <c r="DY75" s="58">
        <f>DO75</f>
        <v/>
      </c>
      <c r="DZ75" s="59" t="n"/>
      <c r="EA75" s="57" t="n"/>
      <c r="EB75" s="57" t="n"/>
      <c r="EC75" s="57" t="n"/>
      <c r="ED75" s="57" t="n"/>
      <c r="EE75" s="60">
        <f>SUM(EA75:ED75)</f>
        <v/>
      </c>
      <c r="EF75" s="61" t="n"/>
      <c r="EG75" s="57" t="n"/>
      <c r="EH75" s="58">
        <f>DX75</f>
        <v/>
      </c>
      <c r="EI75" s="59" t="n"/>
      <c r="EJ75" s="57" t="n"/>
      <c r="EK75" s="57" t="n"/>
      <c r="EL75" s="57" t="n"/>
      <c r="EM75" s="57" t="n"/>
      <c r="EN75" s="60">
        <f>SUM(EJ75:EM75)</f>
        <v/>
      </c>
      <c r="EO75" s="61" t="n"/>
      <c r="EP75" s="57" t="n"/>
      <c r="EQ75" s="58">
        <f>EG75</f>
        <v/>
      </c>
      <c r="ER75" s="59" t="n"/>
      <c r="ES75" s="57" t="n"/>
      <c r="ET75" s="57" t="n"/>
      <c r="EU75" s="57" t="n"/>
      <c r="EV75" s="57" t="n"/>
      <c r="EW75" s="60">
        <f>SUM(ES75:EV75)</f>
        <v/>
      </c>
      <c r="EX75" s="61" t="n"/>
      <c r="EY75" s="57" t="n"/>
      <c r="EZ75" s="58">
        <f>EP75</f>
        <v/>
      </c>
      <c r="FA75" s="59" t="n"/>
      <c r="FB75" s="57" t="n"/>
      <c r="FC75" s="57" t="n"/>
      <c r="FD75" s="57" t="n"/>
      <c r="FE75" s="57" t="n"/>
      <c r="FF75" s="60">
        <f>SUM(FB75:FE75)</f>
        <v/>
      </c>
      <c r="FG75" s="61" t="n"/>
      <c r="FH75" s="57" t="n"/>
      <c r="FI75" s="58">
        <f>EY75</f>
        <v/>
      </c>
      <c r="FJ75" s="59" t="n"/>
      <c r="FK75" s="57" t="n"/>
      <c r="FL75" s="57" t="n"/>
      <c r="FM75" s="57" t="n"/>
      <c r="FN75" s="57" t="n"/>
      <c r="FO75" s="60">
        <f>SUM(FK75:FN75)</f>
        <v/>
      </c>
      <c r="FP75" s="61" t="n"/>
      <c r="FQ75" s="57" t="n"/>
      <c r="FR75" s="58">
        <f>FH75</f>
        <v/>
      </c>
      <c r="FS75" s="59" t="n"/>
      <c r="FT75" s="57" t="n"/>
      <c r="FU75" s="57" t="n"/>
      <c r="FV75" s="57" t="n"/>
      <c r="FW75" s="57" t="n"/>
      <c r="FX75" s="60">
        <f>SUM(FT75:FW75)</f>
        <v/>
      </c>
      <c r="FY75" s="61" t="n"/>
      <c r="FZ75" s="57" t="n"/>
      <c r="GA75" s="58">
        <f>FQ75</f>
        <v/>
      </c>
      <c r="GB75" s="59" t="n"/>
      <c r="GC75" s="57" t="n"/>
      <c r="GD75" s="57" t="n"/>
      <c r="GE75" s="57" t="n"/>
      <c r="GF75" s="57" t="n"/>
      <c r="GG75" s="60">
        <f>SUM(GC75:GF75)</f>
        <v/>
      </c>
      <c r="GH75" s="61" t="n"/>
      <c r="GI75" s="57" t="n"/>
      <c r="GJ75" s="58">
        <f>FZ75</f>
        <v/>
      </c>
      <c r="GK75" s="59" t="n"/>
      <c r="GL75" s="57" t="n"/>
      <c r="GM75" s="57" t="n"/>
      <c r="GN75" s="57" t="n"/>
      <c r="GO75" s="57" t="n"/>
      <c r="GP75" s="60">
        <f>SUM(GL75:GO75)</f>
        <v/>
      </c>
      <c r="GQ75" s="61" t="n"/>
      <c r="GR75" s="57" t="n"/>
      <c r="GS75" s="58">
        <f>GI75</f>
        <v/>
      </c>
      <c r="GT75" s="59" t="n"/>
      <c r="GU75" s="57" t="n"/>
      <c r="GV75" s="57" t="n"/>
      <c r="GW75" s="57" t="n"/>
      <c r="GX75" s="57" t="n"/>
      <c r="GY75" s="60">
        <f>SUM(GU75:GX75)</f>
        <v/>
      </c>
      <c r="GZ75" s="61" t="n"/>
      <c r="HA75" s="57" t="n"/>
      <c r="HB75" s="58">
        <f>GR75</f>
        <v/>
      </c>
      <c r="HC75" s="59" t="n"/>
      <c r="HD75" s="57" t="n"/>
      <c r="HE75" s="57" t="n"/>
      <c r="HF75" s="57" t="n"/>
      <c r="HG75" s="57" t="n"/>
      <c r="HH75" s="60">
        <f>SUM(HD75:HG75)</f>
        <v/>
      </c>
      <c r="HI75" s="61" t="n"/>
      <c r="HJ75" s="57" t="n"/>
      <c r="HK75" s="58">
        <f>HA75</f>
        <v/>
      </c>
      <c r="HL75" s="59" t="n"/>
      <c r="HM75" s="57" t="n"/>
      <c r="HN75" s="57" t="n"/>
      <c r="HO75" s="57" t="n"/>
      <c r="HP75" s="57" t="n"/>
      <c r="HQ75" s="60">
        <f>SUM(HM75:HP75)</f>
        <v/>
      </c>
      <c r="HR75" s="61" t="n"/>
      <c r="HS75" s="57" t="n"/>
      <c r="HT75" s="58">
        <f>HJ75</f>
        <v/>
      </c>
      <c r="HU75" s="59" t="n"/>
      <c r="HV75" s="57" t="n"/>
      <c r="HW75" s="57" t="n"/>
      <c r="HX75" s="57" t="n"/>
      <c r="HY75" s="57" t="n"/>
      <c r="HZ75" s="60">
        <f>SUM(HV75:HY75)</f>
        <v/>
      </c>
      <c r="IA75" s="61" t="n"/>
      <c r="IB75" s="57" t="n"/>
      <c r="IC75" s="58">
        <f>HS75</f>
        <v/>
      </c>
      <c r="ID75" s="59" t="n"/>
      <c r="IE75" s="57" t="n"/>
      <c r="IF75" s="57" t="n"/>
      <c r="IG75" s="57" t="n"/>
      <c r="IH75" s="57" t="n"/>
      <c r="II75" s="60">
        <f>SUM(IE75:IH75)</f>
        <v/>
      </c>
      <c r="IJ75" s="61" t="n"/>
      <c r="IK75" s="57" t="n"/>
      <c r="IL75" s="58">
        <f>IB75</f>
        <v/>
      </c>
      <c r="IM75" s="59" t="n"/>
      <c r="IN75" s="57" t="n"/>
      <c r="IO75" s="57" t="n"/>
      <c r="IP75" s="57" t="n"/>
      <c r="IQ75" s="57" t="n"/>
      <c r="IR75" s="60">
        <f>SUM(IN75:IQ75)</f>
        <v/>
      </c>
      <c r="IS75" s="61" t="n"/>
      <c r="IT75" s="57" t="n"/>
      <c r="IU75" s="58">
        <f>IK75</f>
        <v/>
      </c>
      <c r="IV75" s="59" t="n"/>
      <c r="IW75" s="57" t="n"/>
      <c r="IX75" s="57" t="n"/>
      <c r="IY75" s="57" t="n"/>
      <c r="IZ75" s="57" t="n"/>
      <c r="JA75" s="60">
        <f>SUM(IW75:IZ75)</f>
        <v/>
      </c>
      <c r="JB75" s="61" t="n"/>
      <c r="JC75" s="57" t="n"/>
      <c r="JD75" s="58">
        <f>IT75</f>
        <v/>
      </c>
      <c r="JE75" s="59" t="n"/>
      <c r="JF75" s="57" t="n"/>
      <c r="JG75" s="57" t="n"/>
      <c r="JH75" s="57" t="n"/>
      <c r="JI75" s="57" t="n"/>
      <c r="JJ75" s="60">
        <f>SUM(JF75:JI75)</f>
        <v/>
      </c>
      <c r="JK75" s="61" t="n"/>
      <c r="JL75" s="57" t="n"/>
      <c r="JM75" s="58">
        <f>JC75</f>
        <v/>
      </c>
      <c r="JN75" s="59" t="n"/>
      <c r="JO75" s="57" t="n"/>
      <c r="JP75" s="57" t="n"/>
      <c r="JQ75" s="57" t="n"/>
      <c r="JR75" s="57" t="n"/>
      <c r="JS75" s="60">
        <f>SUM(JO75:JR75)</f>
        <v/>
      </c>
      <c r="JT75" s="61" t="n"/>
      <c r="JU75" s="62">
        <f>I75+R75+AA75+AJ75+AS75+BB75+BK75+BT75+CC75+CL75+CU75+DD75+DM75+DV75+EE75+EN75+EW75+FF75+FO75+FX75+GG75+GP75+GY75+HH75+HQ75+HZ75+II75+IR75+JA75+JJ75+JS75</f>
        <v/>
      </c>
      <c r="JV75" s="63">
        <f>D75+M75+V75+AE75+AN75+AW75+BF75+BO75+BX75+CG75+CP75+CY75+DH75+DQ75+DZ75+EI75+ER75+FA75+FJ75+FS75+GB75+GK75+GT75+HC75+HL75+HU75+ID75+IM75+IV75+JE75+JN75</f>
        <v/>
      </c>
      <c r="JW75" s="62">
        <f>CHOOSE($Z$3,B75, K75, T75, AC75, AL75, AU75, BD75, BM75, BV75, CE75, CN75, CW75, DF75, DO75, DX75, EG75, EP75, EY75, FH75, FQ75, FZ75, GI75, GR75, HA75, HJ75, HS75, IB75, IK75, IT75, JC75, JL75)</f>
        <v/>
      </c>
      <c r="JX75" s="62">
        <f>IFERROR(JU75/$Z$3,0)</f>
        <v/>
      </c>
      <c r="JY75" s="62">
        <f>Configurações!$C$15</f>
        <v/>
      </c>
      <c r="JZ75" s="64">
        <f>IF(JY75=0,"— Sem meta",IF(JU75&gt;=JY75,"✓ Atingida","Em andamento"))</f>
        <v/>
      </c>
      <c r="KA75" s="65">
        <f>JU75+(5*0.0000001)</f>
        <v/>
      </c>
    </row>
    <row r="76" ht="20" customHeight="1">
      <c r="A76" s="56">
        <f>IF(Configurações!$B$16="","Assessor 10",Configurações!$B$16)</f>
        <v/>
      </c>
      <c r="B76" s="57" t="n"/>
      <c r="C76" s="66">
        <f>'Julho'!$JW76</f>
        <v/>
      </c>
      <c r="D76" s="59" t="n"/>
      <c r="E76" s="57" t="n"/>
      <c r="F76" s="57" t="n"/>
      <c r="G76" s="57" t="n"/>
      <c r="H76" s="57" t="n"/>
      <c r="I76" s="67">
        <f>SUM(E76:H76)</f>
        <v/>
      </c>
      <c r="J76" s="61" t="n"/>
      <c r="K76" s="57" t="n"/>
      <c r="L76" s="66">
        <f>B76</f>
        <v/>
      </c>
      <c r="M76" s="59" t="n"/>
      <c r="N76" s="57" t="n"/>
      <c r="O76" s="57" t="n"/>
      <c r="P76" s="57" t="n"/>
      <c r="Q76" s="57" t="n"/>
      <c r="R76" s="67">
        <f>SUM(N76:Q76)</f>
        <v/>
      </c>
      <c r="S76" s="61" t="n"/>
      <c r="T76" s="57" t="n"/>
      <c r="U76" s="66">
        <f>K76</f>
        <v/>
      </c>
      <c r="V76" s="59" t="n"/>
      <c r="W76" s="57" t="n"/>
      <c r="X76" s="57" t="n"/>
      <c r="Y76" s="57" t="n"/>
      <c r="Z76" s="57" t="n"/>
      <c r="AA76" s="67">
        <f>SUM(W76:Z76)</f>
        <v/>
      </c>
      <c r="AB76" s="61" t="n"/>
      <c r="AC76" s="57" t="n"/>
      <c r="AD76" s="66">
        <f>T76</f>
        <v/>
      </c>
      <c r="AE76" s="59" t="n"/>
      <c r="AF76" s="57" t="n"/>
      <c r="AG76" s="57" t="n"/>
      <c r="AH76" s="57" t="n"/>
      <c r="AI76" s="57" t="n"/>
      <c r="AJ76" s="67">
        <f>SUM(AF76:AI76)</f>
        <v/>
      </c>
      <c r="AK76" s="61" t="n"/>
      <c r="AL76" s="57" t="n"/>
      <c r="AM76" s="66">
        <f>AC76</f>
        <v/>
      </c>
      <c r="AN76" s="59" t="n"/>
      <c r="AO76" s="57" t="n"/>
      <c r="AP76" s="57" t="n"/>
      <c r="AQ76" s="57" t="n"/>
      <c r="AR76" s="57" t="n"/>
      <c r="AS76" s="67">
        <f>SUM(AO76:AR76)</f>
        <v/>
      </c>
      <c r="AT76" s="61" t="n"/>
      <c r="AU76" s="57" t="n"/>
      <c r="AV76" s="66">
        <f>AL76</f>
        <v/>
      </c>
      <c r="AW76" s="59" t="n"/>
      <c r="AX76" s="57" t="n"/>
      <c r="AY76" s="57" t="n"/>
      <c r="AZ76" s="57" t="n"/>
      <c r="BA76" s="57" t="n"/>
      <c r="BB76" s="67">
        <f>SUM(AX76:BA76)</f>
        <v/>
      </c>
      <c r="BC76" s="61" t="n"/>
      <c r="BD76" s="57" t="n"/>
      <c r="BE76" s="66">
        <f>AU76</f>
        <v/>
      </c>
      <c r="BF76" s="59" t="n"/>
      <c r="BG76" s="57" t="n"/>
      <c r="BH76" s="57" t="n"/>
      <c r="BI76" s="57" t="n"/>
      <c r="BJ76" s="57" t="n"/>
      <c r="BK76" s="67">
        <f>SUM(BG76:BJ76)</f>
        <v/>
      </c>
      <c r="BL76" s="61" t="n"/>
      <c r="BM76" s="57" t="n"/>
      <c r="BN76" s="66">
        <f>BD76</f>
        <v/>
      </c>
      <c r="BO76" s="59" t="n"/>
      <c r="BP76" s="57" t="n"/>
      <c r="BQ76" s="57" t="n"/>
      <c r="BR76" s="57" t="n"/>
      <c r="BS76" s="57" t="n"/>
      <c r="BT76" s="67">
        <f>SUM(BP76:BS76)</f>
        <v/>
      </c>
      <c r="BU76" s="61" t="n"/>
      <c r="BV76" s="57" t="n"/>
      <c r="BW76" s="66">
        <f>BM76</f>
        <v/>
      </c>
      <c r="BX76" s="59" t="n"/>
      <c r="BY76" s="57" t="n"/>
      <c r="BZ76" s="57" t="n"/>
      <c r="CA76" s="57" t="n"/>
      <c r="CB76" s="57" t="n"/>
      <c r="CC76" s="67">
        <f>SUM(BY76:CB76)</f>
        <v/>
      </c>
      <c r="CD76" s="61" t="n"/>
      <c r="CE76" s="57" t="n"/>
      <c r="CF76" s="66">
        <f>BV76</f>
        <v/>
      </c>
      <c r="CG76" s="59" t="n"/>
      <c r="CH76" s="57" t="n"/>
      <c r="CI76" s="57" t="n"/>
      <c r="CJ76" s="57" t="n"/>
      <c r="CK76" s="57" t="n"/>
      <c r="CL76" s="67">
        <f>SUM(CH76:CK76)</f>
        <v/>
      </c>
      <c r="CM76" s="61" t="n"/>
      <c r="CN76" s="57" t="n"/>
      <c r="CO76" s="66">
        <f>CE76</f>
        <v/>
      </c>
      <c r="CP76" s="59" t="n"/>
      <c r="CQ76" s="57" t="n"/>
      <c r="CR76" s="57" t="n"/>
      <c r="CS76" s="57" t="n"/>
      <c r="CT76" s="57" t="n"/>
      <c r="CU76" s="67">
        <f>SUM(CQ76:CT76)</f>
        <v/>
      </c>
      <c r="CV76" s="61" t="n"/>
      <c r="CW76" s="57" t="n"/>
      <c r="CX76" s="66">
        <f>CN76</f>
        <v/>
      </c>
      <c r="CY76" s="59" t="n"/>
      <c r="CZ76" s="57" t="n"/>
      <c r="DA76" s="57" t="n"/>
      <c r="DB76" s="57" t="n"/>
      <c r="DC76" s="57" t="n"/>
      <c r="DD76" s="67">
        <f>SUM(CZ76:DC76)</f>
        <v/>
      </c>
      <c r="DE76" s="61" t="n"/>
      <c r="DF76" s="57" t="n"/>
      <c r="DG76" s="66">
        <f>CW76</f>
        <v/>
      </c>
      <c r="DH76" s="59" t="n"/>
      <c r="DI76" s="57" t="n"/>
      <c r="DJ76" s="57" t="n"/>
      <c r="DK76" s="57" t="n"/>
      <c r="DL76" s="57" t="n"/>
      <c r="DM76" s="67">
        <f>SUM(DI76:DL76)</f>
        <v/>
      </c>
      <c r="DN76" s="61" t="n"/>
      <c r="DO76" s="57" t="n"/>
      <c r="DP76" s="66">
        <f>DF76</f>
        <v/>
      </c>
      <c r="DQ76" s="59" t="n"/>
      <c r="DR76" s="57" t="n"/>
      <c r="DS76" s="57" t="n"/>
      <c r="DT76" s="57" t="n"/>
      <c r="DU76" s="57" t="n"/>
      <c r="DV76" s="67">
        <f>SUM(DR76:DU76)</f>
        <v/>
      </c>
      <c r="DW76" s="61" t="n"/>
      <c r="DX76" s="57" t="n"/>
      <c r="DY76" s="66">
        <f>DO76</f>
        <v/>
      </c>
      <c r="DZ76" s="59" t="n"/>
      <c r="EA76" s="57" t="n"/>
      <c r="EB76" s="57" t="n"/>
      <c r="EC76" s="57" t="n"/>
      <c r="ED76" s="57" t="n"/>
      <c r="EE76" s="67">
        <f>SUM(EA76:ED76)</f>
        <v/>
      </c>
      <c r="EF76" s="61" t="n"/>
      <c r="EG76" s="57" t="n"/>
      <c r="EH76" s="66">
        <f>DX76</f>
        <v/>
      </c>
      <c r="EI76" s="59" t="n"/>
      <c r="EJ76" s="57" t="n"/>
      <c r="EK76" s="57" t="n"/>
      <c r="EL76" s="57" t="n"/>
      <c r="EM76" s="57" t="n"/>
      <c r="EN76" s="67">
        <f>SUM(EJ76:EM76)</f>
        <v/>
      </c>
      <c r="EO76" s="61" t="n"/>
      <c r="EP76" s="57" t="n"/>
      <c r="EQ76" s="66">
        <f>EG76</f>
        <v/>
      </c>
      <c r="ER76" s="59" t="n"/>
      <c r="ES76" s="57" t="n"/>
      <c r="ET76" s="57" t="n"/>
      <c r="EU76" s="57" t="n"/>
      <c r="EV76" s="57" t="n"/>
      <c r="EW76" s="67">
        <f>SUM(ES76:EV76)</f>
        <v/>
      </c>
      <c r="EX76" s="61" t="n"/>
      <c r="EY76" s="57" t="n"/>
      <c r="EZ76" s="66">
        <f>EP76</f>
        <v/>
      </c>
      <c r="FA76" s="59" t="n"/>
      <c r="FB76" s="57" t="n"/>
      <c r="FC76" s="57" t="n"/>
      <c r="FD76" s="57" t="n"/>
      <c r="FE76" s="57" t="n"/>
      <c r="FF76" s="67">
        <f>SUM(FB76:FE76)</f>
        <v/>
      </c>
      <c r="FG76" s="61" t="n"/>
      <c r="FH76" s="57" t="n"/>
      <c r="FI76" s="66">
        <f>EY76</f>
        <v/>
      </c>
      <c r="FJ76" s="59" t="n"/>
      <c r="FK76" s="57" t="n"/>
      <c r="FL76" s="57" t="n"/>
      <c r="FM76" s="57" t="n"/>
      <c r="FN76" s="57" t="n"/>
      <c r="FO76" s="67">
        <f>SUM(FK76:FN76)</f>
        <v/>
      </c>
      <c r="FP76" s="61" t="n"/>
      <c r="FQ76" s="57" t="n"/>
      <c r="FR76" s="66">
        <f>FH76</f>
        <v/>
      </c>
      <c r="FS76" s="59" t="n"/>
      <c r="FT76" s="57" t="n"/>
      <c r="FU76" s="57" t="n"/>
      <c r="FV76" s="57" t="n"/>
      <c r="FW76" s="57" t="n"/>
      <c r="FX76" s="67">
        <f>SUM(FT76:FW76)</f>
        <v/>
      </c>
      <c r="FY76" s="61" t="n"/>
      <c r="FZ76" s="57" t="n"/>
      <c r="GA76" s="66">
        <f>FQ76</f>
        <v/>
      </c>
      <c r="GB76" s="59" t="n"/>
      <c r="GC76" s="57" t="n"/>
      <c r="GD76" s="57" t="n"/>
      <c r="GE76" s="57" t="n"/>
      <c r="GF76" s="57" t="n"/>
      <c r="GG76" s="67">
        <f>SUM(GC76:GF76)</f>
        <v/>
      </c>
      <c r="GH76" s="61" t="n"/>
      <c r="GI76" s="57" t="n"/>
      <c r="GJ76" s="66">
        <f>FZ76</f>
        <v/>
      </c>
      <c r="GK76" s="59" t="n"/>
      <c r="GL76" s="57" t="n"/>
      <c r="GM76" s="57" t="n"/>
      <c r="GN76" s="57" t="n"/>
      <c r="GO76" s="57" t="n"/>
      <c r="GP76" s="67">
        <f>SUM(GL76:GO76)</f>
        <v/>
      </c>
      <c r="GQ76" s="61" t="n"/>
      <c r="GR76" s="57" t="n"/>
      <c r="GS76" s="66">
        <f>GI76</f>
        <v/>
      </c>
      <c r="GT76" s="59" t="n"/>
      <c r="GU76" s="57" t="n"/>
      <c r="GV76" s="57" t="n"/>
      <c r="GW76" s="57" t="n"/>
      <c r="GX76" s="57" t="n"/>
      <c r="GY76" s="67">
        <f>SUM(GU76:GX76)</f>
        <v/>
      </c>
      <c r="GZ76" s="61" t="n"/>
      <c r="HA76" s="57" t="n"/>
      <c r="HB76" s="66">
        <f>GR76</f>
        <v/>
      </c>
      <c r="HC76" s="59" t="n"/>
      <c r="HD76" s="57" t="n"/>
      <c r="HE76" s="57" t="n"/>
      <c r="HF76" s="57" t="n"/>
      <c r="HG76" s="57" t="n"/>
      <c r="HH76" s="67">
        <f>SUM(HD76:HG76)</f>
        <v/>
      </c>
      <c r="HI76" s="61" t="n"/>
      <c r="HJ76" s="57" t="n"/>
      <c r="HK76" s="66">
        <f>HA76</f>
        <v/>
      </c>
      <c r="HL76" s="59" t="n"/>
      <c r="HM76" s="57" t="n"/>
      <c r="HN76" s="57" t="n"/>
      <c r="HO76" s="57" t="n"/>
      <c r="HP76" s="57" t="n"/>
      <c r="HQ76" s="67">
        <f>SUM(HM76:HP76)</f>
        <v/>
      </c>
      <c r="HR76" s="61" t="n"/>
      <c r="HS76" s="57" t="n"/>
      <c r="HT76" s="66">
        <f>HJ76</f>
        <v/>
      </c>
      <c r="HU76" s="59" t="n"/>
      <c r="HV76" s="57" t="n"/>
      <c r="HW76" s="57" t="n"/>
      <c r="HX76" s="57" t="n"/>
      <c r="HY76" s="57" t="n"/>
      <c r="HZ76" s="67">
        <f>SUM(HV76:HY76)</f>
        <v/>
      </c>
      <c r="IA76" s="61" t="n"/>
      <c r="IB76" s="57" t="n"/>
      <c r="IC76" s="66">
        <f>HS76</f>
        <v/>
      </c>
      <c r="ID76" s="59" t="n"/>
      <c r="IE76" s="57" t="n"/>
      <c r="IF76" s="57" t="n"/>
      <c r="IG76" s="57" t="n"/>
      <c r="IH76" s="57" t="n"/>
      <c r="II76" s="67">
        <f>SUM(IE76:IH76)</f>
        <v/>
      </c>
      <c r="IJ76" s="61" t="n"/>
      <c r="IK76" s="57" t="n"/>
      <c r="IL76" s="66">
        <f>IB76</f>
        <v/>
      </c>
      <c r="IM76" s="59" t="n"/>
      <c r="IN76" s="57" t="n"/>
      <c r="IO76" s="57" t="n"/>
      <c r="IP76" s="57" t="n"/>
      <c r="IQ76" s="57" t="n"/>
      <c r="IR76" s="67">
        <f>SUM(IN76:IQ76)</f>
        <v/>
      </c>
      <c r="IS76" s="61" t="n"/>
      <c r="IT76" s="57" t="n"/>
      <c r="IU76" s="66">
        <f>IK76</f>
        <v/>
      </c>
      <c r="IV76" s="59" t="n"/>
      <c r="IW76" s="57" t="n"/>
      <c r="IX76" s="57" t="n"/>
      <c r="IY76" s="57" t="n"/>
      <c r="IZ76" s="57" t="n"/>
      <c r="JA76" s="67">
        <f>SUM(IW76:IZ76)</f>
        <v/>
      </c>
      <c r="JB76" s="61" t="n"/>
      <c r="JC76" s="57" t="n"/>
      <c r="JD76" s="66">
        <f>IT76</f>
        <v/>
      </c>
      <c r="JE76" s="59" t="n"/>
      <c r="JF76" s="57" t="n"/>
      <c r="JG76" s="57" t="n"/>
      <c r="JH76" s="57" t="n"/>
      <c r="JI76" s="57" t="n"/>
      <c r="JJ76" s="67">
        <f>SUM(JF76:JI76)</f>
        <v/>
      </c>
      <c r="JK76" s="61" t="n"/>
      <c r="JL76" s="57" t="n"/>
      <c r="JM76" s="66">
        <f>JC76</f>
        <v/>
      </c>
      <c r="JN76" s="59" t="n"/>
      <c r="JO76" s="57" t="n"/>
      <c r="JP76" s="57" t="n"/>
      <c r="JQ76" s="57" t="n"/>
      <c r="JR76" s="57" t="n"/>
      <c r="JS76" s="67">
        <f>SUM(JO76:JR76)</f>
        <v/>
      </c>
      <c r="JT76" s="61" t="n"/>
      <c r="JU76" s="62">
        <f>I76+R76+AA76+AJ76+AS76+BB76+BK76+BT76+CC76+CL76+CU76+DD76+DM76+DV76+EE76+EN76+EW76+FF76+FO76+FX76+GG76+GP76+GY76+HH76+HQ76+HZ76+II76+IR76+JA76+JJ76+JS76</f>
        <v/>
      </c>
      <c r="JV76" s="63">
        <f>D76+M76+V76+AE76+AN76+AW76+BF76+BO76+BX76+CG76+CP76+CY76+DH76+DQ76+DZ76+EI76+ER76+FA76+FJ76+FS76+GB76+GK76+GT76+HC76+HL76+HU76+ID76+IM76+IV76+JE76+JN76</f>
        <v/>
      </c>
      <c r="JW76" s="62">
        <f>CHOOSE($Z$3,B76, K76, T76, AC76, AL76, AU76, BD76, BM76, BV76, CE76, CN76, CW76, DF76, DO76, DX76, EG76, EP76, EY76, FH76, FQ76, FZ76, GI76, GR76, HA76, HJ76, HS76, IB76, IK76, IT76, JC76, JL76)</f>
        <v/>
      </c>
      <c r="JX76" s="62">
        <f>IFERROR(JU76/$Z$3,0)</f>
        <v/>
      </c>
      <c r="JY76" s="62">
        <f>Configurações!$C$16</f>
        <v/>
      </c>
      <c r="JZ76" s="64">
        <f>IF(JY76=0,"— Sem meta",IF(JU76&gt;=JY76,"✓ Atingida","Em andamento"))</f>
        <v/>
      </c>
      <c r="KA76" s="65">
        <f>JU76+(4*0.0000001)</f>
        <v/>
      </c>
    </row>
    <row r="77" ht="20" customHeight="1">
      <c r="A77" s="56">
        <f>IF(Configurações!$B$17="","Assessor 11",Configurações!$B$17)</f>
        <v/>
      </c>
      <c r="B77" s="57" t="n"/>
      <c r="C77" s="58">
        <f>'Julho'!$JW77</f>
        <v/>
      </c>
      <c r="D77" s="59" t="n"/>
      <c r="E77" s="57" t="n"/>
      <c r="F77" s="57" t="n"/>
      <c r="G77" s="57" t="n"/>
      <c r="H77" s="57" t="n"/>
      <c r="I77" s="60">
        <f>SUM(E77:H77)</f>
        <v/>
      </c>
      <c r="J77" s="61" t="n"/>
      <c r="K77" s="57" t="n"/>
      <c r="L77" s="58">
        <f>B77</f>
        <v/>
      </c>
      <c r="M77" s="59" t="n"/>
      <c r="N77" s="57" t="n"/>
      <c r="O77" s="57" t="n"/>
      <c r="P77" s="57" t="n"/>
      <c r="Q77" s="57" t="n"/>
      <c r="R77" s="60">
        <f>SUM(N77:Q77)</f>
        <v/>
      </c>
      <c r="S77" s="61" t="n"/>
      <c r="T77" s="57" t="n"/>
      <c r="U77" s="58">
        <f>K77</f>
        <v/>
      </c>
      <c r="V77" s="59" t="n"/>
      <c r="W77" s="57" t="n"/>
      <c r="X77" s="57" t="n"/>
      <c r="Y77" s="57" t="n"/>
      <c r="Z77" s="57" t="n"/>
      <c r="AA77" s="60">
        <f>SUM(W77:Z77)</f>
        <v/>
      </c>
      <c r="AB77" s="61" t="n"/>
      <c r="AC77" s="57" t="n"/>
      <c r="AD77" s="58">
        <f>T77</f>
        <v/>
      </c>
      <c r="AE77" s="59" t="n"/>
      <c r="AF77" s="57" t="n"/>
      <c r="AG77" s="57" t="n"/>
      <c r="AH77" s="57" t="n"/>
      <c r="AI77" s="57" t="n"/>
      <c r="AJ77" s="60">
        <f>SUM(AF77:AI77)</f>
        <v/>
      </c>
      <c r="AK77" s="61" t="n"/>
      <c r="AL77" s="57" t="n"/>
      <c r="AM77" s="58">
        <f>AC77</f>
        <v/>
      </c>
      <c r="AN77" s="59" t="n"/>
      <c r="AO77" s="57" t="n"/>
      <c r="AP77" s="57" t="n"/>
      <c r="AQ77" s="57" t="n"/>
      <c r="AR77" s="57" t="n"/>
      <c r="AS77" s="60">
        <f>SUM(AO77:AR77)</f>
        <v/>
      </c>
      <c r="AT77" s="61" t="n"/>
      <c r="AU77" s="57" t="n"/>
      <c r="AV77" s="58">
        <f>AL77</f>
        <v/>
      </c>
      <c r="AW77" s="59" t="n"/>
      <c r="AX77" s="57" t="n"/>
      <c r="AY77" s="57" t="n"/>
      <c r="AZ77" s="57" t="n"/>
      <c r="BA77" s="57" t="n"/>
      <c r="BB77" s="60">
        <f>SUM(AX77:BA77)</f>
        <v/>
      </c>
      <c r="BC77" s="61" t="n"/>
      <c r="BD77" s="57" t="n"/>
      <c r="BE77" s="58">
        <f>AU77</f>
        <v/>
      </c>
      <c r="BF77" s="59" t="n"/>
      <c r="BG77" s="57" t="n"/>
      <c r="BH77" s="57" t="n"/>
      <c r="BI77" s="57" t="n"/>
      <c r="BJ77" s="57" t="n"/>
      <c r="BK77" s="60">
        <f>SUM(BG77:BJ77)</f>
        <v/>
      </c>
      <c r="BL77" s="61" t="n"/>
      <c r="BM77" s="57" t="n"/>
      <c r="BN77" s="58">
        <f>BD77</f>
        <v/>
      </c>
      <c r="BO77" s="59" t="n"/>
      <c r="BP77" s="57" t="n"/>
      <c r="BQ77" s="57" t="n"/>
      <c r="BR77" s="57" t="n"/>
      <c r="BS77" s="57" t="n"/>
      <c r="BT77" s="60">
        <f>SUM(BP77:BS77)</f>
        <v/>
      </c>
      <c r="BU77" s="61" t="n"/>
      <c r="BV77" s="57" t="n"/>
      <c r="BW77" s="58">
        <f>BM77</f>
        <v/>
      </c>
      <c r="BX77" s="59" t="n"/>
      <c r="BY77" s="57" t="n"/>
      <c r="BZ77" s="57" t="n"/>
      <c r="CA77" s="57" t="n"/>
      <c r="CB77" s="57" t="n"/>
      <c r="CC77" s="60">
        <f>SUM(BY77:CB77)</f>
        <v/>
      </c>
      <c r="CD77" s="61" t="n"/>
      <c r="CE77" s="57" t="n"/>
      <c r="CF77" s="58">
        <f>BV77</f>
        <v/>
      </c>
      <c r="CG77" s="59" t="n"/>
      <c r="CH77" s="57" t="n"/>
      <c r="CI77" s="57" t="n"/>
      <c r="CJ77" s="57" t="n"/>
      <c r="CK77" s="57" t="n"/>
      <c r="CL77" s="60">
        <f>SUM(CH77:CK77)</f>
        <v/>
      </c>
      <c r="CM77" s="61" t="n"/>
      <c r="CN77" s="57" t="n"/>
      <c r="CO77" s="58">
        <f>CE77</f>
        <v/>
      </c>
      <c r="CP77" s="59" t="n"/>
      <c r="CQ77" s="57" t="n"/>
      <c r="CR77" s="57" t="n"/>
      <c r="CS77" s="57" t="n"/>
      <c r="CT77" s="57" t="n"/>
      <c r="CU77" s="60">
        <f>SUM(CQ77:CT77)</f>
        <v/>
      </c>
      <c r="CV77" s="61" t="n"/>
      <c r="CW77" s="57" t="n"/>
      <c r="CX77" s="58">
        <f>CN77</f>
        <v/>
      </c>
      <c r="CY77" s="59" t="n"/>
      <c r="CZ77" s="57" t="n"/>
      <c r="DA77" s="57" t="n"/>
      <c r="DB77" s="57" t="n"/>
      <c r="DC77" s="57" t="n"/>
      <c r="DD77" s="60">
        <f>SUM(CZ77:DC77)</f>
        <v/>
      </c>
      <c r="DE77" s="61" t="n"/>
      <c r="DF77" s="57" t="n"/>
      <c r="DG77" s="58">
        <f>CW77</f>
        <v/>
      </c>
      <c r="DH77" s="59" t="n"/>
      <c r="DI77" s="57" t="n"/>
      <c r="DJ77" s="57" t="n"/>
      <c r="DK77" s="57" t="n"/>
      <c r="DL77" s="57" t="n"/>
      <c r="DM77" s="60">
        <f>SUM(DI77:DL77)</f>
        <v/>
      </c>
      <c r="DN77" s="61" t="n"/>
      <c r="DO77" s="57" t="n"/>
      <c r="DP77" s="58">
        <f>DF77</f>
        <v/>
      </c>
      <c r="DQ77" s="59" t="n"/>
      <c r="DR77" s="57" t="n"/>
      <c r="DS77" s="57" t="n"/>
      <c r="DT77" s="57" t="n"/>
      <c r="DU77" s="57" t="n"/>
      <c r="DV77" s="60">
        <f>SUM(DR77:DU77)</f>
        <v/>
      </c>
      <c r="DW77" s="61" t="n"/>
      <c r="DX77" s="57" t="n"/>
      <c r="DY77" s="58">
        <f>DO77</f>
        <v/>
      </c>
      <c r="DZ77" s="59" t="n"/>
      <c r="EA77" s="57" t="n"/>
      <c r="EB77" s="57" t="n"/>
      <c r="EC77" s="57" t="n"/>
      <c r="ED77" s="57" t="n"/>
      <c r="EE77" s="60">
        <f>SUM(EA77:ED77)</f>
        <v/>
      </c>
      <c r="EF77" s="61" t="n"/>
      <c r="EG77" s="57" t="n"/>
      <c r="EH77" s="58">
        <f>DX77</f>
        <v/>
      </c>
      <c r="EI77" s="59" t="n"/>
      <c r="EJ77" s="57" t="n"/>
      <c r="EK77" s="57" t="n"/>
      <c r="EL77" s="57" t="n"/>
      <c r="EM77" s="57" t="n"/>
      <c r="EN77" s="60">
        <f>SUM(EJ77:EM77)</f>
        <v/>
      </c>
      <c r="EO77" s="61" t="n"/>
      <c r="EP77" s="57" t="n"/>
      <c r="EQ77" s="58">
        <f>EG77</f>
        <v/>
      </c>
      <c r="ER77" s="59" t="n"/>
      <c r="ES77" s="57" t="n"/>
      <c r="ET77" s="57" t="n"/>
      <c r="EU77" s="57" t="n"/>
      <c r="EV77" s="57" t="n"/>
      <c r="EW77" s="60">
        <f>SUM(ES77:EV77)</f>
        <v/>
      </c>
      <c r="EX77" s="61" t="n"/>
      <c r="EY77" s="57" t="n"/>
      <c r="EZ77" s="58">
        <f>EP77</f>
        <v/>
      </c>
      <c r="FA77" s="59" t="n"/>
      <c r="FB77" s="57" t="n"/>
      <c r="FC77" s="57" t="n"/>
      <c r="FD77" s="57" t="n"/>
      <c r="FE77" s="57" t="n"/>
      <c r="FF77" s="60">
        <f>SUM(FB77:FE77)</f>
        <v/>
      </c>
      <c r="FG77" s="61" t="n"/>
      <c r="FH77" s="57" t="n"/>
      <c r="FI77" s="58">
        <f>EY77</f>
        <v/>
      </c>
      <c r="FJ77" s="59" t="n"/>
      <c r="FK77" s="57" t="n"/>
      <c r="FL77" s="57" t="n"/>
      <c r="FM77" s="57" t="n"/>
      <c r="FN77" s="57" t="n"/>
      <c r="FO77" s="60">
        <f>SUM(FK77:FN77)</f>
        <v/>
      </c>
      <c r="FP77" s="61" t="n"/>
      <c r="FQ77" s="57" t="n"/>
      <c r="FR77" s="58">
        <f>FH77</f>
        <v/>
      </c>
      <c r="FS77" s="59" t="n"/>
      <c r="FT77" s="57" t="n"/>
      <c r="FU77" s="57" t="n"/>
      <c r="FV77" s="57" t="n"/>
      <c r="FW77" s="57" t="n"/>
      <c r="FX77" s="60">
        <f>SUM(FT77:FW77)</f>
        <v/>
      </c>
      <c r="FY77" s="61" t="n"/>
      <c r="FZ77" s="57" t="n"/>
      <c r="GA77" s="58">
        <f>FQ77</f>
        <v/>
      </c>
      <c r="GB77" s="59" t="n"/>
      <c r="GC77" s="57" t="n"/>
      <c r="GD77" s="57" t="n"/>
      <c r="GE77" s="57" t="n"/>
      <c r="GF77" s="57" t="n"/>
      <c r="GG77" s="60">
        <f>SUM(GC77:GF77)</f>
        <v/>
      </c>
      <c r="GH77" s="61" t="n"/>
      <c r="GI77" s="57" t="n"/>
      <c r="GJ77" s="58">
        <f>FZ77</f>
        <v/>
      </c>
      <c r="GK77" s="59" t="n"/>
      <c r="GL77" s="57" t="n"/>
      <c r="GM77" s="57" t="n"/>
      <c r="GN77" s="57" t="n"/>
      <c r="GO77" s="57" t="n"/>
      <c r="GP77" s="60">
        <f>SUM(GL77:GO77)</f>
        <v/>
      </c>
      <c r="GQ77" s="61" t="n"/>
      <c r="GR77" s="57" t="n"/>
      <c r="GS77" s="58">
        <f>GI77</f>
        <v/>
      </c>
      <c r="GT77" s="59" t="n"/>
      <c r="GU77" s="57" t="n"/>
      <c r="GV77" s="57" t="n"/>
      <c r="GW77" s="57" t="n"/>
      <c r="GX77" s="57" t="n"/>
      <c r="GY77" s="60">
        <f>SUM(GU77:GX77)</f>
        <v/>
      </c>
      <c r="GZ77" s="61" t="n"/>
      <c r="HA77" s="57" t="n"/>
      <c r="HB77" s="58">
        <f>GR77</f>
        <v/>
      </c>
      <c r="HC77" s="59" t="n"/>
      <c r="HD77" s="57" t="n"/>
      <c r="HE77" s="57" t="n"/>
      <c r="HF77" s="57" t="n"/>
      <c r="HG77" s="57" t="n"/>
      <c r="HH77" s="60">
        <f>SUM(HD77:HG77)</f>
        <v/>
      </c>
      <c r="HI77" s="61" t="n"/>
      <c r="HJ77" s="57" t="n"/>
      <c r="HK77" s="58">
        <f>HA77</f>
        <v/>
      </c>
      <c r="HL77" s="59" t="n"/>
      <c r="HM77" s="57" t="n"/>
      <c r="HN77" s="57" t="n"/>
      <c r="HO77" s="57" t="n"/>
      <c r="HP77" s="57" t="n"/>
      <c r="HQ77" s="60">
        <f>SUM(HM77:HP77)</f>
        <v/>
      </c>
      <c r="HR77" s="61" t="n"/>
      <c r="HS77" s="57" t="n"/>
      <c r="HT77" s="58">
        <f>HJ77</f>
        <v/>
      </c>
      <c r="HU77" s="59" t="n"/>
      <c r="HV77" s="57" t="n"/>
      <c r="HW77" s="57" t="n"/>
      <c r="HX77" s="57" t="n"/>
      <c r="HY77" s="57" t="n"/>
      <c r="HZ77" s="60">
        <f>SUM(HV77:HY77)</f>
        <v/>
      </c>
      <c r="IA77" s="61" t="n"/>
      <c r="IB77" s="57" t="n"/>
      <c r="IC77" s="58">
        <f>HS77</f>
        <v/>
      </c>
      <c r="ID77" s="59" t="n"/>
      <c r="IE77" s="57" t="n"/>
      <c r="IF77" s="57" t="n"/>
      <c r="IG77" s="57" t="n"/>
      <c r="IH77" s="57" t="n"/>
      <c r="II77" s="60">
        <f>SUM(IE77:IH77)</f>
        <v/>
      </c>
      <c r="IJ77" s="61" t="n"/>
      <c r="IK77" s="57" t="n"/>
      <c r="IL77" s="58">
        <f>IB77</f>
        <v/>
      </c>
      <c r="IM77" s="59" t="n"/>
      <c r="IN77" s="57" t="n"/>
      <c r="IO77" s="57" t="n"/>
      <c r="IP77" s="57" t="n"/>
      <c r="IQ77" s="57" t="n"/>
      <c r="IR77" s="60">
        <f>SUM(IN77:IQ77)</f>
        <v/>
      </c>
      <c r="IS77" s="61" t="n"/>
      <c r="IT77" s="57" t="n"/>
      <c r="IU77" s="58">
        <f>IK77</f>
        <v/>
      </c>
      <c r="IV77" s="59" t="n"/>
      <c r="IW77" s="57" t="n"/>
      <c r="IX77" s="57" t="n"/>
      <c r="IY77" s="57" t="n"/>
      <c r="IZ77" s="57" t="n"/>
      <c r="JA77" s="60">
        <f>SUM(IW77:IZ77)</f>
        <v/>
      </c>
      <c r="JB77" s="61" t="n"/>
      <c r="JC77" s="57" t="n"/>
      <c r="JD77" s="58">
        <f>IT77</f>
        <v/>
      </c>
      <c r="JE77" s="59" t="n"/>
      <c r="JF77" s="57" t="n"/>
      <c r="JG77" s="57" t="n"/>
      <c r="JH77" s="57" t="n"/>
      <c r="JI77" s="57" t="n"/>
      <c r="JJ77" s="60">
        <f>SUM(JF77:JI77)</f>
        <v/>
      </c>
      <c r="JK77" s="61" t="n"/>
      <c r="JL77" s="57" t="n"/>
      <c r="JM77" s="58">
        <f>JC77</f>
        <v/>
      </c>
      <c r="JN77" s="59" t="n"/>
      <c r="JO77" s="57" t="n"/>
      <c r="JP77" s="57" t="n"/>
      <c r="JQ77" s="57" t="n"/>
      <c r="JR77" s="57" t="n"/>
      <c r="JS77" s="60">
        <f>SUM(JO77:JR77)</f>
        <v/>
      </c>
      <c r="JT77" s="61" t="n"/>
      <c r="JU77" s="62">
        <f>I77+R77+AA77+AJ77+AS77+BB77+BK77+BT77+CC77+CL77+CU77+DD77+DM77+DV77+EE77+EN77+EW77+FF77+FO77+FX77+GG77+GP77+GY77+HH77+HQ77+HZ77+II77+IR77+JA77+JJ77+JS77</f>
        <v/>
      </c>
      <c r="JV77" s="63">
        <f>D77+M77+V77+AE77+AN77+AW77+BF77+BO77+BX77+CG77+CP77+CY77+DH77+DQ77+DZ77+EI77+ER77+FA77+FJ77+FS77+GB77+GK77+GT77+HC77+HL77+HU77+ID77+IM77+IV77+JE77+JN77</f>
        <v/>
      </c>
      <c r="JW77" s="62">
        <f>CHOOSE($Z$3,B77, K77, T77, AC77, AL77, AU77, BD77, BM77, BV77, CE77, CN77, CW77, DF77, DO77, DX77, EG77, EP77, EY77, FH77, FQ77, FZ77, GI77, GR77, HA77, HJ77, HS77, IB77, IK77, IT77, JC77, JL77)</f>
        <v/>
      </c>
      <c r="JX77" s="62">
        <f>IFERROR(JU77/$Z$3,0)</f>
        <v/>
      </c>
      <c r="JY77" s="62">
        <f>Configurações!$C$17</f>
        <v/>
      </c>
      <c r="JZ77" s="64">
        <f>IF(JY77=0,"— Sem meta",IF(JU77&gt;=JY77,"✓ Atingida","Em andamento"))</f>
        <v/>
      </c>
      <c r="KA77" s="65">
        <f>JU77+(3*0.0000001)</f>
        <v/>
      </c>
    </row>
    <row r="78" ht="20" customHeight="1">
      <c r="A78" s="56">
        <f>IF(Configurações!$B$18="","Assessor 12",Configurações!$B$18)</f>
        <v/>
      </c>
      <c r="B78" s="57" t="n"/>
      <c r="C78" s="66">
        <f>'Julho'!$JW78</f>
        <v/>
      </c>
      <c r="D78" s="59" t="n"/>
      <c r="E78" s="57" t="n"/>
      <c r="F78" s="57" t="n"/>
      <c r="G78" s="57" t="n"/>
      <c r="H78" s="57" t="n"/>
      <c r="I78" s="67">
        <f>SUM(E78:H78)</f>
        <v/>
      </c>
      <c r="J78" s="61" t="n"/>
      <c r="K78" s="57" t="n"/>
      <c r="L78" s="66">
        <f>B78</f>
        <v/>
      </c>
      <c r="M78" s="59" t="n"/>
      <c r="N78" s="57" t="n"/>
      <c r="O78" s="57" t="n"/>
      <c r="P78" s="57" t="n"/>
      <c r="Q78" s="57" t="n"/>
      <c r="R78" s="67">
        <f>SUM(N78:Q78)</f>
        <v/>
      </c>
      <c r="S78" s="61" t="n"/>
      <c r="T78" s="57" t="n"/>
      <c r="U78" s="66">
        <f>K78</f>
        <v/>
      </c>
      <c r="V78" s="59" t="n"/>
      <c r="W78" s="57" t="n"/>
      <c r="X78" s="57" t="n"/>
      <c r="Y78" s="57" t="n"/>
      <c r="Z78" s="57" t="n"/>
      <c r="AA78" s="67">
        <f>SUM(W78:Z78)</f>
        <v/>
      </c>
      <c r="AB78" s="61" t="n"/>
      <c r="AC78" s="57" t="n"/>
      <c r="AD78" s="66">
        <f>T78</f>
        <v/>
      </c>
      <c r="AE78" s="59" t="n"/>
      <c r="AF78" s="57" t="n"/>
      <c r="AG78" s="57" t="n"/>
      <c r="AH78" s="57" t="n"/>
      <c r="AI78" s="57" t="n"/>
      <c r="AJ78" s="67">
        <f>SUM(AF78:AI78)</f>
        <v/>
      </c>
      <c r="AK78" s="61" t="n"/>
      <c r="AL78" s="57" t="n"/>
      <c r="AM78" s="66">
        <f>AC78</f>
        <v/>
      </c>
      <c r="AN78" s="59" t="n"/>
      <c r="AO78" s="57" t="n"/>
      <c r="AP78" s="57" t="n"/>
      <c r="AQ78" s="57" t="n"/>
      <c r="AR78" s="57" t="n"/>
      <c r="AS78" s="67">
        <f>SUM(AO78:AR78)</f>
        <v/>
      </c>
      <c r="AT78" s="61" t="n"/>
      <c r="AU78" s="57" t="n"/>
      <c r="AV78" s="66">
        <f>AL78</f>
        <v/>
      </c>
      <c r="AW78" s="59" t="n"/>
      <c r="AX78" s="57" t="n"/>
      <c r="AY78" s="57" t="n"/>
      <c r="AZ78" s="57" t="n"/>
      <c r="BA78" s="57" t="n"/>
      <c r="BB78" s="67">
        <f>SUM(AX78:BA78)</f>
        <v/>
      </c>
      <c r="BC78" s="61" t="n"/>
      <c r="BD78" s="57" t="n"/>
      <c r="BE78" s="66">
        <f>AU78</f>
        <v/>
      </c>
      <c r="BF78" s="59" t="n"/>
      <c r="BG78" s="57" t="n"/>
      <c r="BH78" s="57" t="n"/>
      <c r="BI78" s="57" t="n"/>
      <c r="BJ78" s="57" t="n"/>
      <c r="BK78" s="67">
        <f>SUM(BG78:BJ78)</f>
        <v/>
      </c>
      <c r="BL78" s="61" t="n"/>
      <c r="BM78" s="57" t="n"/>
      <c r="BN78" s="66">
        <f>BD78</f>
        <v/>
      </c>
      <c r="BO78" s="59" t="n"/>
      <c r="BP78" s="57" t="n"/>
      <c r="BQ78" s="57" t="n"/>
      <c r="BR78" s="57" t="n"/>
      <c r="BS78" s="57" t="n"/>
      <c r="BT78" s="67">
        <f>SUM(BP78:BS78)</f>
        <v/>
      </c>
      <c r="BU78" s="61" t="n"/>
      <c r="BV78" s="57" t="n"/>
      <c r="BW78" s="66">
        <f>BM78</f>
        <v/>
      </c>
      <c r="BX78" s="59" t="n"/>
      <c r="BY78" s="57" t="n"/>
      <c r="BZ78" s="57" t="n"/>
      <c r="CA78" s="57" t="n"/>
      <c r="CB78" s="57" t="n"/>
      <c r="CC78" s="67">
        <f>SUM(BY78:CB78)</f>
        <v/>
      </c>
      <c r="CD78" s="61" t="n"/>
      <c r="CE78" s="57" t="n"/>
      <c r="CF78" s="66">
        <f>BV78</f>
        <v/>
      </c>
      <c r="CG78" s="59" t="n"/>
      <c r="CH78" s="57" t="n"/>
      <c r="CI78" s="57" t="n"/>
      <c r="CJ78" s="57" t="n"/>
      <c r="CK78" s="57" t="n"/>
      <c r="CL78" s="67">
        <f>SUM(CH78:CK78)</f>
        <v/>
      </c>
      <c r="CM78" s="61" t="n"/>
      <c r="CN78" s="57" t="n"/>
      <c r="CO78" s="66">
        <f>CE78</f>
        <v/>
      </c>
      <c r="CP78" s="59" t="n"/>
      <c r="CQ78" s="57" t="n"/>
      <c r="CR78" s="57" t="n"/>
      <c r="CS78" s="57" t="n"/>
      <c r="CT78" s="57" t="n"/>
      <c r="CU78" s="67">
        <f>SUM(CQ78:CT78)</f>
        <v/>
      </c>
      <c r="CV78" s="61" t="n"/>
      <c r="CW78" s="57" t="n"/>
      <c r="CX78" s="66">
        <f>CN78</f>
        <v/>
      </c>
      <c r="CY78" s="59" t="n"/>
      <c r="CZ78" s="57" t="n"/>
      <c r="DA78" s="57" t="n"/>
      <c r="DB78" s="57" t="n"/>
      <c r="DC78" s="57" t="n"/>
      <c r="DD78" s="67">
        <f>SUM(CZ78:DC78)</f>
        <v/>
      </c>
      <c r="DE78" s="61" t="n"/>
      <c r="DF78" s="57" t="n"/>
      <c r="DG78" s="66">
        <f>CW78</f>
        <v/>
      </c>
      <c r="DH78" s="59" t="n"/>
      <c r="DI78" s="57" t="n"/>
      <c r="DJ78" s="57" t="n"/>
      <c r="DK78" s="57" t="n"/>
      <c r="DL78" s="57" t="n"/>
      <c r="DM78" s="67">
        <f>SUM(DI78:DL78)</f>
        <v/>
      </c>
      <c r="DN78" s="61" t="n"/>
      <c r="DO78" s="57" t="n"/>
      <c r="DP78" s="66">
        <f>DF78</f>
        <v/>
      </c>
      <c r="DQ78" s="59" t="n"/>
      <c r="DR78" s="57" t="n"/>
      <c r="DS78" s="57" t="n"/>
      <c r="DT78" s="57" t="n"/>
      <c r="DU78" s="57" t="n"/>
      <c r="DV78" s="67">
        <f>SUM(DR78:DU78)</f>
        <v/>
      </c>
      <c r="DW78" s="61" t="n"/>
      <c r="DX78" s="57" t="n"/>
      <c r="DY78" s="66">
        <f>DO78</f>
        <v/>
      </c>
      <c r="DZ78" s="59" t="n"/>
      <c r="EA78" s="57" t="n"/>
      <c r="EB78" s="57" t="n"/>
      <c r="EC78" s="57" t="n"/>
      <c r="ED78" s="57" t="n"/>
      <c r="EE78" s="67">
        <f>SUM(EA78:ED78)</f>
        <v/>
      </c>
      <c r="EF78" s="61" t="n"/>
      <c r="EG78" s="57" t="n"/>
      <c r="EH78" s="66">
        <f>DX78</f>
        <v/>
      </c>
      <c r="EI78" s="59" t="n"/>
      <c r="EJ78" s="57" t="n"/>
      <c r="EK78" s="57" t="n"/>
      <c r="EL78" s="57" t="n"/>
      <c r="EM78" s="57" t="n"/>
      <c r="EN78" s="67">
        <f>SUM(EJ78:EM78)</f>
        <v/>
      </c>
      <c r="EO78" s="61" t="n"/>
      <c r="EP78" s="57" t="n"/>
      <c r="EQ78" s="66">
        <f>EG78</f>
        <v/>
      </c>
      <c r="ER78" s="59" t="n"/>
      <c r="ES78" s="57" t="n"/>
      <c r="ET78" s="57" t="n"/>
      <c r="EU78" s="57" t="n"/>
      <c r="EV78" s="57" t="n"/>
      <c r="EW78" s="67">
        <f>SUM(ES78:EV78)</f>
        <v/>
      </c>
      <c r="EX78" s="61" t="n"/>
      <c r="EY78" s="57" t="n"/>
      <c r="EZ78" s="66">
        <f>EP78</f>
        <v/>
      </c>
      <c r="FA78" s="59" t="n"/>
      <c r="FB78" s="57" t="n"/>
      <c r="FC78" s="57" t="n"/>
      <c r="FD78" s="57" t="n"/>
      <c r="FE78" s="57" t="n"/>
      <c r="FF78" s="67">
        <f>SUM(FB78:FE78)</f>
        <v/>
      </c>
      <c r="FG78" s="61" t="n"/>
      <c r="FH78" s="57" t="n"/>
      <c r="FI78" s="66">
        <f>EY78</f>
        <v/>
      </c>
      <c r="FJ78" s="59" t="n"/>
      <c r="FK78" s="57" t="n"/>
      <c r="FL78" s="57" t="n"/>
      <c r="FM78" s="57" t="n"/>
      <c r="FN78" s="57" t="n"/>
      <c r="FO78" s="67">
        <f>SUM(FK78:FN78)</f>
        <v/>
      </c>
      <c r="FP78" s="61" t="n"/>
      <c r="FQ78" s="57" t="n"/>
      <c r="FR78" s="66">
        <f>FH78</f>
        <v/>
      </c>
      <c r="FS78" s="59" t="n"/>
      <c r="FT78" s="57" t="n"/>
      <c r="FU78" s="57" t="n"/>
      <c r="FV78" s="57" t="n"/>
      <c r="FW78" s="57" t="n"/>
      <c r="FX78" s="67">
        <f>SUM(FT78:FW78)</f>
        <v/>
      </c>
      <c r="FY78" s="61" t="n"/>
      <c r="FZ78" s="57" t="n"/>
      <c r="GA78" s="66">
        <f>FQ78</f>
        <v/>
      </c>
      <c r="GB78" s="59" t="n"/>
      <c r="GC78" s="57" t="n"/>
      <c r="GD78" s="57" t="n"/>
      <c r="GE78" s="57" t="n"/>
      <c r="GF78" s="57" t="n"/>
      <c r="GG78" s="67">
        <f>SUM(GC78:GF78)</f>
        <v/>
      </c>
      <c r="GH78" s="61" t="n"/>
      <c r="GI78" s="57" t="n"/>
      <c r="GJ78" s="66">
        <f>FZ78</f>
        <v/>
      </c>
      <c r="GK78" s="59" t="n"/>
      <c r="GL78" s="57" t="n"/>
      <c r="GM78" s="57" t="n"/>
      <c r="GN78" s="57" t="n"/>
      <c r="GO78" s="57" t="n"/>
      <c r="GP78" s="67">
        <f>SUM(GL78:GO78)</f>
        <v/>
      </c>
      <c r="GQ78" s="61" t="n"/>
      <c r="GR78" s="57" t="n"/>
      <c r="GS78" s="66">
        <f>GI78</f>
        <v/>
      </c>
      <c r="GT78" s="59" t="n"/>
      <c r="GU78" s="57" t="n"/>
      <c r="GV78" s="57" t="n"/>
      <c r="GW78" s="57" t="n"/>
      <c r="GX78" s="57" t="n"/>
      <c r="GY78" s="67">
        <f>SUM(GU78:GX78)</f>
        <v/>
      </c>
      <c r="GZ78" s="61" t="n"/>
      <c r="HA78" s="57" t="n"/>
      <c r="HB78" s="66">
        <f>GR78</f>
        <v/>
      </c>
      <c r="HC78" s="59" t="n"/>
      <c r="HD78" s="57" t="n"/>
      <c r="HE78" s="57" t="n"/>
      <c r="HF78" s="57" t="n"/>
      <c r="HG78" s="57" t="n"/>
      <c r="HH78" s="67">
        <f>SUM(HD78:HG78)</f>
        <v/>
      </c>
      <c r="HI78" s="61" t="n"/>
      <c r="HJ78" s="57" t="n"/>
      <c r="HK78" s="66">
        <f>HA78</f>
        <v/>
      </c>
      <c r="HL78" s="59" t="n"/>
      <c r="HM78" s="57" t="n"/>
      <c r="HN78" s="57" t="n"/>
      <c r="HO78" s="57" t="n"/>
      <c r="HP78" s="57" t="n"/>
      <c r="HQ78" s="67">
        <f>SUM(HM78:HP78)</f>
        <v/>
      </c>
      <c r="HR78" s="61" t="n"/>
      <c r="HS78" s="57" t="n"/>
      <c r="HT78" s="66">
        <f>HJ78</f>
        <v/>
      </c>
      <c r="HU78" s="59" t="n"/>
      <c r="HV78" s="57" t="n"/>
      <c r="HW78" s="57" t="n"/>
      <c r="HX78" s="57" t="n"/>
      <c r="HY78" s="57" t="n"/>
      <c r="HZ78" s="67">
        <f>SUM(HV78:HY78)</f>
        <v/>
      </c>
      <c r="IA78" s="61" t="n"/>
      <c r="IB78" s="57" t="n"/>
      <c r="IC78" s="66">
        <f>HS78</f>
        <v/>
      </c>
      <c r="ID78" s="59" t="n"/>
      <c r="IE78" s="57" t="n"/>
      <c r="IF78" s="57" t="n"/>
      <c r="IG78" s="57" t="n"/>
      <c r="IH78" s="57" t="n"/>
      <c r="II78" s="67">
        <f>SUM(IE78:IH78)</f>
        <v/>
      </c>
      <c r="IJ78" s="61" t="n"/>
      <c r="IK78" s="57" t="n"/>
      <c r="IL78" s="66">
        <f>IB78</f>
        <v/>
      </c>
      <c r="IM78" s="59" t="n"/>
      <c r="IN78" s="57" t="n"/>
      <c r="IO78" s="57" t="n"/>
      <c r="IP78" s="57" t="n"/>
      <c r="IQ78" s="57" t="n"/>
      <c r="IR78" s="67">
        <f>SUM(IN78:IQ78)</f>
        <v/>
      </c>
      <c r="IS78" s="61" t="n"/>
      <c r="IT78" s="57" t="n"/>
      <c r="IU78" s="66">
        <f>IK78</f>
        <v/>
      </c>
      <c r="IV78" s="59" t="n"/>
      <c r="IW78" s="57" t="n"/>
      <c r="IX78" s="57" t="n"/>
      <c r="IY78" s="57" t="n"/>
      <c r="IZ78" s="57" t="n"/>
      <c r="JA78" s="67">
        <f>SUM(IW78:IZ78)</f>
        <v/>
      </c>
      <c r="JB78" s="61" t="n"/>
      <c r="JC78" s="57" t="n"/>
      <c r="JD78" s="66">
        <f>IT78</f>
        <v/>
      </c>
      <c r="JE78" s="59" t="n"/>
      <c r="JF78" s="57" t="n"/>
      <c r="JG78" s="57" t="n"/>
      <c r="JH78" s="57" t="n"/>
      <c r="JI78" s="57" t="n"/>
      <c r="JJ78" s="67">
        <f>SUM(JF78:JI78)</f>
        <v/>
      </c>
      <c r="JK78" s="61" t="n"/>
      <c r="JL78" s="57" t="n"/>
      <c r="JM78" s="66">
        <f>JC78</f>
        <v/>
      </c>
      <c r="JN78" s="59" t="n"/>
      <c r="JO78" s="57" t="n"/>
      <c r="JP78" s="57" t="n"/>
      <c r="JQ78" s="57" t="n"/>
      <c r="JR78" s="57" t="n"/>
      <c r="JS78" s="67">
        <f>SUM(JO78:JR78)</f>
        <v/>
      </c>
      <c r="JT78" s="61" t="n"/>
      <c r="JU78" s="62">
        <f>I78+R78+AA78+AJ78+AS78+BB78+BK78+BT78+CC78+CL78+CU78+DD78+DM78+DV78+EE78+EN78+EW78+FF78+FO78+FX78+GG78+GP78+GY78+HH78+HQ78+HZ78+II78+IR78+JA78+JJ78+JS78</f>
        <v/>
      </c>
      <c r="JV78" s="63">
        <f>D78+M78+V78+AE78+AN78+AW78+BF78+BO78+BX78+CG78+CP78+CY78+DH78+DQ78+DZ78+EI78+ER78+FA78+FJ78+FS78+GB78+GK78+GT78+HC78+HL78+HU78+ID78+IM78+IV78+JE78+JN78</f>
        <v/>
      </c>
      <c r="JW78" s="62">
        <f>CHOOSE($Z$3,B78, K78, T78, AC78, AL78, AU78, BD78, BM78, BV78, CE78, CN78, CW78, DF78, DO78, DX78, EG78, EP78, EY78, FH78, FQ78, FZ78, GI78, GR78, HA78, HJ78, HS78, IB78, IK78, IT78, JC78, JL78)</f>
        <v/>
      </c>
      <c r="JX78" s="62">
        <f>IFERROR(JU78/$Z$3,0)</f>
        <v/>
      </c>
      <c r="JY78" s="62">
        <f>Configurações!$C$18</f>
        <v/>
      </c>
      <c r="JZ78" s="64">
        <f>IF(JY78=0,"— Sem meta",IF(JU78&gt;=JY78,"✓ Atingida","Em andamento"))</f>
        <v/>
      </c>
      <c r="KA78" s="65">
        <f>JU78+(2*0.0000001)</f>
        <v/>
      </c>
    </row>
    <row r="79" ht="20" customHeight="1">
      <c r="A79" s="56">
        <f>IF(Configurações!$B$19="","Assessor 13",Configurações!$B$19)</f>
        <v/>
      </c>
      <c r="B79" s="57" t="n"/>
      <c r="C79" s="58">
        <f>'Julho'!$JW79</f>
        <v/>
      </c>
      <c r="D79" s="59" t="n"/>
      <c r="E79" s="57" t="n"/>
      <c r="F79" s="57" t="n"/>
      <c r="G79" s="57" t="n"/>
      <c r="H79" s="57" t="n"/>
      <c r="I79" s="60">
        <f>SUM(E79:H79)</f>
        <v/>
      </c>
      <c r="J79" s="61" t="n"/>
      <c r="K79" s="57" t="n"/>
      <c r="L79" s="58">
        <f>B79</f>
        <v/>
      </c>
      <c r="M79" s="59" t="n"/>
      <c r="N79" s="57" t="n"/>
      <c r="O79" s="57" t="n"/>
      <c r="P79" s="57" t="n"/>
      <c r="Q79" s="57" t="n"/>
      <c r="R79" s="60">
        <f>SUM(N79:Q79)</f>
        <v/>
      </c>
      <c r="S79" s="61" t="n"/>
      <c r="T79" s="57" t="n"/>
      <c r="U79" s="58">
        <f>K79</f>
        <v/>
      </c>
      <c r="V79" s="59" t="n"/>
      <c r="W79" s="57" t="n"/>
      <c r="X79" s="57" t="n"/>
      <c r="Y79" s="57" t="n"/>
      <c r="Z79" s="57" t="n"/>
      <c r="AA79" s="60">
        <f>SUM(W79:Z79)</f>
        <v/>
      </c>
      <c r="AB79" s="61" t="n"/>
      <c r="AC79" s="57" t="n"/>
      <c r="AD79" s="58">
        <f>T79</f>
        <v/>
      </c>
      <c r="AE79" s="59" t="n"/>
      <c r="AF79" s="57" t="n"/>
      <c r="AG79" s="57" t="n"/>
      <c r="AH79" s="57" t="n"/>
      <c r="AI79" s="57" t="n"/>
      <c r="AJ79" s="60">
        <f>SUM(AF79:AI79)</f>
        <v/>
      </c>
      <c r="AK79" s="61" t="n"/>
      <c r="AL79" s="57" t="n"/>
      <c r="AM79" s="58">
        <f>AC79</f>
        <v/>
      </c>
      <c r="AN79" s="59" t="n"/>
      <c r="AO79" s="57" t="n"/>
      <c r="AP79" s="57" t="n"/>
      <c r="AQ79" s="57" t="n"/>
      <c r="AR79" s="57" t="n"/>
      <c r="AS79" s="60">
        <f>SUM(AO79:AR79)</f>
        <v/>
      </c>
      <c r="AT79" s="61" t="n"/>
      <c r="AU79" s="57" t="n"/>
      <c r="AV79" s="58">
        <f>AL79</f>
        <v/>
      </c>
      <c r="AW79" s="59" t="n"/>
      <c r="AX79" s="57" t="n"/>
      <c r="AY79" s="57" t="n"/>
      <c r="AZ79" s="57" t="n"/>
      <c r="BA79" s="57" t="n"/>
      <c r="BB79" s="60">
        <f>SUM(AX79:BA79)</f>
        <v/>
      </c>
      <c r="BC79" s="61" t="n"/>
      <c r="BD79" s="57" t="n"/>
      <c r="BE79" s="58">
        <f>AU79</f>
        <v/>
      </c>
      <c r="BF79" s="59" t="n"/>
      <c r="BG79" s="57" t="n"/>
      <c r="BH79" s="57" t="n"/>
      <c r="BI79" s="57" t="n"/>
      <c r="BJ79" s="57" t="n"/>
      <c r="BK79" s="60">
        <f>SUM(BG79:BJ79)</f>
        <v/>
      </c>
      <c r="BL79" s="61" t="n"/>
      <c r="BM79" s="57" t="n"/>
      <c r="BN79" s="58">
        <f>BD79</f>
        <v/>
      </c>
      <c r="BO79" s="59" t="n"/>
      <c r="BP79" s="57" t="n"/>
      <c r="BQ79" s="57" t="n"/>
      <c r="BR79" s="57" t="n"/>
      <c r="BS79" s="57" t="n"/>
      <c r="BT79" s="60">
        <f>SUM(BP79:BS79)</f>
        <v/>
      </c>
      <c r="BU79" s="61" t="n"/>
      <c r="BV79" s="57" t="n"/>
      <c r="BW79" s="58">
        <f>BM79</f>
        <v/>
      </c>
      <c r="BX79" s="59" t="n"/>
      <c r="BY79" s="57" t="n"/>
      <c r="BZ79" s="57" t="n"/>
      <c r="CA79" s="57" t="n"/>
      <c r="CB79" s="57" t="n"/>
      <c r="CC79" s="60">
        <f>SUM(BY79:CB79)</f>
        <v/>
      </c>
      <c r="CD79" s="61" t="n"/>
      <c r="CE79" s="57" t="n"/>
      <c r="CF79" s="58">
        <f>BV79</f>
        <v/>
      </c>
      <c r="CG79" s="59" t="n"/>
      <c r="CH79" s="57" t="n"/>
      <c r="CI79" s="57" t="n"/>
      <c r="CJ79" s="57" t="n"/>
      <c r="CK79" s="57" t="n"/>
      <c r="CL79" s="60">
        <f>SUM(CH79:CK79)</f>
        <v/>
      </c>
      <c r="CM79" s="61" t="n"/>
      <c r="CN79" s="57" t="n"/>
      <c r="CO79" s="58">
        <f>CE79</f>
        <v/>
      </c>
      <c r="CP79" s="59" t="n"/>
      <c r="CQ79" s="57" t="n"/>
      <c r="CR79" s="57" t="n"/>
      <c r="CS79" s="57" t="n"/>
      <c r="CT79" s="57" t="n"/>
      <c r="CU79" s="60">
        <f>SUM(CQ79:CT79)</f>
        <v/>
      </c>
      <c r="CV79" s="61" t="n"/>
      <c r="CW79" s="57" t="n"/>
      <c r="CX79" s="58">
        <f>CN79</f>
        <v/>
      </c>
      <c r="CY79" s="59" t="n"/>
      <c r="CZ79" s="57" t="n"/>
      <c r="DA79" s="57" t="n"/>
      <c r="DB79" s="57" t="n"/>
      <c r="DC79" s="57" t="n"/>
      <c r="DD79" s="60">
        <f>SUM(CZ79:DC79)</f>
        <v/>
      </c>
      <c r="DE79" s="61" t="n"/>
      <c r="DF79" s="57" t="n"/>
      <c r="DG79" s="58">
        <f>CW79</f>
        <v/>
      </c>
      <c r="DH79" s="59" t="n"/>
      <c r="DI79" s="57" t="n"/>
      <c r="DJ79" s="57" t="n"/>
      <c r="DK79" s="57" t="n"/>
      <c r="DL79" s="57" t="n"/>
      <c r="DM79" s="60">
        <f>SUM(DI79:DL79)</f>
        <v/>
      </c>
      <c r="DN79" s="61" t="n"/>
      <c r="DO79" s="57" t="n"/>
      <c r="DP79" s="58">
        <f>DF79</f>
        <v/>
      </c>
      <c r="DQ79" s="59" t="n"/>
      <c r="DR79" s="57" t="n"/>
      <c r="DS79" s="57" t="n"/>
      <c r="DT79" s="57" t="n"/>
      <c r="DU79" s="57" t="n"/>
      <c r="DV79" s="60">
        <f>SUM(DR79:DU79)</f>
        <v/>
      </c>
      <c r="DW79" s="61" t="n"/>
      <c r="DX79" s="57" t="n"/>
      <c r="DY79" s="58">
        <f>DO79</f>
        <v/>
      </c>
      <c r="DZ79" s="59" t="n"/>
      <c r="EA79" s="57" t="n"/>
      <c r="EB79" s="57" t="n"/>
      <c r="EC79" s="57" t="n"/>
      <c r="ED79" s="57" t="n"/>
      <c r="EE79" s="60">
        <f>SUM(EA79:ED79)</f>
        <v/>
      </c>
      <c r="EF79" s="61" t="n"/>
      <c r="EG79" s="57" t="n"/>
      <c r="EH79" s="58">
        <f>DX79</f>
        <v/>
      </c>
      <c r="EI79" s="59" t="n"/>
      <c r="EJ79" s="57" t="n"/>
      <c r="EK79" s="57" t="n"/>
      <c r="EL79" s="57" t="n"/>
      <c r="EM79" s="57" t="n"/>
      <c r="EN79" s="60">
        <f>SUM(EJ79:EM79)</f>
        <v/>
      </c>
      <c r="EO79" s="61" t="n"/>
      <c r="EP79" s="57" t="n"/>
      <c r="EQ79" s="58">
        <f>EG79</f>
        <v/>
      </c>
      <c r="ER79" s="59" t="n"/>
      <c r="ES79" s="57" t="n"/>
      <c r="ET79" s="57" t="n"/>
      <c r="EU79" s="57" t="n"/>
      <c r="EV79" s="57" t="n"/>
      <c r="EW79" s="60">
        <f>SUM(ES79:EV79)</f>
        <v/>
      </c>
      <c r="EX79" s="61" t="n"/>
      <c r="EY79" s="57" t="n"/>
      <c r="EZ79" s="58">
        <f>EP79</f>
        <v/>
      </c>
      <c r="FA79" s="59" t="n"/>
      <c r="FB79" s="57" t="n"/>
      <c r="FC79" s="57" t="n"/>
      <c r="FD79" s="57" t="n"/>
      <c r="FE79" s="57" t="n"/>
      <c r="FF79" s="60">
        <f>SUM(FB79:FE79)</f>
        <v/>
      </c>
      <c r="FG79" s="61" t="n"/>
      <c r="FH79" s="57" t="n"/>
      <c r="FI79" s="58">
        <f>EY79</f>
        <v/>
      </c>
      <c r="FJ79" s="59" t="n"/>
      <c r="FK79" s="57" t="n"/>
      <c r="FL79" s="57" t="n"/>
      <c r="FM79" s="57" t="n"/>
      <c r="FN79" s="57" t="n"/>
      <c r="FO79" s="60">
        <f>SUM(FK79:FN79)</f>
        <v/>
      </c>
      <c r="FP79" s="61" t="n"/>
      <c r="FQ79" s="57" t="n"/>
      <c r="FR79" s="58">
        <f>FH79</f>
        <v/>
      </c>
      <c r="FS79" s="59" t="n"/>
      <c r="FT79" s="57" t="n"/>
      <c r="FU79" s="57" t="n"/>
      <c r="FV79" s="57" t="n"/>
      <c r="FW79" s="57" t="n"/>
      <c r="FX79" s="60">
        <f>SUM(FT79:FW79)</f>
        <v/>
      </c>
      <c r="FY79" s="61" t="n"/>
      <c r="FZ79" s="57" t="n"/>
      <c r="GA79" s="58">
        <f>FQ79</f>
        <v/>
      </c>
      <c r="GB79" s="59" t="n"/>
      <c r="GC79" s="57" t="n"/>
      <c r="GD79" s="57" t="n"/>
      <c r="GE79" s="57" t="n"/>
      <c r="GF79" s="57" t="n"/>
      <c r="GG79" s="60">
        <f>SUM(GC79:GF79)</f>
        <v/>
      </c>
      <c r="GH79" s="61" t="n"/>
      <c r="GI79" s="57" t="n"/>
      <c r="GJ79" s="58">
        <f>FZ79</f>
        <v/>
      </c>
      <c r="GK79" s="59" t="n"/>
      <c r="GL79" s="57" t="n"/>
      <c r="GM79" s="57" t="n"/>
      <c r="GN79" s="57" t="n"/>
      <c r="GO79" s="57" t="n"/>
      <c r="GP79" s="60">
        <f>SUM(GL79:GO79)</f>
        <v/>
      </c>
      <c r="GQ79" s="61" t="n"/>
      <c r="GR79" s="57" t="n"/>
      <c r="GS79" s="58">
        <f>GI79</f>
        <v/>
      </c>
      <c r="GT79" s="59" t="n"/>
      <c r="GU79" s="57" t="n"/>
      <c r="GV79" s="57" t="n"/>
      <c r="GW79" s="57" t="n"/>
      <c r="GX79" s="57" t="n"/>
      <c r="GY79" s="60">
        <f>SUM(GU79:GX79)</f>
        <v/>
      </c>
      <c r="GZ79" s="61" t="n"/>
      <c r="HA79" s="57" t="n"/>
      <c r="HB79" s="58">
        <f>GR79</f>
        <v/>
      </c>
      <c r="HC79" s="59" t="n"/>
      <c r="HD79" s="57" t="n"/>
      <c r="HE79" s="57" t="n"/>
      <c r="HF79" s="57" t="n"/>
      <c r="HG79" s="57" t="n"/>
      <c r="HH79" s="60">
        <f>SUM(HD79:HG79)</f>
        <v/>
      </c>
      <c r="HI79" s="61" t="n"/>
      <c r="HJ79" s="57" t="n"/>
      <c r="HK79" s="58">
        <f>HA79</f>
        <v/>
      </c>
      <c r="HL79" s="59" t="n"/>
      <c r="HM79" s="57" t="n"/>
      <c r="HN79" s="57" t="n"/>
      <c r="HO79" s="57" t="n"/>
      <c r="HP79" s="57" t="n"/>
      <c r="HQ79" s="60">
        <f>SUM(HM79:HP79)</f>
        <v/>
      </c>
      <c r="HR79" s="61" t="n"/>
      <c r="HS79" s="57" t="n"/>
      <c r="HT79" s="58">
        <f>HJ79</f>
        <v/>
      </c>
      <c r="HU79" s="59" t="n"/>
      <c r="HV79" s="57" t="n"/>
      <c r="HW79" s="57" t="n"/>
      <c r="HX79" s="57" t="n"/>
      <c r="HY79" s="57" t="n"/>
      <c r="HZ79" s="60">
        <f>SUM(HV79:HY79)</f>
        <v/>
      </c>
      <c r="IA79" s="61" t="n"/>
      <c r="IB79" s="57" t="n"/>
      <c r="IC79" s="58">
        <f>HS79</f>
        <v/>
      </c>
      <c r="ID79" s="59" t="n"/>
      <c r="IE79" s="57" t="n"/>
      <c r="IF79" s="57" t="n"/>
      <c r="IG79" s="57" t="n"/>
      <c r="IH79" s="57" t="n"/>
      <c r="II79" s="60">
        <f>SUM(IE79:IH79)</f>
        <v/>
      </c>
      <c r="IJ79" s="61" t="n"/>
      <c r="IK79" s="57" t="n"/>
      <c r="IL79" s="58">
        <f>IB79</f>
        <v/>
      </c>
      <c r="IM79" s="59" t="n"/>
      <c r="IN79" s="57" t="n"/>
      <c r="IO79" s="57" t="n"/>
      <c r="IP79" s="57" t="n"/>
      <c r="IQ79" s="57" t="n"/>
      <c r="IR79" s="60">
        <f>SUM(IN79:IQ79)</f>
        <v/>
      </c>
      <c r="IS79" s="61" t="n"/>
      <c r="IT79" s="57" t="n"/>
      <c r="IU79" s="58">
        <f>IK79</f>
        <v/>
      </c>
      <c r="IV79" s="59" t="n"/>
      <c r="IW79" s="57" t="n"/>
      <c r="IX79" s="57" t="n"/>
      <c r="IY79" s="57" t="n"/>
      <c r="IZ79" s="57" t="n"/>
      <c r="JA79" s="60">
        <f>SUM(IW79:IZ79)</f>
        <v/>
      </c>
      <c r="JB79" s="61" t="n"/>
      <c r="JC79" s="57" t="n"/>
      <c r="JD79" s="58">
        <f>IT79</f>
        <v/>
      </c>
      <c r="JE79" s="59" t="n"/>
      <c r="JF79" s="57" t="n"/>
      <c r="JG79" s="57" t="n"/>
      <c r="JH79" s="57" t="n"/>
      <c r="JI79" s="57" t="n"/>
      <c r="JJ79" s="60">
        <f>SUM(JF79:JI79)</f>
        <v/>
      </c>
      <c r="JK79" s="61" t="n"/>
      <c r="JL79" s="57" t="n"/>
      <c r="JM79" s="58">
        <f>JC79</f>
        <v/>
      </c>
      <c r="JN79" s="59" t="n"/>
      <c r="JO79" s="57" t="n"/>
      <c r="JP79" s="57" t="n"/>
      <c r="JQ79" s="57" t="n"/>
      <c r="JR79" s="57" t="n"/>
      <c r="JS79" s="60">
        <f>SUM(JO79:JR79)</f>
        <v/>
      </c>
      <c r="JT79" s="61" t="n"/>
      <c r="JU79" s="62">
        <f>I79+R79+AA79+AJ79+AS79+BB79+BK79+BT79+CC79+CL79+CU79+DD79+DM79+DV79+EE79+EN79+EW79+FF79+FO79+FX79+GG79+GP79+GY79+HH79+HQ79+HZ79+II79+IR79+JA79+JJ79+JS79</f>
        <v/>
      </c>
      <c r="JV79" s="63">
        <f>D79+M79+V79+AE79+AN79+AW79+BF79+BO79+BX79+CG79+CP79+CY79+DH79+DQ79+DZ79+EI79+ER79+FA79+FJ79+FS79+GB79+GK79+GT79+HC79+HL79+HU79+ID79+IM79+IV79+JE79+JN79</f>
        <v/>
      </c>
      <c r="JW79" s="62">
        <f>CHOOSE($Z$3,B79, K79, T79, AC79, AL79, AU79, BD79, BM79, BV79, CE79, CN79, CW79, DF79, DO79, DX79, EG79, EP79, EY79, FH79, FQ79, FZ79, GI79, GR79, HA79, HJ79, HS79, IB79, IK79, IT79, JC79, JL79)</f>
        <v/>
      </c>
      <c r="JX79" s="62">
        <f>IFERROR(JU79/$Z$3,0)</f>
        <v/>
      </c>
      <c r="JY79" s="62">
        <f>Configurações!$C$19</f>
        <v/>
      </c>
      <c r="JZ79" s="64">
        <f>IF(JY79=0,"— Sem meta",IF(JU79&gt;=JY79,"✓ Atingida","Em andamento"))</f>
        <v/>
      </c>
      <c r="KA79" s="65">
        <f>JU79+(1*0.0000001)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66:JZ79"/>
  <mergeCells count="65">
    <mergeCell ref="C6:D6"/>
    <mergeCell ref="I6:J6"/>
    <mergeCell ref="G10:I10"/>
    <mergeCell ref="T65:AB65"/>
    <mergeCell ref="CW65:DE65"/>
    <mergeCell ref="IK65:IS65"/>
    <mergeCell ref="FH65:FP65"/>
    <mergeCell ref="JV65:JV66"/>
    <mergeCell ref="C5:D5"/>
    <mergeCell ref="EY65:FG65"/>
    <mergeCell ref="JY65:JY66"/>
    <mergeCell ref="A2:KA2"/>
    <mergeCell ref="E5:F5"/>
    <mergeCell ref="K5:L5"/>
    <mergeCell ref="J9:L9"/>
    <mergeCell ref="AU65:BC65"/>
    <mergeCell ref="GI65:GQ65"/>
    <mergeCell ref="HJ65:HR65"/>
    <mergeCell ref="A6:B6"/>
    <mergeCell ref="A12:L12"/>
    <mergeCell ref="A65:A66"/>
    <mergeCell ref="JL65:JT65"/>
    <mergeCell ref="A8:L8"/>
    <mergeCell ref="FQ65:FY65"/>
    <mergeCell ref="D9:F9"/>
    <mergeCell ref="G6:H6"/>
    <mergeCell ref="B65:J65"/>
    <mergeCell ref="HS65:IA65"/>
    <mergeCell ref="AC65:AK65"/>
    <mergeCell ref="BD65:BL65"/>
    <mergeCell ref="A4:L4"/>
    <mergeCell ref="DO65:DW65"/>
    <mergeCell ref="A10:C10"/>
    <mergeCell ref="CE65:CM65"/>
    <mergeCell ref="DF65:DN65"/>
    <mergeCell ref="E6:F6"/>
    <mergeCell ref="EG65:EO65"/>
    <mergeCell ref="JX65:JX66"/>
    <mergeCell ref="JZ65:JZ66"/>
    <mergeCell ref="K65:S65"/>
    <mergeCell ref="A5:B5"/>
    <mergeCell ref="G5:H5"/>
    <mergeCell ref="A9:C9"/>
    <mergeCell ref="G9:I9"/>
    <mergeCell ref="I5:J5"/>
    <mergeCell ref="A64:KA64"/>
    <mergeCell ref="IT65:JB65"/>
    <mergeCell ref="A1:KA1"/>
    <mergeCell ref="D10:F10"/>
    <mergeCell ref="BV65:CD65"/>
    <mergeCell ref="IB65:IJ65"/>
    <mergeCell ref="CN65:CV65"/>
    <mergeCell ref="BM65:BU65"/>
    <mergeCell ref="DX65:EF65"/>
    <mergeCell ref="JU65:JU66"/>
    <mergeCell ref="J10:L10"/>
    <mergeCell ref="EP65:EX65"/>
    <mergeCell ref="JW65:JW66"/>
    <mergeCell ref="FZ65:GH65"/>
    <mergeCell ref="KA65:KA66"/>
    <mergeCell ref="HA65:HI65"/>
    <mergeCell ref="AL65:AT65"/>
    <mergeCell ref="GR65:GZ65"/>
    <mergeCell ref="JC65:JK65"/>
    <mergeCell ref="K6:L6"/>
  </mergeCells>
  <conditionalFormatting sqref="H14:H26">
    <cfRule type="expression" priority="1" dxfId="0">
      <formula>ISNUMBER(SEARCH("Atingida",H14))</formula>
    </cfRule>
  </conditionalFormatting>
  <conditionalFormatting sqref="B65:JT79">
    <cfRule type="expression" priority="2" dxfId="1">
      <formula>$Z$3&lt;INT((COLUMN()-2)/9)+1</formula>
    </cfRule>
  </conditionalFormatting>
  <conditionalFormatting sqref="D67:D79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I67:I79">
    <cfRule type="colorScale" priority="5">
      <colorScale>
        <cfvo type="min"/>
        <cfvo type="max"/>
        <color rgb="00FFFFFF"/>
        <color rgb="0063BE7B"/>
      </colorScale>
    </cfRule>
  </conditionalFormatting>
  <conditionalFormatting sqref="M67:M79">
    <cfRule type="cellIs" priority="6" operator="greaterThan" dxfId="2">
      <formula>0</formula>
    </cfRule>
    <cfRule type="cellIs" priority="7" operator="lessThan" dxfId="3">
      <formula>0</formula>
    </cfRule>
  </conditionalFormatting>
  <conditionalFormatting sqref="R67:R79">
    <cfRule type="colorScale" priority="8">
      <colorScale>
        <cfvo type="min"/>
        <cfvo type="max"/>
        <color rgb="00FFFFFF"/>
        <color rgb="0063BE7B"/>
      </colorScale>
    </cfRule>
  </conditionalFormatting>
  <conditionalFormatting sqref="V67:V79">
    <cfRule type="cellIs" priority="9" operator="greaterThan" dxfId="2">
      <formula>0</formula>
    </cfRule>
    <cfRule type="cellIs" priority="10" operator="lessThan" dxfId="3">
      <formula>0</formula>
    </cfRule>
  </conditionalFormatting>
  <conditionalFormatting sqref="AA67:AA79">
    <cfRule type="colorScale" priority="11">
      <colorScale>
        <cfvo type="min"/>
        <cfvo type="max"/>
        <color rgb="00FFFFFF"/>
        <color rgb="0063BE7B"/>
      </colorScale>
    </cfRule>
  </conditionalFormatting>
  <conditionalFormatting sqref="AE67:AE79">
    <cfRule type="cellIs" priority="12" operator="greaterThan" dxfId="2">
      <formula>0</formula>
    </cfRule>
    <cfRule type="cellIs" priority="13" operator="lessThan" dxfId="3">
      <formula>0</formula>
    </cfRule>
  </conditionalFormatting>
  <conditionalFormatting sqref="AJ67:AJ79">
    <cfRule type="colorScale" priority="14">
      <colorScale>
        <cfvo type="min"/>
        <cfvo type="max"/>
        <color rgb="00FFFFFF"/>
        <color rgb="0063BE7B"/>
      </colorScale>
    </cfRule>
  </conditionalFormatting>
  <conditionalFormatting sqref="AN67:AN79">
    <cfRule type="cellIs" priority="15" operator="greaterThan" dxfId="2">
      <formula>0</formula>
    </cfRule>
    <cfRule type="cellIs" priority="16" operator="lessThan" dxfId="3">
      <formula>0</formula>
    </cfRule>
  </conditionalFormatting>
  <conditionalFormatting sqref="AS67:AS79">
    <cfRule type="colorScale" priority="17">
      <colorScale>
        <cfvo type="min"/>
        <cfvo type="max"/>
        <color rgb="00FFFFFF"/>
        <color rgb="0063BE7B"/>
      </colorScale>
    </cfRule>
  </conditionalFormatting>
  <conditionalFormatting sqref="AW67:AW79">
    <cfRule type="cellIs" priority="18" operator="greaterThan" dxfId="2">
      <formula>0</formula>
    </cfRule>
    <cfRule type="cellIs" priority="19" operator="lessThan" dxfId="3">
      <formula>0</formula>
    </cfRule>
  </conditionalFormatting>
  <conditionalFormatting sqref="BB67:BB79">
    <cfRule type="colorScale" priority="20">
      <colorScale>
        <cfvo type="min"/>
        <cfvo type="max"/>
        <color rgb="00FFFFFF"/>
        <color rgb="0063BE7B"/>
      </colorScale>
    </cfRule>
  </conditionalFormatting>
  <conditionalFormatting sqref="BF67:BF79">
    <cfRule type="cellIs" priority="21" operator="greaterThan" dxfId="2">
      <formula>0</formula>
    </cfRule>
    <cfRule type="cellIs" priority="22" operator="lessThan" dxfId="3">
      <formula>0</formula>
    </cfRule>
  </conditionalFormatting>
  <conditionalFormatting sqref="BK67:BK79">
    <cfRule type="colorScale" priority="23">
      <colorScale>
        <cfvo type="min"/>
        <cfvo type="max"/>
        <color rgb="00FFFFFF"/>
        <color rgb="0063BE7B"/>
      </colorScale>
    </cfRule>
  </conditionalFormatting>
  <conditionalFormatting sqref="BO67:BO79">
    <cfRule type="cellIs" priority="24" operator="greaterThan" dxfId="2">
      <formula>0</formula>
    </cfRule>
    <cfRule type="cellIs" priority="25" operator="lessThan" dxfId="3">
      <formula>0</formula>
    </cfRule>
  </conditionalFormatting>
  <conditionalFormatting sqref="BT67:BT79">
    <cfRule type="colorScale" priority="26">
      <colorScale>
        <cfvo type="min"/>
        <cfvo type="max"/>
        <color rgb="00FFFFFF"/>
        <color rgb="0063BE7B"/>
      </colorScale>
    </cfRule>
  </conditionalFormatting>
  <conditionalFormatting sqref="BX67:BX79">
    <cfRule type="cellIs" priority="27" operator="greaterThan" dxfId="2">
      <formula>0</formula>
    </cfRule>
    <cfRule type="cellIs" priority="28" operator="lessThan" dxfId="3">
      <formula>0</formula>
    </cfRule>
  </conditionalFormatting>
  <conditionalFormatting sqref="CC67:CC79">
    <cfRule type="colorScale" priority="29">
      <colorScale>
        <cfvo type="min"/>
        <cfvo type="max"/>
        <color rgb="00FFFFFF"/>
        <color rgb="0063BE7B"/>
      </colorScale>
    </cfRule>
  </conditionalFormatting>
  <conditionalFormatting sqref="CG67:CG79">
    <cfRule type="cellIs" priority="30" operator="greaterThan" dxfId="2">
      <formula>0</formula>
    </cfRule>
    <cfRule type="cellIs" priority="31" operator="lessThan" dxfId="3">
      <formula>0</formula>
    </cfRule>
  </conditionalFormatting>
  <conditionalFormatting sqref="CL67:CL79">
    <cfRule type="colorScale" priority="32">
      <colorScale>
        <cfvo type="min"/>
        <cfvo type="max"/>
        <color rgb="00FFFFFF"/>
        <color rgb="0063BE7B"/>
      </colorScale>
    </cfRule>
  </conditionalFormatting>
  <conditionalFormatting sqref="CP67:CP79">
    <cfRule type="cellIs" priority="33" operator="greaterThan" dxfId="2">
      <formula>0</formula>
    </cfRule>
    <cfRule type="cellIs" priority="34" operator="lessThan" dxfId="3">
      <formula>0</formula>
    </cfRule>
  </conditionalFormatting>
  <conditionalFormatting sqref="CU67:CU79">
    <cfRule type="colorScale" priority="35">
      <colorScale>
        <cfvo type="min"/>
        <cfvo type="max"/>
        <color rgb="00FFFFFF"/>
        <color rgb="0063BE7B"/>
      </colorScale>
    </cfRule>
  </conditionalFormatting>
  <conditionalFormatting sqref="CY67:CY79">
    <cfRule type="cellIs" priority="36" operator="greaterThan" dxfId="2">
      <formula>0</formula>
    </cfRule>
    <cfRule type="cellIs" priority="37" operator="lessThan" dxfId="3">
      <formula>0</formula>
    </cfRule>
  </conditionalFormatting>
  <conditionalFormatting sqref="DD67:DD79">
    <cfRule type="colorScale" priority="38">
      <colorScale>
        <cfvo type="min"/>
        <cfvo type="max"/>
        <color rgb="00FFFFFF"/>
        <color rgb="0063BE7B"/>
      </colorScale>
    </cfRule>
  </conditionalFormatting>
  <conditionalFormatting sqref="DH67:DH79">
    <cfRule type="cellIs" priority="39" operator="greaterThan" dxfId="2">
      <formula>0</formula>
    </cfRule>
    <cfRule type="cellIs" priority="40" operator="lessThan" dxfId="3">
      <formula>0</formula>
    </cfRule>
  </conditionalFormatting>
  <conditionalFormatting sqref="DM67:DM79">
    <cfRule type="colorScale" priority="41">
      <colorScale>
        <cfvo type="min"/>
        <cfvo type="max"/>
        <color rgb="00FFFFFF"/>
        <color rgb="0063BE7B"/>
      </colorScale>
    </cfRule>
  </conditionalFormatting>
  <conditionalFormatting sqref="DQ67:DQ79">
    <cfRule type="cellIs" priority="42" operator="greaterThan" dxfId="2">
      <formula>0</formula>
    </cfRule>
    <cfRule type="cellIs" priority="43" operator="lessThan" dxfId="3">
      <formula>0</formula>
    </cfRule>
  </conditionalFormatting>
  <conditionalFormatting sqref="DV67:DV79">
    <cfRule type="colorScale" priority="44">
      <colorScale>
        <cfvo type="min"/>
        <cfvo type="max"/>
        <color rgb="00FFFFFF"/>
        <color rgb="0063BE7B"/>
      </colorScale>
    </cfRule>
  </conditionalFormatting>
  <conditionalFormatting sqref="DZ67:DZ79">
    <cfRule type="cellIs" priority="45" operator="greaterThan" dxfId="2">
      <formula>0</formula>
    </cfRule>
    <cfRule type="cellIs" priority="46" operator="lessThan" dxfId="3">
      <formula>0</formula>
    </cfRule>
  </conditionalFormatting>
  <conditionalFormatting sqref="EE67:EE79">
    <cfRule type="colorScale" priority="47">
      <colorScale>
        <cfvo type="min"/>
        <cfvo type="max"/>
        <color rgb="00FFFFFF"/>
        <color rgb="0063BE7B"/>
      </colorScale>
    </cfRule>
  </conditionalFormatting>
  <conditionalFormatting sqref="EI67:EI79">
    <cfRule type="cellIs" priority="48" operator="greaterThan" dxfId="2">
      <formula>0</formula>
    </cfRule>
    <cfRule type="cellIs" priority="49" operator="lessThan" dxfId="3">
      <formula>0</formula>
    </cfRule>
  </conditionalFormatting>
  <conditionalFormatting sqref="EN67:EN79">
    <cfRule type="colorScale" priority="50">
      <colorScale>
        <cfvo type="min"/>
        <cfvo type="max"/>
        <color rgb="00FFFFFF"/>
        <color rgb="0063BE7B"/>
      </colorScale>
    </cfRule>
  </conditionalFormatting>
  <conditionalFormatting sqref="ER67:ER79">
    <cfRule type="cellIs" priority="51" operator="greaterThan" dxfId="2">
      <formula>0</formula>
    </cfRule>
    <cfRule type="cellIs" priority="52" operator="lessThan" dxfId="3">
      <formula>0</formula>
    </cfRule>
  </conditionalFormatting>
  <conditionalFormatting sqref="EW67:EW79">
    <cfRule type="colorScale" priority="53">
      <colorScale>
        <cfvo type="min"/>
        <cfvo type="max"/>
        <color rgb="00FFFFFF"/>
        <color rgb="0063BE7B"/>
      </colorScale>
    </cfRule>
  </conditionalFormatting>
  <conditionalFormatting sqref="FA67:FA79">
    <cfRule type="cellIs" priority="54" operator="greaterThan" dxfId="2">
      <formula>0</formula>
    </cfRule>
    <cfRule type="cellIs" priority="55" operator="lessThan" dxfId="3">
      <formula>0</formula>
    </cfRule>
  </conditionalFormatting>
  <conditionalFormatting sqref="FF67:FF79">
    <cfRule type="colorScale" priority="56">
      <colorScale>
        <cfvo type="min"/>
        <cfvo type="max"/>
        <color rgb="00FFFFFF"/>
        <color rgb="0063BE7B"/>
      </colorScale>
    </cfRule>
  </conditionalFormatting>
  <conditionalFormatting sqref="FJ67:FJ79">
    <cfRule type="cellIs" priority="57" operator="greaterThan" dxfId="2">
      <formula>0</formula>
    </cfRule>
    <cfRule type="cellIs" priority="58" operator="lessThan" dxfId="3">
      <formula>0</formula>
    </cfRule>
  </conditionalFormatting>
  <conditionalFormatting sqref="FO67:FO79">
    <cfRule type="colorScale" priority="59">
      <colorScale>
        <cfvo type="min"/>
        <cfvo type="max"/>
        <color rgb="00FFFFFF"/>
        <color rgb="0063BE7B"/>
      </colorScale>
    </cfRule>
  </conditionalFormatting>
  <conditionalFormatting sqref="FS67:FS79">
    <cfRule type="cellIs" priority="60" operator="greaterThan" dxfId="2">
      <formula>0</formula>
    </cfRule>
    <cfRule type="cellIs" priority="61" operator="lessThan" dxfId="3">
      <formula>0</formula>
    </cfRule>
  </conditionalFormatting>
  <conditionalFormatting sqref="FX67:FX79">
    <cfRule type="colorScale" priority="62">
      <colorScale>
        <cfvo type="min"/>
        <cfvo type="max"/>
        <color rgb="00FFFFFF"/>
        <color rgb="0063BE7B"/>
      </colorScale>
    </cfRule>
  </conditionalFormatting>
  <conditionalFormatting sqref="GB67:GB79">
    <cfRule type="cellIs" priority="63" operator="greaterThan" dxfId="2">
      <formula>0</formula>
    </cfRule>
    <cfRule type="cellIs" priority="64" operator="lessThan" dxfId="3">
      <formula>0</formula>
    </cfRule>
  </conditionalFormatting>
  <conditionalFormatting sqref="GG67:GG79">
    <cfRule type="colorScale" priority="65">
      <colorScale>
        <cfvo type="min"/>
        <cfvo type="max"/>
        <color rgb="00FFFFFF"/>
        <color rgb="0063BE7B"/>
      </colorScale>
    </cfRule>
  </conditionalFormatting>
  <conditionalFormatting sqref="GK67:GK79">
    <cfRule type="cellIs" priority="66" operator="greaterThan" dxfId="2">
      <formula>0</formula>
    </cfRule>
    <cfRule type="cellIs" priority="67" operator="lessThan" dxfId="3">
      <formula>0</formula>
    </cfRule>
  </conditionalFormatting>
  <conditionalFormatting sqref="GP67:GP79">
    <cfRule type="colorScale" priority="68">
      <colorScale>
        <cfvo type="min"/>
        <cfvo type="max"/>
        <color rgb="00FFFFFF"/>
        <color rgb="0063BE7B"/>
      </colorScale>
    </cfRule>
  </conditionalFormatting>
  <conditionalFormatting sqref="GT67:GT79">
    <cfRule type="cellIs" priority="69" operator="greaterThan" dxfId="2">
      <formula>0</formula>
    </cfRule>
    <cfRule type="cellIs" priority="70" operator="lessThan" dxfId="3">
      <formula>0</formula>
    </cfRule>
  </conditionalFormatting>
  <conditionalFormatting sqref="GY67:GY79">
    <cfRule type="colorScale" priority="71">
      <colorScale>
        <cfvo type="min"/>
        <cfvo type="max"/>
        <color rgb="00FFFFFF"/>
        <color rgb="0063BE7B"/>
      </colorScale>
    </cfRule>
  </conditionalFormatting>
  <conditionalFormatting sqref="HC67:HC79">
    <cfRule type="cellIs" priority="72" operator="greaterThan" dxfId="2">
      <formula>0</formula>
    </cfRule>
    <cfRule type="cellIs" priority="73" operator="lessThan" dxfId="3">
      <formula>0</formula>
    </cfRule>
  </conditionalFormatting>
  <conditionalFormatting sqref="HH67:HH79">
    <cfRule type="colorScale" priority="74">
      <colorScale>
        <cfvo type="min"/>
        <cfvo type="max"/>
        <color rgb="00FFFFFF"/>
        <color rgb="0063BE7B"/>
      </colorScale>
    </cfRule>
  </conditionalFormatting>
  <conditionalFormatting sqref="HL67:HL79">
    <cfRule type="cellIs" priority="75" operator="greaterThan" dxfId="2">
      <formula>0</formula>
    </cfRule>
    <cfRule type="cellIs" priority="76" operator="lessThan" dxfId="3">
      <formula>0</formula>
    </cfRule>
  </conditionalFormatting>
  <conditionalFormatting sqref="HQ67:HQ79">
    <cfRule type="colorScale" priority="77">
      <colorScale>
        <cfvo type="min"/>
        <cfvo type="max"/>
        <color rgb="00FFFFFF"/>
        <color rgb="0063BE7B"/>
      </colorScale>
    </cfRule>
  </conditionalFormatting>
  <conditionalFormatting sqref="HU67:HU79">
    <cfRule type="cellIs" priority="78" operator="greaterThan" dxfId="2">
      <formula>0</formula>
    </cfRule>
    <cfRule type="cellIs" priority="79" operator="lessThan" dxfId="3">
      <formula>0</formula>
    </cfRule>
  </conditionalFormatting>
  <conditionalFormatting sqref="HZ67:HZ79">
    <cfRule type="colorScale" priority="80">
      <colorScale>
        <cfvo type="min"/>
        <cfvo type="max"/>
        <color rgb="00FFFFFF"/>
        <color rgb="0063BE7B"/>
      </colorScale>
    </cfRule>
  </conditionalFormatting>
  <conditionalFormatting sqref="ID67:ID79">
    <cfRule type="cellIs" priority="81" operator="greaterThan" dxfId="2">
      <formula>0</formula>
    </cfRule>
    <cfRule type="cellIs" priority="82" operator="lessThan" dxfId="3">
      <formula>0</formula>
    </cfRule>
  </conditionalFormatting>
  <conditionalFormatting sqref="II67:II79">
    <cfRule type="colorScale" priority="83">
      <colorScale>
        <cfvo type="min"/>
        <cfvo type="max"/>
        <color rgb="00FFFFFF"/>
        <color rgb="0063BE7B"/>
      </colorScale>
    </cfRule>
  </conditionalFormatting>
  <conditionalFormatting sqref="IM67:IM79">
    <cfRule type="cellIs" priority="84" operator="greaterThan" dxfId="2">
      <formula>0</formula>
    </cfRule>
    <cfRule type="cellIs" priority="85" operator="lessThan" dxfId="3">
      <formula>0</formula>
    </cfRule>
  </conditionalFormatting>
  <conditionalFormatting sqref="IR67:IR79">
    <cfRule type="colorScale" priority="86">
      <colorScale>
        <cfvo type="min"/>
        <cfvo type="max"/>
        <color rgb="00FFFFFF"/>
        <color rgb="0063BE7B"/>
      </colorScale>
    </cfRule>
  </conditionalFormatting>
  <conditionalFormatting sqref="IV67:IV79">
    <cfRule type="cellIs" priority="87" operator="greaterThan" dxfId="2">
      <formula>0</formula>
    </cfRule>
    <cfRule type="cellIs" priority="88" operator="lessThan" dxfId="3">
      <formula>0</formula>
    </cfRule>
  </conditionalFormatting>
  <conditionalFormatting sqref="JA67:JA79">
    <cfRule type="colorScale" priority="89">
      <colorScale>
        <cfvo type="min"/>
        <cfvo type="max"/>
        <color rgb="00FFFFFF"/>
        <color rgb="0063BE7B"/>
      </colorScale>
    </cfRule>
  </conditionalFormatting>
  <conditionalFormatting sqref="JE67:JE79">
    <cfRule type="cellIs" priority="90" operator="greaterThan" dxfId="2">
      <formula>0</formula>
    </cfRule>
    <cfRule type="cellIs" priority="91" operator="lessThan" dxfId="3">
      <formula>0</formula>
    </cfRule>
  </conditionalFormatting>
  <conditionalFormatting sqref="JJ67:JJ79">
    <cfRule type="colorScale" priority="92">
      <colorScale>
        <cfvo type="min"/>
        <cfvo type="max"/>
        <color rgb="00FFFFFF"/>
        <color rgb="0063BE7B"/>
      </colorScale>
    </cfRule>
  </conditionalFormatting>
  <conditionalFormatting sqref="JN67:JN79">
    <cfRule type="cellIs" priority="93" operator="greaterThan" dxfId="2">
      <formula>0</formula>
    </cfRule>
    <cfRule type="cellIs" priority="94" operator="lessThan" dxfId="3">
      <formula>0</formula>
    </cfRule>
  </conditionalFormatting>
  <conditionalFormatting sqref="JS67:JS79">
    <cfRule type="colorScale" priority="95">
      <colorScale>
        <cfvo type="min"/>
        <cfvo type="max"/>
        <color rgb="00FFFFFF"/>
        <color rgb="0063BE7B"/>
      </colorScale>
    </cfRule>
  </conditionalFormatting>
  <conditionalFormatting sqref="JZ67:JZ79">
    <cfRule type="expression" priority="96" dxfId="0">
      <formula>ISNUMBER(SEARCH("Atingida",JZ67))</formula>
    </cfRule>
  </conditionalFormatting>
  <dataValidations count="4">
    <dataValidation sqref="B67:B79 K67:K79 T67:T79 AC67:AC79 AL67:AL79 AU67:AU79 BD67:BD79 BM67:BM79 BV67:BV79 CE67:CE79 CN67:CN79 CW67:CW79 DF67:DF79 DO67:DO79 DX67:DX79 EG67:EG79 EP67:EP79 EY67:EY79 FH67:FH79 FQ67:FQ79 FZ67:FZ79 GI67:GI79 GR67:GR79 HA67:HA79 HJ67:HJ79 HS67:HS79 IB67:IB79 IK67:IK79 IT67:IT79 JC67:JC79 JL67:JL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D67:D79 M67:M79 V67:V79 AE67:AE79 AN67:AN79 AW67:AW79 BF67:BF79 BO67:BO79 BX67:BX79 CG67:CG79 CP67:CP79 CY67:CY79 DH67:DH79 DQ67:DQ79 DZ67:DZ79 EI67:EI79 ER67:ER79 FA67:FA79 FJ67:FJ79 FS67:FS79 GB67:GB79 GK67:GK79 GT67:GT79 HC67:HC79 HL67:HL79 HU67:HU79 ID67:ID79 IM67:IM79 IV67:IV79 JE67:JE79 JN67:JN79" showDropDown="0" showInputMessage="0" showErrorMessage="1" allowBlank="1" errorTitle="Valor inválido" error="Informe um valor numérico (positivo ou negativo)." type="decimal" operator="between">
      <formula1>-999999999</formula1>
      <formula2>999999999</formula2>
    </dataValidation>
    <dataValidation sqref="E67:E79 F67:F79 G67:G79 H67:H79 N67:N79 O67:O79 P67:P79 Q67:Q79 W67:W79 X67:X79 Y67:Y79 Z67:Z79 AF67:AF79 AG67:AG79 AH67:AH79 AI67:AI79 AO67:AO79 AP67:AP79 AQ67:AQ79 AR67:AR79 AX67:AX79 AY67:AY79 AZ67:AZ79 BA67:BA79 BG67:BG79 BH67:BH79 BI67:BI79 BJ67:BJ79 BP67:BP79 BQ67:BQ79 BR67:BR79 BS67:BS79 BY67:BY79 BZ67:BZ79 CA67:CA79 CB67:CB79 CH67:CH79 CI67:CI79 CJ67:CJ79 CK67:CK79 CQ67:CQ79 CR67:CR79 CS67:CS79 CT67:CT79 CZ67:CZ79 DA67:DA79 DB67:DB79 DC67:DC79 DI67:DI79 DJ67:DJ79 DK67:DK79 DL67:DL79 DR67:DR79 DS67:DS79 DT67:DT79 DU67:DU79 EA67:EA79 EB67:EB79 EC67:EC79 ED67:ED79 EJ67:EJ79 EK67:EK79 EL67:EL79 EM67:EM79 ES67:ES79 ET67:ET79 EU67:EU79 EV67:EV79 FB67:FB79 FC67:FC79 FD67:FD79 FE67:FE79 FK67:FK79 FL67:FL79 FM67:FM79 FN67:FN79 FT67:FT79 FU67:FU79 FV67:FV79 FW67:FW79 GC67:GC79 GD67:GD79 GE67:GE79 GF67:GF79 GL67:GL79 GM67:GM79 GN67:GN79 GO67:GO79 GU67:GU79 GV67:GV79 GW67:GW79 GX67:GX79 HD67:HD79 HE67:HE79 HF67:HF79 HG67:HG79 HM67:HM79 HN67:HN79 HO67:HO79 HP67:HP79 HV67:HV79 HW67:HW79 HX67:HX79 HY67:HY79 IE67:IE79 IF67:IF79 IG67:IG79 IH67:IH79 IN67:IN79 IO67:IO79 IP67:IP79 IQ67:IQ79 IW67:IW79 IX67:IX79 IY67:IY79 IZ67:IZ79 JF67:JF79 JG67:JG79 JH67:JH79 JI67:JI79 JO67:JO79 JP67:JP79 JQ67:JQ79 JR67:JR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J67:J79 S67:S79 AB67:AB79 AK67:AK79 AT67:AT79 BC67:BC79 BL67:BL79 BU67:BU79 CD67:CD79 CM67:CM79 CV67:CV79 DE67:DE79 DN67:DN79 DW67:DW79 EF67:EF79 EO67:EO79 EX67:EX79 FG67:FG79 FP67:FP79 FY67:FY79 GH67:GH79 GQ67:GQ79 GZ67:GZ79 HI67:HI79 HR67:HR79 IA67:IA79 IJ67:IJ79 IS67:IS79 JB67:JB79 JK67:JK79 JT67:JT79" showDropDown="0" showInputMessage="0" showErrorMessage="1" allowBlank="1" errorTitle="Texto muito longo" error="Limite de 300 caracteres." type="textLength" operator="lessThanOrEqual">
      <formula1>300</formula1>
    </dataValidation>
  </dataValidations>
  <pageMargins left="0.75" right="0.75" top="1" bottom="1" header="0.5" footer="0.5"/>
  <pageSetup orientation="landscape" fitToHeight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I79"/>
  <sheetViews>
    <sheetView showGridLines="0" zoomScale="90" workbookViewId="0">
      <pane xSplit="1" ySplit="66" topLeftCell="B6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11" customWidth="1" min="5" max="5"/>
    <col width="12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4" customWidth="1" min="13" max="13"/>
    <col width="11" customWidth="1" min="14" max="14"/>
    <col width="12" customWidth="1" min="15" max="15"/>
    <col width="13" customWidth="1" min="16" max="16"/>
    <col width="13" customWidth="1" min="17" max="17"/>
    <col width="13" customWidth="1" min="18" max="18"/>
    <col width="20" customWidth="1" min="19" max="19"/>
    <col width="13" customWidth="1" min="20" max="20"/>
    <col width="13" customWidth="1" min="21" max="21"/>
    <col width="14" customWidth="1" min="22" max="22"/>
    <col width="11" customWidth="1" min="23" max="23"/>
    <col width="12" customWidth="1" min="24" max="24"/>
    <col width="13" customWidth="1" min="25" max="25"/>
    <col width="13" customWidth="1" min="26" max="26"/>
    <col width="13" customWidth="1" min="27" max="27"/>
    <col width="20" customWidth="1" min="28" max="28"/>
    <col width="13" customWidth="1" min="29" max="29"/>
    <col width="13" customWidth="1" min="30" max="30"/>
    <col width="14" customWidth="1" min="31" max="31"/>
    <col width="11" customWidth="1" min="32" max="32"/>
    <col width="12" customWidth="1" min="33" max="33"/>
    <col width="13" customWidth="1" min="34" max="34"/>
    <col width="13" customWidth="1" min="35" max="35"/>
    <col width="13" customWidth="1" min="36" max="36"/>
    <col width="20" customWidth="1" min="37" max="37"/>
    <col width="13" customWidth="1" min="38" max="38"/>
    <col width="13" customWidth="1" min="39" max="39"/>
    <col width="14" customWidth="1" min="40" max="40"/>
    <col width="11" customWidth="1" min="41" max="41"/>
    <col width="12" customWidth="1" min="42" max="42"/>
    <col width="13" customWidth="1" min="43" max="43"/>
    <col width="13" customWidth="1" min="44" max="44"/>
    <col width="13" customWidth="1" min="45" max="45"/>
    <col width="20" customWidth="1" min="46" max="46"/>
    <col width="13" customWidth="1" min="47" max="47"/>
    <col width="13" customWidth="1" min="48" max="48"/>
    <col width="14" customWidth="1" min="49" max="49"/>
    <col width="11" customWidth="1" min="50" max="50"/>
    <col width="12" customWidth="1" min="51" max="51"/>
    <col width="13" customWidth="1" min="52" max="52"/>
    <col width="13" customWidth="1" min="53" max="53"/>
    <col width="13" customWidth="1" min="54" max="54"/>
    <col width="20" customWidth="1" min="55" max="55"/>
    <col width="13" customWidth="1" min="56" max="56"/>
    <col width="13" customWidth="1" min="57" max="57"/>
    <col width="14" customWidth="1" min="58" max="58"/>
    <col width="11" customWidth="1" min="59" max="59"/>
    <col width="12" customWidth="1" min="60" max="60"/>
    <col width="13" customWidth="1" min="61" max="61"/>
    <col width="13" customWidth="1" min="62" max="62"/>
    <col width="13" customWidth="1" min="63" max="63"/>
    <col width="20" customWidth="1" min="64" max="64"/>
    <col width="13" customWidth="1" min="65" max="65"/>
    <col width="13" customWidth="1" min="66" max="66"/>
    <col width="14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20" customWidth="1" min="73" max="73"/>
    <col width="13" customWidth="1" min="74" max="74"/>
    <col width="13" customWidth="1" min="75" max="75"/>
    <col width="14" customWidth="1" min="76" max="76"/>
    <col width="11" customWidth="1" min="77" max="77"/>
    <col width="12" customWidth="1" min="78" max="78"/>
    <col width="13" customWidth="1" min="79" max="79"/>
    <col width="13" customWidth="1" min="80" max="80"/>
    <col width="13" customWidth="1" min="81" max="81"/>
    <col width="20" customWidth="1" min="82" max="82"/>
    <col width="13" customWidth="1" min="83" max="83"/>
    <col width="13" customWidth="1" min="84" max="84"/>
    <col width="14" customWidth="1" min="85" max="85"/>
    <col width="11" customWidth="1" min="86" max="86"/>
    <col width="12" customWidth="1" min="87" max="87"/>
    <col width="13" customWidth="1" min="88" max="88"/>
    <col width="13" customWidth="1" min="89" max="89"/>
    <col width="13" customWidth="1" min="90" max="90"/>
    <col width="20" customWidth="1" min="91" max="91"/>
    <col width="13" customWidth="1" min="92" max="92"/>
    <col width="13" customWidth="1" min="93" max="93"/>
    <col width="14" customWidth="1" min="94" max="94"/>
    <col width="11" customWidth="1" min="95" max="95"/>
    <col width="12" customWidth="1" min="96" max="96"/>
    <col width="13" customWidth="1" min="97" max="97"/>
    <col width="13" customWidth="1" min="98" max="98"/>
    <col width="13" customWidth="1" min="99" max="99"/>
    <col width="20" customWidth="1" min="100" max="100"/>
    <col width="13" customWidth="1" min="101" max="101"/>
    <col width="13" customWidth="1" min="102" max="102"/>
    <col width="14" customWidth="1" min="103" max="103"/>
    <col width="11" customWidth="1" min="104" max="104"/>
    <col width="12" customWidth="1" min="105" max="105"/>
    <col width="13" customWidth="1" min="106" max="106"/>
    <col width="13" customWidth="1" min="107" max="107"/>
    <col width="13" customWidth="1" min="108" max="108"/>
    <col width="20" customWidth="1" min="109" max="109"/>
    <col width="13" customWidth="1" min="110" max="110"/>
    <col width="13" customWidth="1" min="111" max="111"/>
    <col width="14" customWidth="1" min="112" max="112"/>
    <col width="11" customWidth="1" min="113" max="113"/>
    <col width="12" customWidth="1" min="114" max="114"/>
    <col width="13" customWidth="1" min="115" max="115"/>
    <col width="13" customWidth="1" min="116" max="116"/>
    <col width="13" customWidth="1" min="117" max="117"/>
    <col width="20" customWidth="1" min="118" max="118"/>
    <col width="13" customWidth="1" min="119" max="119"/>
    <col width="13" customWidth="1" min="120" max="120"/>
    <col width="14" customWidth="1" min="121" max="121"/>
    <col width="11" customWidth="1" min="122" max="122"/>
    <col width="12" customWidth="1" min="123" max="123"/>
    <col width="13" customWidth="1" min="124" max="124"/>
    <col width="13" customWidth="1" min="125" max="125"/>
    <col width="13" customWidth="1" min="126" max="126"/>
    <col width="20" customWidth="1" min="127" max="127"/>
    <col width="13" customWidth="1" min="128" max="128"/>
    <col width="13" customWidth="1" min="129" max="129"/>
    <col width="14" customWidth="1" min="130" max="130"/>
    <col width="11" customWidth="1" min="131" max="131"/>
    <col width="12" customWidth="1" min="132" max="132"/>
    <col width="13" customWidth="1" min="133" max="133"/>
    <col width="13" customWidth="1" min="134" max="134"/>
    <col width="13" customWidth="1" min="135" max="135"/>
    <col width="20" customWidth="1" min="136" max="136"/>
    <col width="13" customWidth="1" min="137" max="137"/>
    <col width="13" customWidth="1" min="138" max="138"/>
    <col width="14" customWidth="1" min="139" max="139"/>
    <col width="11" customWidth="1" min="140" max="140"/>
    <col width="12" customWidth="1" min="141" max="141"/>
    <col width="13" customWidth="1" min="142" max="142"/>
    <col width="13" customWidth="1" min="143" max="143"/>
    <col width="13" customWidth="1" min="144" max="144"/>
    <col width="20" customWidth="1" min="145" max="145"/>
    <col width="13" customWidth="1" min="146" max="146"/>
    <col width="13" customWidth="1" min="147" max="147"/>
    <col width="14" customWidth="1" min="148" max="148"/>
    <col width="11" customWidth="1" min="149" max="149"/>
    <col width="12" customWidth="1" min="150" max="150"/>
    <col width="13" customWidth="1" min="151" max="151"/>
    <col width="13" customWidth="1" min="152" max="152"/>
    <col width="13" customWidth="1" min="153" max="153"/>
    <col width="20" customWidth="1" min="154" max="154"/>
    <col width="13" customWidth="1" min="155" max="155"/>
    <col width="13" customWidth="1" min="156" max="156"/>
    <col width="14" customWidth="1" min="157" max="157"/>
    <col width="11" customWidth="1" min="158" max="158"/>
    <col width="12" customWidth="1" min="159" max="159"/>
    <col width="13" customWidth="1" min="160" max="160"/>
    <col width="13" customWidth="1" min="161" max="161"/>
    <col width="13" customWidth="1" min="162" max="162"/>
    <col width="20" customWidth="1" min="163" max="163"/>
    <col width="13" customWidth="1" min="164" max="164"/>
    <col width="13" customWidth="1" min="165" max="165"/>
    <col width="14" customWidth="1" min="166" max="166"/>
    <col width="11" customWidth="1" min="167" max="167"/>
    <col width="12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13" customWidth="1" min="173" max="173"/>
    <col width="13" customWidth="1" min="174" max="174"/>
    <col width="14" customWidth="1" min="175" max="175"/>
    <col width="11" customWidth="1" min="176" max="176"/>
    <col width="12" customWidth="1" min="177" max="177"/>
    <col width="13" customWidth="1" min="178" max="178"/>
    <col width="13" customWidth="1" min="179" max="179"/>
    <col width="13" customWidth="1" min="180" max="180"/>
    <col width="20" customWidth="1" min="181" max="181"/>
    <col width="13" customWidth="1" min="182" max="182"/>
    <col width="13" customWidth="1" min="183" max="183"/>
    <col width="14" customWidth="1" min="184" max="184"/>
    <col width="11" customWidth="1" min="185" max="185"/>
    <col width="12" customWidth="1" min="186" max="186"/>
    <col width="13" customWidth="1" min="187" max="187"/>
    <col width="13" customWidth="1" min="188" max="188"/>
    <col width="13" customWidth="1" min="189" max="189"/>
    <col width="20" customWidth="1" min="190" max="190"/>
    <col width="13" customWidth="1" min="191" max="191"/>
    <col width="13" customWidth="1" min="192" max="192"/>
    <col width="14" customWidth="1" min="193" max="193"/>
    <col width="11" customWidth="1" min="194" max="194"/>
    <col width="12" customWidth="1" min="195" max="195"/>
    <col width="13" customWidth="1" min="196" max="196"/>
    <col width="13" customWidth="1" min="197" max="197"/>
    <col width="13" customWidth="1" min="198" max="198"/>
    <col width="20" customWidth="1" min="199" max="199"/>
    <col width="13" customWidth="1" min="200" max="200"/>
    <col width="13" customWidth="1" min="201" max="201"/>
    <col width="14" customWidth="1" min="202" max="202"/>
    <col width="11" customWidth="1" min="203" max="203"/>
    <col width="12" customWidth="1" min="204" max="204"/>
    <col width="13" customWidth="1" min="205" max="205"/>
    <col width="13" customWidth="1" min="206" max="206"/>
    <col width="13" customWidth="1" min="207" max="207"/>
    <col width="20" customWidth="1" min="208" max="208"/>
    <col width="13" customWidth="1" min="209" max="209"/>
    <col width="13" customWidth="1" min="210" max="210"/>
    <col width="14" customWidth="1" min="211" max="211"/>
    <col width="11" customWidth="1" min="212" max="212"/>
    <col width="12" customWidth="1" min="213" max="213"/>
    <col width="13" customWidth="1" min="214" max="214"/>
    <col width="13" customWidth="1" min="215" max="215"/>
    <col width="13" customWidth="1" min="216" max="216"/>
    <col width="20" customWidth="1" min="217" max="217"/>
    <col width="13" customWidth="1" min="218" max="218"/>
    <col width="13" customWidth="1" min="219" max="219"/>
    <col width="14" customWidth="1" min="220" max="220"/>
    <col width="11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20" customWidth="1" min="226" max="226"/>
    <col width="13" customWidth="1" min="227" max="227"/>
    <col width="13" customWidth="1" min="228" max="228"/>
    <col width="14" customWidth="1" min="229" max="229"/>
    <col width="11" customWidth="1" min="230" max="230"/>
    <col width="12" customWidth="1" min="231" max="231"/>
    <col width="13" customWidth="1" min="232" max="232"/>
    <col width="13" customWidth="1" min="233" max="233"/>
    <col width="13" customWidth="1" min="234" max="234"/>
    <col width="20" customWidth="1" min="235" max="235"/>
    <col width="13" customWidth="1" min="236" max="236"/>
    <col width="13" customWidth="1" min="237" max="237"/>
    <col width="14" customWidth="1" min="238" max="238"/>
    <col width="11" customWidth="1" min="239" max="239"/>
    <col width="12" customWidth="1" min="240" max="240"/>
    <col width="13" customWidth="1" min="241" max="241"/>
    <col width="13" customWidth="1" min="242" max="242"/>
    <col width="13" customWidth="1" min="243" max="243"/>
    <col width="20" customWidth="1" min="244" max="244"/>
    <col width="13" customWidth="1" min="245" max="245"/>
    <col width="13" customWidth="1" min="246" max="246"/>
    <col width="14" customWidth="1" min="247" max="247"/>
    <col width="11" customWidth="1" min="248" max="248"/>
    <col width="12" customWidth="1" min="249" max="249"/>
    <col width="13" customWidth="1" min="250" max="250"/>
    <col width="13" customWidth="1" min="251" max="251"/>
    <col width="13" customWidth="1" min="252" max="252"/>
    <col width="20" customWidth="1" min="253" max="253"/>
    <col width="13" customWidth="1" min="254" max="254"/>
    <col width="13" customWidth="1" min="255" max="255"/>
    <col width="14" customWidth="1" min="256" max="256"/>
    <col width="11" customWidth="1" min="257" max="257"/>
    <col width="12" customWidth="1" min="258" max="258"/>
    <col width="13" customWidth="1" min="259" max="259"/>
    <col width="13" customWidth="1" min="260" max="260"/>
    <col width="13" customWidth="1" min="261" max="261"/>
    <col width="20" customWidth="1" min="262" max="262"/>
    <col width="13" customWidth="1" min="263" max="263"/>
    <col width="13" customWidth="1" min="264" max="264"/>
    <col width="14" customWidth="1" min="265" max="265"/>
    <col width="11" customWidth="1" min="266" max="266"/>
    <col width="12" customWidth="1" min="267" max="267"/>
    <col width="13" customWidth="1" min="268" max="268"/>
    <col width="13" customWidth="1" min="269" max="269"/>
    <col width="13" customWidth="1" min="270" max="270"/>
    <col width="20" customWidth="1" min="271" max="271"/>
    <col width="13" customWidth="1" min="272" max="272"/>
    <col width="13" customWidth="1" min="273" max="273"/>
    <col width="14" customWidth="1" min="274" max="274"/>
    <col width="11" customWidth="1" min="275" max="275"/>
    <col width="12" customWidth="1" min="276" max="276"/>
    <col width="13" customWidth="1" min="277" max="277"/>
    <col width="13" customWidth="1" min="278" max="278"/>
    <col width="13" customWidth="1" min="279" max="279"/>
    <col width="20" customWidth="1" min="280" max="280"/>
    <col width="16" customWidth="1" min="281" max="281"/>
    <col width="16" customWidth="1" min="282" max="282"/>
    <col width="16" customWidth="1" min="283" max="283"/>
    <col width="14" customWidth="1" min="284" max="284"/>
    <col width="14" customWidth="1" min="285" max="285"/>
    <col width="14" customWidth="1" min="286" max="286"/>
    <col hidden="1" width="10" customWidth="1" min="287" max="287"/>
    <col hidden="1" width="16" customWidth="1" min="289" max="289"/>
    <col hidden="1" width="16" customWidth="1" min="290" max="290"/>
    <col hidden="1" width="16" customWidth="1" min="291" max="291"/>
    <col hidden="1" width="16" customWidth="1" min="292" max="292"/>
    <col hidden="1" width="16" customWidth="1" min="294" max="294"/>
    <col hidden="1" width="16" customWidth="1" min="295" max="295"/>
  </cols>
  <sheetData>
    <row r="1" ht="32" customHeight="1">
      <c r="A1" s="11">
        <f>"ACOMPANHAMENTO DIÁRIO DE ASSESSORES — SETEMBRO / "&amp;Configurações!$B$3</f>
        <v/>
      </c>
      <c r="KC1" t="inlineStr">
        <is>
          <t>Dia</t>
        </is>
      </c>
      <c r="KD1" t="inlineStr">
        <is>
          <t>Data</t>
        </is>
      </c>
      <c r="KE1" t="inlineStr">
        <is>
          <t>Produção do Dia</t>
        </is>
      </c>
      <c r="KF1" t="inlineStr">
        <is>
          <t>Captação do Dia</t>
        </is>
      </c>
    </row>
    <row r="2" ht="18" customHeight="1">
      <c r="A2" s="12">
        <f>"Dias no mês: "&amp;$Z$3&amp;"   |   Cada assessor ocupa 1 linha. Role para a direita para ver os dias. Apenas as células destacadas em amarelo são editáveis."</f>
        <v/>
      </c>
      <c r="KC2" s="13" t="n">
        <v>1</v>
      </c>
      <c r="KD2" s="14">
        <f>IF(1&lt;=$Z$3,DATE(Configurações!$B$3,9,1),"")</f>
        <v/>
      </c>
      <c r="KE2" s="13">
        <f>SUM($I$67:$I$79)</f>
        <v/>
      </c>
      <c r="KF2" s="13">
        <f>SUM($D$67:$D$79)</f>
        <v/>
      </c>
      <c r="KH2" t="inlineStr">
        <is>
          <t>COE</t>
        </is>
      </c>
      <c r="KI2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</row>
    <row r="3">
      <c r="Y3" s="15" t="inlineStr">
        <is>
          <t>Dias no mês</t>
        </is>
      </c>
      <c r="Z3" s="16">
        <f>DAY(EOMONTH(DATE(Configurações!$B$3,9,1),0))</f>
        <v/>
      </c>
      <c r="KC3" s="13" t="n">
        <v>2</v>
      </c>
      <c r="KD3" s="14">
        <f>IF(2&lt;=$Z$3,DATE(Configurações!$B$3,9,2),"")</f>
        <v/>
      </c>
      <c r="KE3" s="13">
        <f>SUM($R$67:$R$79)</f>
        <v/>
      </c>
      <c r="KF3" s="13">
        <f>SUM($M$67:$M$79)</f>
        <v/>
      </c>
      <c r="KH3" t="inlineStr">
        <is>
          <t>PREVIDÊNCIA</t>
        </is>
      </c>
      <c r="KI3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</row>
    <row r="4" ht="22" customHeight="1">
      <c r="A4" s="17" t="inlineStr">
        <is>
          <t>📊  INDICADORES DO MÊS</t>
        </is>
      </c>
      <c r="KC4" s="13" t="n">
        <v>3</v>
      </c>
      <c r="KD4" s="14">
        <f>IF(3&lt;=$Z$3,DATE(Configurações!$B$3,9,3),"")</f>
        <v/>
      </c>
      <c r="KE4" s="13">
        <f>SUM($AA$67:$AA$79)</f>
        <v/>
      </c>
      <c r="KF4" s="13">
        <f>SUM($V$67:$V$79)</f>
        <v/>
      </c>
      <c r="KH4" t="inlineStr">
        <is>
          <t>CRÉDITO PRIVADO</t>
        </is>
      </c>
      <c r="KI4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</row>
    <row r="5" ht="26" customHeight="1">
      <c r="A5" s="18" t="inlineStr">
        <is>
          <t>PRODUÇÃO TOTAL DO MÊS</t>
        </is>
      </c>
      <c r="C5" s="18" t="inlineStr">
        <is>
          <t>CAPTAÇÃO LÍQUIDA DO MÊS</t>
        </is>
      </c>
      <c r="E5" s="18" t="inlineStr">
        <is>
          <t>SALDO PULSO TOTAL (ATUAL)</t>
        </is>
      </c>
      <c r="G5" s="18" t="inlineStr">
        <is>
          <t>MÉDIA DIÁRIA DA EQUIPE</t>
        </is>
      </c>
      <c r="I5" s="18" t="inlineStr">
        <is>
          <t>MELHOR DIA DE PRODUÇÃO</t>
        </is>
      </c>
      <c r="K5" s="18" t="inlineStr">
        <is>
          <t>MELHOR ASSESSOR DO MÊS</t>
        </is>
      </c>
      <c r="KC5" s="13" t="n">
        <v>4</v>
      </c>
      <c r="KD5" s="14">
        <f>IF(4&lt;=$Z$3,DATE(Configurações!$B$3,9,4),"")</f>
        <v/>
      </c>
      <c r="KE5" s="13">
        <f>SUM($AJ$67:$AJ$79)</f>
        <v/>
      </c>
      <c r="KF5" s="13">
        <f>SUM($AE$67:$AE$79)</f>
        <v/>
      </c>
      <c r="KH5" t="inlineStr">
        <is>
          <t>TÍTULOS PÚBLICOS</t>
        </is>
      </c>
      <c r="KI5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</row>
    <row r="6" ht="30" customHeight="1">
      <c r="A6" s="19">
        <f>SUM($JU$67:$JU$79)</f>
        <v/>
      </c>
      <c r="C6" s="19">
        <f>SUM($JV$67:$JV$79)</f>
        <v/>
      </c>
      <c r="E6" s="19">
        <f>SUM($JW$67:$JW$79)</f>
        <v/>
      </c>
      <c r="G6" s="19">
        <f>IFERROR(SUM($JU$67:$JU$79)/$Z$3,0)</f>
        <v/>
      </c>
      <c r="I6" s="20">
        <f>IFERROR("Dia "&amp;TEXT(INDEX($KD$2:$KD$32,MATCH(MAX($KE$2:$KE$32),$KE$2:$KE$32,0)),"dd/mm")&amp;"  -  "&amp;TEXT(MAX($KE$2:$KE$32),"R$ #,##0"),"—")</f>
        <v/>
      </c>
      <c r="K6" s="20">
        <f>IFERROR($B$14&amp;"  -  "&amp;TEXT($C$14,"R$ #,##0"),"—")</f>
        <v/>
      </c>
      <c r="KC6" s="13" t="n">
        <v>5</v>
      </c>
      <c r="KD6" s="14">
        <f>IF(5&lt;=$Z$3,DATE(Configurações!$B$3,9,5),"")</f>
        <v/>
      </c>
      <c r="KE6" s="13">
        <f>SUM($AS$67:$AS$79)</f>
        <v/>
      </c>
      <c r="KF6" s="13">
        <f>SUM($AN$67:$AN$79)</f>
        <v/>
      </c>
    </row>
    <row r="7">
      <c r="KC7" s="13" t="n">
        <v>6</v>
      </c>
      <c r="KD7" s="14">
        <f>IF(6&lt;=$Z$3,DATE(Configurações!$B$3,9,6),"")</f>
        <v/>
      </c>
      <c r="KE7" s="13">
        <f>SUM($BB$67:$BB$79)</f>
        <v/>
      </c>
      <c r="KF7" s="13">
        <f>SUM($AW$67:$AW$79)</f>
        <v/>
      </c>
    </row>
    <row r="8" ht="22" customHeight="1">
      <c r="A8" s="17" t="inlineStr">
        <is>
          <t>💰  TOTAIS POR PRODUTO</t>
        </is>
      </c>
      <c r="KC8" s="13" t="n">
        <v>7</v>
      </c>
      <c r="KD8" s="14">
        <f>IF(7&lt;=$Z$3,DATE(Configurações!$B$3,9,7),"")</f>
        <v/>
      </c>
      <c r="KE8" s="13">
        <f>SUM($BK$67:$BK$79)</f>
        <v/>
      </c>
      <c r="KF8" s="13">
        <f>SUM($BF$67:$BF$79)</f>
        <v/>
      </c>
    </row>
    <row r="9" ht="20" customHeight="1">
      <c r="A9" s="18" t="inlineStr">
        <is>
          <t>COE</t>
        </is>
      </c>
      <c r="D9" s="18" t="inlineStr">
        <is>
          <t>PREVIDÊNCIA</t>
        </is>
      </c>
      <c r="G9" s="18" t="inlineStr">
        <is>
          <t>CRÉDITO PRIVADO</t>
        </is>
      </c>
      <c r="J9" s="18" t="inlineStr">
        <is>
          <t>TÍTULOS PÚBLICOS</t>
        </is>
      </c>
      <c r="KC9" s="13" t="n">
        <v>8</v>
      </c>
      <c r="KD9" s="14">
        <f>IF(8&lt;=$Z$3,DATE(Configurações!$B$3,9,8),"")</f>
        <v/>
      </c>
      <c r="KE9" s="13">
        <f>SUM($BT$67:$BT$79)</f>
        <v/>
      </c>
      <c r="KF9" s="13">
        <f>SUM($BO$67:$BO$79)</f>
        <v/>
      </c>
    </row>
    <row r="10" ht="26" customHeight="1">
      <c r="A10" s="19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  <c r="D10" s="19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  <c r="G10" s="19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  <c r="J10" s="19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  <c r="KC10" s="13" t="n">
        <v>9</v>
      </c>
      <c r="KD10" s="14">
        <f>IF(9&lt;=$Z$3,DATE(Configurações!$B$3,9,9),"")</f>
        <v/>
      </c>
      <c r="KE10" s="13">
        <f>SUM($CC$67:$CC$79)</f>
        <v/>
      </c>
      <c r="KF10" s="13">
        <f>SUM($BX$67:$BX$79)</f>
        <v/>
      </c>
    </row>
    <row r="11">
      <c r="KC11" s="13" t="n">
        <v>10</v>
      </c>
      <c r="KD11" s="14">
        <f>IF(10&lt;=$Z$3,DATE(Configurações!$B$3,9,10),"")</f>
        <v/>
      </c>
      <c r="KE11" s="13">
        <f>SUM($CL$67:$CL$79)</f>
        <v/>
      </c>
      <c r="KF11" s="13">
        <f>SUM($CG$67:$CG$79)</f>
        <v/>
      </c>
    </row>
    <row r="12" ht="22" customHeight="1">
      <c r="A12" s="17" t="inlineStr">
        <is>
          <t>🏆  RANKING DE ASSESSORES (TOP 5 EM DESTAQUE)</t>
        </is>
      </c>
      <c r="KC12" s="13" t="n">
        <v>11</v>
      </c>
      <c r="KD12" s="14">
        <f>IF(11&lt;=$Z$3,DATE(Configurações!$B$3,9,11),"")</f>
        <v/>
      </c>
      <c r="KE12" s="13">
        <f>SUM($CU$67:$CU$79)</f>
        <v/>
      </c>
      <c r="KF12" s="13">
        <f>SUM($CP$67:$CP$79)</f>
        <v/>
      </c>
    </row>
    <row r="13" ht="22" customHeight="1">
      <c r="A13" s="5" t="inlineStr">
        <is>
          <t>Pos.</t>
        </is>
      </c>
      <c r="B13" s="5" t="inlineStr">
        <is>
          <t>Assessor</t>
        </is>
      </c>
      <c r="C13" s="5" t="inlineStr">
        <is>
          <t>Produção Total</t>
        </is>
      </c>
      <c r="D13" s="5" t="inlineStr">
        <is>
          <t>Captação Líquida</t>
        </is>
      </c>
      <c r="E13" s="5" t="inlineStr">
        <is>
          <t>Saldo Pulso Atual</t>
        </is>
      </c>
      <c r="F13" s="5" t="inlineStr">
        <is>
          <t>Média Diária</t>
        </is>
      </c>
      <c r="G13" s="5" t="inlineStr">
        <is>
          <t>Meta Mensal</t>
        </is>
      </c>
      <c r="H13" s="5" t="inlineStr">
        <is>
          <t>Status</t>
        </is>
      </c>
      <c r="KC13" s="13" t="n">
        <v>12</v>
      </c>
      <c r="KD13" s="14">
        <f>IF(12&lt;=$Z$3,DATE(Configurações!$B$3,9,12),"")</f>
        <v/>
      </c>
      <c r="KE13" s="13">
        <f>SUM($DD$67:$DD$79)</f>
        <v/>
      </c>
      <c r="KF13" s="13">
        <f>SUM($CY$67:$CY$79)</f>
        <v/>
      </c>
    </row>
    <row r="14" ht="18" customHeight="1">
      <c r="A14" s="21" t="n">
        <v>1</v>
      </c>
      <c r="B14" s="22">
        <f>INDEX($A$67:$A$79,MATCH(LARGE($KA$67:$KA$79,1),$KA$67:$KA$79,0))</f>
        <v/>
      </c>
      <c r="C14" s="23">
        <f>INDEX($JU$67:$JU$79,MATCH(LARGE($KA$67:$KA$79,1),$KA$67:$KA$79,0))</f>
        <v/>
      </c>
      <c r="D14" s="24">
        <f>INDEX($JV$67:$JV$79,MATCH(LARGE($KA$67:$KA$79,1),$KA$67:$KA$79,0))</f>
        <v/>
      </c>
      <c r="E14" s="23">
        <f>INDEX($JW$67:$JW$79,MATCH(LARGE($KA$67:$KA$79,1),$KA$67:$KA$79,0))</f>
        <v/>
      </c>
      <c r="F14" s="23">
        <f>INDEX($JX$67:$JX$79,MATCH(LARGE($KA$67:$KA$79,1),$KA$67:$KA$79,0))</f>
        <v/>
      </c>
      <c r="G14" s="23">
        <f>INDEX($JY$67:$JY$79,MATCH(LARGE($KA$67:$KA$79,1),$KA$67:$KA$79,0))</f>
        <v/>
      </c>
      <c r="H14" s="25">
        <f>IF(G14=0,"— Sem meta",IF(C14&gt;=G14,"✓ Meta atingida","Em andamento"))</f>
        <v/>
      </c>
      <c r="KC14" s="13" t="n">
        <v>13</v>
      </c>
      <c r="KD14" s="14">
        <f>IF(13&lt;=$Z$3,DATE(Configurações!$B$3,9,13),"")</f>
        <v/>
      </c>
      <c r="KE14" s="13">
        <f>SUM($DM$67:$DM$79)</f>
        <v/>
      </c>
      <c r="KF14" s="13">
        <f>SUM($DH$67:$DH$79)</f>
        <v/>
      </c>
    </row>
    <row r="15" ht="18" customHeight="1">
      <c r="A15" s="26" t="n">
        <v>2</v>
      </c>
      <c r="B15" s="27">
        <f>INDEX($A$67:$A$79,MATCH(LARGE($KA$67:$KA$79,2),$KA$67:$KA$79,0))</f>
        <v/>
      </c>
      <c r="C15" s="28">
        <f>INDEX($JU$67:$JU$79,MATCH(LARGE($KA$67:$KA$79,2),$KA$67:$KA$79,0))</f>
        <v/>
      </c>
      <c r="D15" s="29">
        <f>INDEX($JV$67:$JV$79,MATCH(LARGE($KA$67:$KA$79,2),$KA$67:$KA$79,0))</f>
        <v/>
      </c>
      <c r="E15" s="28">
        <f>INDEX($JW$67:$JW$79,MATCH(LARGE($KA$67:$KA$79,2),$KA$67:$KA$79,0))</f>
        <v/>
      </c>
      <c r="F15" s="28">
        <f>INDEX($JX$67:$JX$79,MATCH(LARGE($KA$67:$KA$79,2),$KA$67:$KA$79,0))</f>
        <v/>
      </c>
      <c r="G15" s="28">
        <f>INDEX($JY$67:$JY$79,MATCH(LARGE($KA$67:$KA$79,2),$KA$67:$KA$79,0))</f>
        <v/>
      </c>
      <c r="H15" s="30">
        <f>IF(G15=0,"— Sem meta",IF(C15&gt;=G15,"✓ Meta atingida","Em andamento"))</f>
        <v/>
      </c>
      <c r="KC15" s="13" t="n">
        <v>14</v>
      </c>
      <c r="KD15" s="14">
        <f>IF(14&lt;=$Z$3,DATE(Configurações!$B$3,9,14),"")</f>
        <v/>
      </c>
      <c r="KE15" s="13">
        <f>SUM($DV$67:$DV$79)</f>
        <v/>
      </c>
      <c r="KF15" s="13">
        <f>SUM($DQ$67:$DQ$79)</f>
        <v/>
      </c>
    </row>
    <row r="16" ht="18" customHeight="1">
      <c r="A16" s="31" t="n">
        <v>3</v>
      </c>
      <c r="B16" s="32">
        <f>INDEX($A$67:$A$79,MATCH(LARGE($KA$67:$KA$79,3),$KA$67:$KA$79,0))</f>
        <v/>
      </c>
      <c r="C16" s="33">
        <f>INDEX($JU$67:$JU$79,MATCH(LARGE($KA$67:$KA$79,3),$KA$67:$KA$79,0))</f>
        <v/>
      </c>
      <c r="D16" s="34">
        <f>INDEX($JV$67:$JV$79,MATCH(LARGE($KA$67:$KA$79,3),$KA$67:$KA$79,0))</f>
        <v/>
      </c>
      <c r="E16" s="33">
        <f>INDEX($JW$67:$JW$79,MATCH(LARGE($KA$67:$KA$79,3),$KA$67:$KA$79,0))</f>
        <v/>
      </c>
      <c r="F16" s="33">
        <f>INDEX($JX$67:$JX$79,MATCH(LARGE($KA$67:$KA$79,3),$KA$67:$KA$79,0))</f>
        <v/>
      </c>
      <c r="G16" s="33">
        <f>INDEX($JY$67:$JY$79,MATCH(LARGE($KA$67:$KA$79,3),$KA$67:$KA$79,0))</f>
        <v/>
      </c>
      <c r="H16" s="35">
        <f>IF(G16=0,"— Sem meta",IF(C16&gt;=G16,"✓ Meta atingida","Em andamento"))</f>
        <v/>
      </c>
      <c r="KC16" s="13" t="n">
        <v>15</v>
      </c>
      <c r="KD16" s="14">
        <f>IF(15&lt;=$Z$3,DATE(Configurações!$B$3,9,15),"")</f>
        <v/>
      </c>
      <c r="KE16" s="13">
        <f>SUM($EE$67:$EE$79)</f>
        <v/>
      </c>
      <c r="KF16" s="13">
        <f>SUM($DZ$67:$DZ$79)</f>
        <v/>
      </c>
    </row>
    <row r="17" ht="18" customHeight="1">
      <c r="A17" s="36" t="n">
        <v>4</v>
      </c>
      <c r="B17" s="37">
        <f>INDEX($A$67:$A$79,MATCH(LARGE($KA$67:$KA$79,4),$KA$67:$KA$79,0))</f>
        <v/>
      </c>
      <c r="C17" s="38">
        <f>INDEX($JU$67:$JU$79,MATCH(LARGE($KA$67:$KA$79,4),$KA$67:$KA$79,0))</f>
        <v/>
      </c>
      <c r="D17" s="39">
        <f>INDEX($JV$67:$JV$79,MATCH(LARGE($KA$67:$KA$79,4),$KA$67:$KA$79,0))</f>
        <v/>
      </c>
      <c r="E17" s="38">
        <f>INDEX($JW$67:$JW$79,MATCH(LARGE($KA$67:$KA$79,4),$KA$67:$KA$79,0))</f>
        <v/>
      </c>
      <c r="F17" s="38">
        <f>INDEX($JX$67:$JX$79,MATCH(LARGE($KA$67:$KA$79,4),$KA$67:$KA$79,0))</f>
        <v/>
      </c>
      <c r="G17" s="38">
        <f>INDEX($JY$67:$JY$79,MATCH(LARGE($KA$67:$KA$79,4),$KA$67:$KA$79,0))</f>
        <v/>
      </c>
      <c r="H17" s="40">
        <f>IF(G17=0,"— Sem meta",IF(C17&gt;=G17,"✓ Meta atingida","Em andamento"))</f>
        <v/>
      </c>
      <c r="KC17" s="13" t="n">
        <v>16</v>
      </c>
      <c r="KD17" s="14">
        <f>IF(16&lt;=$Z$3,DATE(Configurações!$B$3,9,16),"")</f>
        <v/>
      </c>
      <c r="KE17" s="13">
        <f>SUM($EN$67:$EN$79)</f>
        <v/>
      </c>
      <c r="KF17" s="13">
        <f>SUM($EI$67:$EI$79)</f>
        <v/>
      </c>
    </row>
    <row r="18" ht="18" customHeight="1">
      <c r="A18" s="36" t="n">
        <v>5</v>
      </c>
      <c r="B18" s="37">
        <f>INDEX($A$67:$A$79,MATCH(LARGE($KA$67:$KA$79,5),$KA$67:$KA$79,0))</f>
        <v/>
      </c>
      <c r="C18" s="38">
        <f>INDEX($JU$67:$JU$79,MATCH(LARGE($KA$67:$KA$79,5),$KA$67:$KA$79,0))</f>
        <v/>
      </c>
      <c r="D18" s="39">
        <f>INDEX($JV$67:$JV$79,MATCH(LARGE($KA$67:$KA$79,5),$KA$67:$KA$79,0))</f>
        <v/>
      </c>
      <c r="E18" s="38">
        <f>INDEX($JW$67:$JW$79,MATCH(LARGE($KA$67:$KA$79,5),$KA$67:$KA$79,0))</f>
        <v/>
      </c>
      <c r="F18" s="38">
        <f>INDEX($JX$67:$JX$79,MATCH(LARGE($KA$67:$KA$79,5),$KA$67:$KA$79,0))</f>
        <v/>
      </c>
      <c r="G18" s="38">
        <f>INDEX($JY$67:$JY$79,MATCH(LARGE($KA$67:$KA$79,5),$KA$67:$KA$79,0))</f>
        <v/>
      </c>
      <c r="H18" s="40">
        <f>IF(G18=0,"— Sem meta",IF(C18&gt;=G18,"✓ Meta atingida","Em andamento"))</f>
        <v/>
      </c>
      <c r="KC18" s="13" t="n">
        <v>17</v>
      </c>
      <c r="KD18" s="14">
        <f>IF(17&lt;=$Z$3,DATE(Configurações!$B$3,9,17),"")</f>
        <v/>
      </c>
      <c r="KE18" s="13">
        <f>SUM($EW$67:$EW$79)</f>
        <v/>
      </c>
      <c r="KF18" s="13">
        <f>SUM($ER$67:$ER$79)</f>
        <v/>
      </c>
    </row>
    <row r="19" ht="18" customHeight="1">
      <c r="A19" s="41" t="n">
        <v>6</v>
      </c>
      <c r="B19" s="42">
        <f>INDEX($A$67:$A$79,MATCH(LARGE($KA$67:$KA$79,6),$KA$67:$KA$79,0))</f>
        <v/>
      </c>
      <c r="C19" s="43">
        <f>INDEX($JU$67:$JU$79,MATCH(LARGE($KA$67:$KA$79,6),$KA$67:$KA$79,0))</f>
        <v/>
      </c>
      <c r="D19" s="44">
        <f>INDEX($JV$67:$JV$79,MATCH(LARGE($KA$67:$KA$79,6),$KA$67:$KA$79,0))</f>
        <v/>
      </c>
      <c r="E19" s="43">
        <f>INDEX($JW$67:$JW$79,MATCH(LARGE($KA$67:$KA$79,6),$KA$67:$KA$79,0))</f>
        <v/>
      </c>
      <c r="F19" s="43">
        <f>INDEX($JX$67:$JX$79,MATCH(LARGE($KA$67:$KA$79,6),$KA$67:$KA$79,0))</f>
        <v/>
      </c>
      <c r="G19" s="43">
        <f>INDEX($JY$67:$JY$79,MATCH(LARGE($KA$67:$KA$79,6),$KA$67:$KA$79,0))</f>
        <v/>
      </c>
      <c r="H19" s="45">
        <f>IF(G19=0,"— Sem meta",IF(C19&gt;=G19,"✓ Meta atingida","Em andamento"))</f>
        <v/>
      </c>
      <c r="KC19" s="13" t="n">
        <v>18</v>
      </c>
      <c r="KD19" s="14">
        <f>IF(18&lt;=$Z$3,DATE(Configurações!$B$3,9,18),"")</f>
        <v/>
      </c>
      <c r="KE19" s="13">
        <f>SUM($FF$67:$FF$79)</f>
        <v/>
      </c>
      <c r="KF19" s="13">
        <f>SUM($FA$67:$FA$79)</f>
        <v/>
      </c>
    </row>
    <row r="20" ht="18" customHeight="1">
      <c r="A20" s="46" t="n">
        <v>7</v>
      </c>
      <c r="B20" s="47">
        <f>INDEX($A$67:$A$79,MATCH(LARGE($KA$67:$KA$79,7),$KA$67:$KA$79,0))</f>
        <v/>
      </c>
      <c r="C20" s="48">
        <f>INDEX($JU$67:$JU$79,MATCH(LARGE($KA$67:$KA$79,7),$KA$67:$KA$79,0))</f>
        <v/>
      </c>
      <c r="D20" s="49">
        <f>INDEX($JV$67:$JV$79,MATCH(LARGE($KA$67:$KA$79,7),$KA$67:$KA$79,0))</f>
        <v/>
      </c>
      <c r="E20" s="48">
        <f>INDEX($JW$67:$JW$79,MATCH(LARGE($KA$67:$KA$79,7),$KA$67:$KA$79,0))</f>
        <v/>
      </c>
      <c r="F20" s="48">
        <f>INDEX($JX$67:$JX$79,MATCH(LARGE($KA$67:$KA$79,7),$KA$67:$KA$79,0))</f>
        <v/>
      </c>
      <c r="G20" s="48">
        <f>INDEX($JY$67:$JY$79,MATCH(LARGE($KA$67:$KA$79,7),$KA$67:$KA$79,0))</f>
        <v/>
      </c>
      <c r="H20" s="50">
        <f>IF(G20=0,"— Sem meta",IF(C20&gt;=G20,"✓ Meta atingida","Em andamento"))</f>
        <v/>
      </c>
      <c r="KC20" s="13" t="n">
        <v>19</v>
      </c>
      <c r="KD20" s="14">
        <f>IF(19&lt;=$Z$3,DATE(Configurações!$B$3,9,19),"")</f>
        <v/>
      </c>
      <c r="KE20" s="13">
        <f>SUM($FO$67:$FO$79)</f>
        <v/>
      </c>
      <c r="KF20" s="13">
        <f>SUM($FJ$67:$FJ$79)</f>
        <v/>
      </c>
    </row>
    <row r="21" ht="18" customHeight="1">
      <c r="A21" s="41" t="n">
        <v>8</v>
      </c>
      <c r="B21" s="42">
        <f>INDEX($A$67:$A$79,MATCH(LARGE($KA$67:$KA$79,8),$KA$67:$KA$79,0))</f>
        <v/>
      </c>
      <c r="C21" s="43">
        <f>INDEX($JU$67:$JU$79,MATCH(LARGE($KA$67:$KA$79,8),$KA$67:$KA$79,0))</f>
        <v/>
      </c>
      <c r="D21" s="44">
        <f>INDEX($JV$67:$JV$79,MATCH(LARGE($KA$67:$KA$79,8),$KA$67:$KA$79,0))</f>
        <v/>
      </c>
      <c r="E21" s="43">
        <f>INDEX($JW$67:$JW$79,MATCH(LARGE($KA$67:$KA$79,8),$KA$67:$KA$79,0))</f>
        <v/>
      </c>
      <c r="F21" s="43">
        <f>INDEX($JX$67:$JX$79,MATCH(LARGE($KA$67:$KA$79,8),$KA$67:$KA$79,0))</f>
        <v/>
      </c>
      <c r="G21" s="43">
        <f>INDEX($JY$67:$JY$79,MATCH(LARGE($KA$67:$KA$79,8),$KA$67:$KA$79,0))</f>
        <v/>
      </c>
      <c r="H21" s="45">
        <f>IF(G21=0,"— Sem meta",IF(C21&gt;=G21,"✓ Meta atingida","Em andamento"))</f>
        <v/>
      </c>
      <c r="KC21" s="13" t="n">
        <v>20</v>
      </c>
      <c r="KD21" s="14">
        <f>IF(20&lt;=$Z$3,DATE(Configurações!$B$3,9,20),"")</f>
        <v/>
      </c>
      <c r="KE21" s="13">
        <f>SUM($FX$67:$FX$79)</f>
        <v/>
      </c>
      <c r="KF21" s="13">
        <f>SUM($FS$67:$FS$79)</f>
        <v/>
      </c>
    </row>
    <row r="22" ht="18" customHeight="1">
      <c r="A22" s="46" t="n">
        <v>9</v>
      </c>
      <c r="B22" s="47">
        <f>INDEX($A$67:$A$79,MATCH(LARGE($KA$67:$KA$79,9),$KA$67:$KA$79,0))</f>
        <v/>
      </c>
      <c r="C22" s="48">
        <f>INDEX($JU$67:$JU$79,MATCH(LARGE($KA$67:$KA$79,9),$KA$67:$KA$79,0))</f>
        <v/>
      </c>
      <c r="D22" s="49">
        <f>INDEX($JV$67:$JV$79,MATCH(LARGE($KA$67:$KA$79,9),$KA$67:$KA$79,0))</f>
        <v/>
      </c>
      <c r="E22" s="48">
        <f>INDEX($JW$67:$JW$79,MATCH(LARGE($KA$67:$KA$79,9),$KA$67:$KA$79,0))</f>
        <v/>
      </c>
      <c r="F22" s="48">
        <f>INDEX($JX$67:$JX$79,MATCH(LARGE($KA$67:$KA$79,9),$KA$67:$KA$79,0))</f>
        <v/>
      </c>
      <c r="G22" s="48">
        <f>INDEX($JY$67:$JY$79,MATCH(LARGE($KA$67:$KA$79,9),$KA$67:$KA$79,0))</f>
        <v/>
      </c>
      <c r="H22" s="50">
        <f>IF(G22=0,"— Sem meta",IF(C22&gt;=G22,"✓ Meta atingida","Em andamento"))</f>
        <v/>
      </c>
      <c r="KC22" s="13" t="n">
        <v>21</v>
      </c>
      <c r="KD22" s="14">
        <f>IF(21&lt;=$Z$3,DATE(Configurações!$B$3,9,21),"")</f>
        <v/>
      </c>
      <c r="KE22" s="13">
        <f>SUM($GG$67:$GG$79)</f>
        <v/>
      </c>
      <c r="KF22" s="13">
        <f>SUM($GB$67:$GB$79)</f>
        <v/>
      </c>
    </row>
    <row r="23" ht="18" customHeight="1">
      <c r="A23" s="41" t="n">
        <v>10</v>
      </c>
      <c r="B23" s="42">
        <f>INDEX($A$67:$A$79,MATCH(LARGE($KA$67:$KA$79,10),$KA$67:$KA$79,0))</f>
        <v/>
      </c>
      <c r="C23" s="43">
        <f>INDEX($JU$67:$JU$79,MATCH(LARGE($KA$67:$KA$79,10),$KA$67:$KA$79,0))</f>
        <v/>
      </c>
      <c r="D23" s="44">
        <f>INDEX($JV$67:$JV$79,MATCH(LARGE($KA$67:$KA$79,10),$KA$67:$KA$79,0))</f>
        <v/>
      </c>
      <c r="E23" s="43">
        <f>INDEX($JW$67:$JW$79,MATCH(LARGE($KA$67:$KA$79,10),$KA$67:$KA$79,0))</f>
        <v/>
      </c>
      <c r="F23" s="43">
        <f>INDEX($JX$67:$JX$79,MATCH(LARGE($KA$67:$KA$79,10),$KA$67:$KA$79,0))</f>
        <v/>
      </c>
      <c r="G23" s="43">
        <f>INDEX($JY$67:$JY$79,MATCH(LARGE($KA$67:$KA$79,10),$KA$67:$KA$79,0))</f>
        <v/>
      </c>
      <c r="H23" s="45">
        <f>IF(G23=0,"— Sem meta",IF(C23&gt;=G23,"✓ Meta atingida","Em andamento"))</f>
        <v/>
      </c>
      <c r="KC23" s="13" t="n">
        <v>22</v>
      </c>
      <c r="KD23" s="14">
        <f>IF(22&lt;=$Z$3,DATE(Configurações!$B$3,9,22),"")</f>
        <v/>
      </c>
      <c r="KE23" s="13">
        <f>SUM($GP$67:$GP$79)</f>
        <v/>
      </c>
      <c r="KF23" s="13">
        <f>SUM($GK$67:$GK$79)</f>
        <v/>
      </c>
    </row>
    <row r="24" ht="18" customHeight="1">
      <c r="A24" s="46" t="n">
        <v>11</v>
      </c>
      <c r="B24" s="47">
        <f>INDEX($A$67:$A$79,MATCH(LARGE($KA$67:$KA$79,11),$KA$67:$KA$79,0))</f>
        <v/>
      </c>
      <c r="C24" s="48">
        <f>INDEX($JU$67:$JU$79,MATCH(LARGE($KA$67:$KA$79,11),$KA$67:$KA$79,0))</f>
        <v/>
      </c>
      <c r="D24" s="49">
        <f>INDEX($JV$67:$JV$79,MATCH(LARGE($KA$67:$KA$79,11),$KA$67:$KA$79,0))</f>
        <v/>
      </c>
      <c r="E24" s="48">
        <f>INDEX($JW$67:$JW$79,MATCH(LARGE($KA$67:$KA$79,11),$KA$67:$KA$79,0))</f>
        <v/>
      </c>
      <c r="F24" s="48">
        <f>INDEX($JX$67:$JX$79,MATCH(LARGE($KA$67:$KA$79,11),$KA$67:$KA$79,0))</f>
        <v/>
      </c>
      <c r="G24" s="48">
        <f>INDEX($JY$67:$JY$79,MATCH(LARGE($KA$67:$KA$79,11),$KA$67:$KA$79,0))</f>
        <v/>
      </c>
      <c r="H24" s="50">
        <f>IF(G24=0,"— Sem meta",IF(C24&gt;=G24,"✓ Meta atingida","Em andamento"))</f>
        <v/>
      </c>
      <c r="KC24" s="13" t="n">
        <v>23</v>
      </c>
      <c r="KD24" s="14">
        <f>IF(23&lt;=$Z$3,DATE(Configurações!$B$3,9,23),"")</f>
        <v/>
      </c>
      <c r="KE24" s="13">
        <f>SUM($GY$67:$GY$79)</f>
        <v/>
      </c>
      <c r="KF24" s="13">
        <f>SUM($GT$67:$GT$79)</f>
        <v/>
      </c>
    </row>
    <row r="25" ht="18" customHeight="1">
      <c r="A25" s="41" t="n">
        <v>12</v>
      </c>
      <c r="B25" s="42">
        <f>INDEX($A$67:$A$79,MATCH(LARGE($KA$67:$KA$79,12),$KA$67:$KA$79,0))</f>
        <v/>
      </c>
      <c r="C25" s="43">
        <f>INDEX($JU$67:$JU$79,MATCH(LARGE($KA$67:$KA$79,12),$KA$67:$KA$79,0))</f>
        <v/>
      </c>
      <c r="D25" s="44">
        <f>INDEX($JV$67:$JV$79,MATCH(LARGE($KA$67:$KA$79,12),$KA$67:$KA$79,0))</f>
        <v/>
      </c>
      <c r="E25" s="43">
        <f>INDEX($JW$67:$JW$79,MATCH(LARGE($KA$67:$KA$79,12),$KA$67:$KA$79,0))</f>
        <v/>
      </c>
      <c r="F25" s="43">
        <f>INDEX($JX$67:$JX$79,MATCH(LARGE($KA$67:$KA$79,12),$KA$67:$KA$79,0))</f>
        <v/>
      </c>
      <c r="G25" s="43">
        <f>INDEX($JY$67:$JY$79,MATCH(LARGE($KA$67:$KA$79,12),$KA$67:$KA$79,0))</f>
        <v/>
      </c>
      <c r="H25" s="45">
        <f>IF(G25=0,"— Sem meta",IF(C25&gt;=G25,"✓ Meta atingida","Em andamento"))</f>
        <v/>
      </c>
      <c r="KC25" s="13" t="n">
        <v>24</v>
      </c>
      <c r="KD25" s="14">
        <f>IF(24&lt;=$Z$3,DATE(Configurações!$B$3,9,24),"")</f>
        <v/>
      </c>
      <c r="KE25" s="13">
        <f>SUM($HH$67:$HH$79)</f>
        <v/>
      </c>
      <c r="KF25" s="13">
        <f>SUM($HC$67:$HC$79)</f>
        <v/>
      </c>
    </row>
    <row r="26" ht="18" customHeight="1">
      <c r="A26" s="46" t="n">
        <v>13</v>
      </c>
      <c r="B26" s="47">
        <f>INDEX($A$67:$A$79,MATCH(LARGE($KA$67:$KA$79,13),$KA$67:$KA$79,0))</f>
        <v/>
      </c>
      <c r="C26" s="48">
        <f>INDEX($JU$67:$JU$79,MATCH(LARGE($KA$67:$KA$79,13),$KA$67:$KA$79,0))</f>
        <v/>
      </c>
      <c r="D26" s="49">
        <f>INDEX($JV$67:$JV$79,MATCH(LARGE($KA$67:$KA$79,13),$KA$67:$KA$79,0))</f>
        <v/>
      </c>
      <c r="E26" s="48">
        <f>INDEX($JW$67:$JW$79,MATCH(LARGE($KA$67:$KA$79,13),$KA$67:$KA$79,0))</f>
        <v/>
      </c>
      <c r="F26" s="48">
        <f>INDEX($JX$67:$JX$79,MATCH(LARGE($KA$67:$KA$79,13),$KA$67:$KA$79,0))</f>
        <v/>
      </c>
      <c r="G26" s="48">
        <f>INDEX($JY$67:$JY$79,MATCH(LARGE($KA$67:$KA$79,13),$KA$67:$KA$79,0))</f>
        <v/>
      </c>
      <c r="H26" s="50">
        <f>IF(G26=0,"— Sem meta",IF(C26&gt;=G26,"✓ Meta atingida","Em andamento"))</f>
        <v/>
      </c>
      <c r="KC26" s="13" t="n">
        <v>25</v>
      </c>
      <c r="KD26" s="14">
        <f>IF(25&lt;=$Z$3,DATE(Configurações!$B$3,9,25),"")</f>
        <v/>
      </c>
      <c r="KE26" s="13">
        <f>SUM($HQ$67:$HQ$79)</f>
        <v/>
      </c>
      <c r="KF26" s="13">
        <f>SUM($HL$67:$HL$79)</f>
        <v/>
      </c>
    </row>
    <row r="27">
      <c r="KC27" s="13" t="n">
        <v>26</v>
      </c>
      <c r="KD27" s="14">
        <f>IF(26&lt;=$Z$3,DATE(Configurações!$B$3,9,26),"")</f>
        <v/>
      </c>
      <c r="KE27" s="13">
        <f>SUM($HZ$67:$HZ$79)</f>
        <v/>
      </c>
      <c r="KF27" s="13">
        <f>SUM($HU$67:$HU$79)</f>
        <v/>
      </c>
    </row>
    <row r="28">
      <c r="KC28" s="13" t="n">
        <v>27</v>
      </c>
      <c r="KD28" s="14">
        <f>IF(27&lt;=$Z$3,DATE(Configurações!$B$3,9,27),"")</f>
        <v/>
      </c>
      <c r="KE28" s="13">
        <f>SUM($II$67:$II$79)</f>
        <v/>
      </c>
      <c r="KF28" s="13">
        <f>SUM($ID$67:$ID$79)</f>
        <v/>
      </c>
    </row>
    <row r="29">
      <c r="KC29" s="13" t="n">
        <v>28</v>
      </c>
      <c r="KD29" s="14">
        <f>IF(28&lt;=$Z$3,DATE(Configurações!$B$3,9,28),"")</f>
        <v/>
      </c>
      <c r="KE29" s="13">
        <f>SUM($IR$67:$IR$79)</f>
        <v/>
      </c>
      <c r="KF29" s="13">
        <f>SUM($IM$67:$IM$79)</f>
        <v/>
      </c>
    </row>
    <row r="30">
      <c r="KC30" s="13" t="n">
        <v>29</v>
      </c>
      <c r="KD30" s="14">
        <f>IF(29&lt;=$Z$3,DATE(Configurações!$B$3,9,29),"")</f>
        <v/>
      </c>
      <c r="KE30" s="13">
        <f>SUM($JA$67:$JA$79)</f>
        <v/>
      </c>
      <c r="KF30" s="13">
        <f>SUM($IV$67:$IV$79)</f>
        <v/>
      </c>
    </row>
    <row r="31">
      <c r="KC31" s="13" t="n">
        <v>30</v>
      </c>
      <c r="KD31" s="14">
        <f>IF(30&lt;=$Z$3,DATE(Configurações!$B$3,9,30),"")</f>
        <v/>
      </c>
      <c r="KE31" s="13">
        <f>SUM($JJ$67:$JJ$79)</f>
        <v/>
      </c>
      <c r="KF31" s="13">
        <f>SUM($JE$67:$JE$79)</f>
        <v/>
      </c>
    </row>
    <row r="32">
      <c r="KC32" s="13" t="n">
        <v>31</v>
      </c>
      <c r="KD32" s="14">
        <f>IF(31&lt;=$Z$3,DATE(Configurações!$B$3,9,31),"")</f>
        <v/>
      </c>
      <c r="KE32" s="13">
        <f>SUM($JS$67:$JS$79)</f>
        <v/>
      </c>
      <c r="KF32" s="13">
        <f>SUM($JN$67:$JN$79)</f>
        <v/>
      </c>
    </row>
    <row r="64" ht="22" customHeight="1">
      <c r="A64" s="51" t="inlineStr">
        <is>
          <t>📋  LANÇAMENTOS DIÁRIOS POR ASSESSOR (role para a direita)</t>
        </is>
      </c>
    </row>
    <row r="65" ht="20" customHeight="1">
      <c r="A65" s="52" t="inlineStr">
        <is>
          <t>Assessor</t>
        </is>
      </c>
      <c r="B65" s="18">
        <f>"Dia 1 — "&amp;IF(1&lt;=$Z$3,TEXT(DATE(Configurações!$B$3,9,1),"dd/mm")&amp;" ("&amp;CHOOSE(WEEKDAY(DATE(Configurações!$B$3,9,1)),"Dom","Seg","Ter","Qua","Qui","Sex","Sáb")&amp;")","—")</f>
        <v/>
      </c>
      <c r="K65" s="18">
        <f>"Dia 2 — "&amp;IF(2&lt;=$Z$3,TEXT(DATE(Configurações!$B$3,9,2),"dd/mm")&amp;" ("&amp;CHOOSE(WEEKDAY(DATE(Configurações!$B$3,9,2)),"Dom","Seg","Ter","Qua","Qui","Sex","Sáb")&amp;")","—")</f>
        <v/>
      </c>
      <c r="T65" s="18">
        <f>"Dia 3 — "&amp;IF(3&lt;=$Z$3,TEXT(DATE(Configurações!$B$3,9,3),"dd/mm")&amp;" ("&amp;CHOOSE(WEEKDAY(DATE(Configurações!$B$3,9,3)),"Dom","Seg","Ter","Qua","Qui","Sex","Sáb")&amp;")","—")</f>
        <v/>
      </c>
      <c r="AC65" s="18">
        <f>"Dia 4 — "&amp;IF(4&lt;=$Z$3,TEXT(DATE(Configurações!$B$3,9,4),"dd/mm")&amp;" ("&amp;CHOOSE(WEEKDAY(DATE(Configurações!$B$3,9,4)),"Dom","Seg","Ter","Qua","Qui","Sex","Sáb")&amp;")","—")</f>
        <v/>
      </c>
      <c r="AL65" s="18">
        <f>"Dia 5 — "&amp;IF(5&lt;=$Z$3,TEXT(DATE(Configurações!$B$3,9,5),"dd/mm")&amp;" ("&amp;CHOOSE(WEEKDAY(DATE(Configurações!$B$3,9,5)),"Dom","Seg","Ter","Qua","Qui","Sex","Sáb")&amp;")","—")</f>
        <v/>
      </c>
      <c r="AU65" s="18">
        <f>"Dia 6 — "&amp;IF(6&lt;=$Z$3,TEXT(DATE(Configurações!$B$3,9,6),"dd/mm")&amp;" ("&amp;CHOOSE(WEEKDAY(DATE(Configurações!$B$3,9,6)),"Dom","Seg","Ter","Qua","Qui","Sex","Sáb")&amp;")","—")</f>
        <v/>
      </c>
      <c r="BD65" s="18">
        <f>"Dia 7 — "&amp;IF(7&lt;=$Z$3,TEXT(DATE(Configurações!$B$3,9,7),"dd/mm")&amp;" ("&amp;CHOOSE(WEEKDAY(DATE(Configurações!$B$3,9,7)),"Dom","Seg","Ter","Qua","Qui","Sex","Sáb")&amp;")","—")</f>
        <v/>
      </c>
      <c r="BM65" s="18">
        <f>"Dia 8 — "&amp;IF(8&lt;=$Z$3,TEXT(DATE(Configurações!$B$3,9,8),"dd/mm")&amp;" ("&amp;CHOOSE(WEEKDAY(DATE(Configurações!$B$3,9,8)),"Dom","Seg","Ter","Qua","Qui","Sex","Sáb")&amp;")","—")</f>
        <v/>
      </c>
      <c r="BV65" s="18">
        <f>"Dia 9 — "&amp;IF(9&lt;=$Z$3,TEXT(DATE(Configurações!$B$3,9,9),"dd/mm")&amp;" ("&amp;CHOOSE(WEEKDAY(DATE(Configurações!$B$3,9,9)),"Dom","Seg","Ter","Qua","Qui","Sex","Sáb")&amp;")","—")</f>
        <v/>
      </c>
      <c r="CE65" s="18">
        <f>"Dia 10 — "&amp;IF(10&lt;=$Z$3,TEXT(DATE(Configurações!$B$3,9,10),"dd/mm")&amp;" ("&amp;CHOOSE(WEEKDAY(DATE(Configurações!$B$3,9,10)),"Dom","Seg","Ter","Qua","Qui","Sex","Sáb")&amp;")","—")</f>
        <v/>
      </c>
      <c r="CN65" s="18">
        <f>"Dia 11 — "&amp;IF(11&lt;=$Z$3,TEXT(DATE(Configurações!$B$3,9,11),"dd/mm")&amp;" ("&amp;CHOOSE(WEEKDAY(DATE(Configurações!$B$3,9,11)),"Dom","Seg","Ter","Qua","Qui","Sex","Sáb")&amp;")","—")</f>
        <v/>
      </c>
      <c r="CW65" s="18">
        <f>"Dia 12 — "&amp;IF(12&lt;=$Z$3,TEXT(DATE(Configurações!$B$3,9,12),"dd/mm")&amp;" ("&amp;CHOOSE(WEEKDAY(DATE(Configurações!$B$3,9,12)),"Dom","Seg","Ter","Qua","Qui","Sex","Sáb")&amp;")","—")</f>
        <v/>
      </c>
      <c r="DF65" s="18">
        <f>"Dia 13 — "&amp;IF(13&lt;=$Z$3,TEXT(DATE(Configurações!$B$3,9,13),"dd/mm")&amp;" ("&amp;CHOOSE(WEEKDAY(DATE(Configurações!$B$3,9,13)),"Dom","Seg","Ter","Qua","Qui","Sex","Sáb")&amp;")","—")</f>
        <v/>
      </c>
      <c r="DO65" s="18">
        <f>"Dia 14 — "&amp;IF(14&lt;=$Z$3,TEXT(DATE(Configurações!$B$3,9,14),"dd/mm")&amp;" ("&amp;CHOOSE(WEEKDAY(DATE(Configurações!$B$3,9,14)),"Dom","Seg","Ter","Qua","Qui","Sex","Sáb")&amp;")","—")</f>
        <v/>
      </c>
      <c r="DX65" s="18">
        <f>"Dia 15 — "&amp;IF(15&lt;=$Z$3,TEXT(DATE(Configurações!$B$3,9,15),"dd/mm")&amp;" ("&amp;CHOOSE(WEEKDAY(DATE(Configurações!$B$3,9,15)),"Dom","Seg","Ter","Qua","Qui","Sex","Sáb")&amp;")","—")</f>
        <v/>
      </c>
      <c r="EG65" s="18">
        <f>"Dia 16 — "&amp;IF(16&lt;=$Z$3,TEXT(DATE(Configurações!$B$3,9,16),"dd/mm")&amp;" ("&amp;CHOOSE(WEEKDAY(DATE(Configurações!$B$3,9,16)),"Dom","Seg","Ter","Qua","Qui","Sex","Sáb")&amp;")","—")</f>
        <v/>
      </c>
      <c r="EP65" s="18">
        <f>"Dia 17 — "&amp;IF(17&lt;=$Z$3,TEXT(DATE(Configurações!$B$3,9,17),"dd/mm")&amp;" ("&amp;CHOOSE(WEEKDAY(DATE(Configurações!$B$3,9,17)),"Dom","Seg","Ter","Qua","Qui","Sex","Sáb")&amp;")","—")</f>
        <v/>
      </c>
      <c r="EY65" s="18">
        <f>"Dia 18 — "&amp;IF(18&lt;=$Z$3,TEXT(DATE(Configurações!$B$3,9,18),"dd/mm")&amp;" ("&amp;CHOOSE(WEEKDAY(DATE(Configurações!$B$3,9,18)),"Dom","Seg","Ter","Qua","Qui","Sex","Sáb")&amp;")","—")</f>
        <v/>
      </c>
      <c r="FH65" s="18">
        <f>"Dia 19 — "&amp;IF(19&lt;=$Z$3,TEXT(DATE(Configurações!$B$3,9,19),"dd/mm")&amp;" ("&amp;CHOOSE(WEEKDAY(DATE(Configurações!$B$3,9,19)),"Dom","Seg","Ter","Qua","Qui","Sex","Sáb")&amp;")","—")</f>
        <v/>
      </c>
      <c r="FQ65" s="18">
        <f>"Dia 20 — "&amp;IF(20&lt;=$Z$3,TEXT(DATE(Configurações!$B$3,9,20),"dd/mm")&amp;" ("&amp;CHOOSE(WEEKDAY(DATE(Configurações!$B$3,9,20)),"Dom","Seg","Ter","Qua","Qui","Sex","Sáb")&amp;")","—")</f>
        <v/>
      </c>
      <c r="FZ65" s="18">
        <f>"Dia 21 — "&amp;IF(21&lt;=$Z$3,TEXT(DATE(Configurações!$B$3,9,21),"dd/mm")&amp;" ("&amp;CHOOSE(WEEKDAY(DATE(Configurações!$B$3,9,21)),"Dom","Seg","Ter","Qua","Qui","Sex","Sáb")&amp;")","—")</f>
        <v/>
      </c>
      <c r="GI65" s="18">
        <f>"Dia 22 — "&amp;IF(22&lt;=$Z$3,TEXT(DATE(Configurações!$B$3,9,22),"dd/mm")&amp;" ("&amp;CHOOSE(WEEKDAY(DATE(Configurações!$B$3,9,22)),"Dom","Seg","Ter","Qua","Qui","Sex","Sáb")&amp;")","—")</f>
        <v/>
      </c>
      <c r="GR65" s="18">
        <f>"Dia 23 — "&amp;IF(23&lt;=$Z$3,TEXT(DATE(Configurações!$B$3,9,23),"dd/mm")&amp;" ("&amp;CHOOSE(WEEKDAY(DATE(Configurações!$B$3,9,23)),"Dom","Seg","Ter","Qua","Qui","Sex","Sáb")&amp;")","—")</f>
        <v/>
      </c>
      <c r="HA65" s="18">
        <f>"Dia 24 — "&amp;IF(24&lt;=$Z$3,TEXT(DATE(Configurações!$B$3,9,24),"dd/mm")&amp;" ("&amp;CHOOSE(WEEKDAY(DATE(Configurações!$B$3,9,24)),"Dom","Seg","Ter","Qua","Qui","Sex","Sáb")&amp;")","—")</f>
        <v/>
      </c>
      <c r="HJ65" s="18">
        <f>"Dia 25 — "&amp;IF(25&lt;=$Z$3,TEXT(DATE(Configurações!$B$3,9,25),"dd/mm")&amp;" ("&amp;CHOOSE(WEEKDAY(DATE(Configurações!$B$3,9,25)),"Dom","Seg","Ter","Qua","Qui","Sex","Sáb")&amp;")","—")</f>
        <v/>
      </c>
      <c r="HS65" s="18">
        <f>"Dia 26 — "&amp;IF(26&lt;=$Z$3,TEXT(DATE(Configurações!$B$3,9,26),"dd/mm")&amp;" ("&amp;CHOOSE(WEEKDAY(DATE(Configurações!$B$3,9,26)),"Dom","Seg","Ter","Qua","Qui","Sex","Sáb")&amp;")","—")</f>
        <v/>
      </c>
      <c r="IB65" s="18">
        <f>"Dia 27 — "&amp;IF(27&lt;=$Z$3,TEXT(DATE(Configurações!$B$3,9,27),"dd/mm")&amp;" ("&amp;CHOOSE(WEEKDAY(DATE(Configurações!$B$3,9,27)),"Dom","Seg","Ter","Qua","Qui","Sex","Sáb")&amp;")","—")</f>
        <v/>
      </c>
      <c r="IK65" s="18">
        <f>"Dia 28 — "&amp;IF(28&lt;=$Z$3,TEXT(DATE(Configurações!$B$3,9,28),"dd/mm")&amp;" ("&amp;CHOOSE(WEEKDAY(DATE(Configurações!$B$3,9,28)),"Dom","Seg","Ter","Qua","Qui","Sex","Sáb")&amp;")","—")</f>
        <v/>
      </c>
      <c r="IT65" s="18">
        <f>"Dia 29 — "&amp;IF(29&lt;=$Z$3,TEXT(DATE(Configurações!$B$3,9,29),"dd/mm")&amp;" ("&amp;CHOOSE(WEEKDAY(DATE(Configurações!$B$3,9,29)),"Dom","Seg","Ter","Qua","Qui","Sex","Sáb")&amp;")","—")</f>
        <v/>
      </c>
      <c r="JC65" s="18">
        <f>"Dia 30 — "&amp;IF(30&lt;=$Z$3,TEXT(DATE(Configurações!$B$3,9,30),"dd/mm")&amp;" ("&amp;CHOOSE(WEEKDAY(DATE(Configurações!$B$3,9,30)),"Dom","Seg","Ter","Qua","Qui","Sex","Sáb")&amp;")","—")</f>
        <v/>
      </c>
      <c r="JL65" s="18">
        <f>"Dia 31 — "&amp;IF(31&lt;=$Z$3,TEXT(DATE(Configurações!$B$3,9,31),"dd/mm")&amp;" ("&amp;CHOOSE(WEEKDAY(DATE(Configurações!$B$3,9,31)),"Dom","Seg","Ter","Qua","Qui","Sex","Sáb")&amp;")","—")</f>
        <v/>
      </c>
      <c r="JU65" s="53" t="inlineStr">
        <is>
          <t>Produção Total (Mês)</t>
        </is>
      </c>
      <c r="JV65" s="53" t="inlineStr">
        <is>
          <t>Captação Líquida (Mês)</t>
        </is>
      </c>
      <c r="JW65" s="53" t="inlineStr">
        <is>
          <t>Saldo Pulso Atual</t>
        </is>
      </c>
      <c r="JX65" s="53" t="inlineStr">
        <is>
          <t>Média Diária</t>
        </is>
      </c>
      <c r="JY65" s="53" t="inlineStr">
        <is>
          <t>Meta Mensal</t>
        </is>
      </c>
      <c r="JZ65" s="53" t="inlineStr">
        <is>
          <t>Status Meta</t>
        </is>
      </c>
      <c r="KA65" s="53" t="inlineStr"/>
    </row>
    <row r="66" ht="26" customHeight="1">
      <c r="B66" s="54" t="inlineStr">
        <is>
          <t>Saldo Pulso</t>
        </is>
      </c>
      <c r="C66" s="54" t="inlineStr">
        <is>
          <t>Saldo Anterior</t>
        </is>
      </c>
      <c r="D66" s="54" t="inlineStr">
        <is>
          <t>Captação Líq.</t>
        </is>
      </c>
      <c r="E66" s="54" t="inlineStr">
        <is>
          <t>COE</t>
        </is>
      </c>
      <c r="F66" s="54" t="inlineStr">
        <is>
          <t>Previdência</t>
        </is>
      </c>
      <c r="G66" s="54" t="inlineStr">
        <is>
          <t>Créd. Privado</t>
        </is>
      </c>
      <c r="H66" s="54" t="inlineStr">
        <is>
          <t>Tít. Públicos</t>
        </is>
      </c>
      <c r="I66" s="54" t="inlineStr">
        <is>
          <t>Produção Tot.</t>
        </is>
      </c>
      <c r="J66" s="54" t="inlineStr">
        <is>
          <t>Obs.</t>
        </is>
      </c>
      <c r="K66" s="54" t="inlineStr">
        <is>
          <t>Saldo Pulso</t>
        </is>
      </c>
      <c r="L66" s="54" t="inlineStr">
        <is>
          <t>Saldo Anterior</t>
        </is>
      </c>
      <c r="M66" s="54" t="inlineStr">
        <is>
          <t>Captação Líq.</t>
        </is>
      </c>
      <c r="N66" s="54" t="inlineStr">
        <is>
          <t>COE</t>
        </is>
      </c>
      <c r="O66" s="54" t="inlineStr">
        <is>
          <t>Previdência</t>
        </is>
      </c>
      <c r="P66" s="54" t="inlineStr">
        <is>
          <t>Créd. Privado</t>
        </is>
      </c>
      <c r="Q66" s="54" t="inlineStr">
        <is>
          <t>Tít. Públicos</t>
        </is>
      </c>
      <c r="R66" s="54" t="inlineStr">
        <is>
          <t>Produção Tot.</t>
        </is>
      </c>
      <c r="S66" s="54" t="inlineStr">
        <is>
          <t>Obs.</t>
        </is>
      </c>
      <c r="T66" s="54" t="inlineStr">
        <is>
          <t>Saldo Pulso</t>
        </is>
      </c>
      <c r="U66" s="54" t="inlineStr">
        <is>
          <t>Saldo Anterior</t>
        </is>
      </c>
      <c r="V66" s="54" t="inlineStr">
        <is>
          <t>Captação Líq.</t>
        </is>
      </c>
      <c r="W66" s="54" t="inlineStr">
        <is>
          <t>COE</t>
        </is>
      </c>
      <c r="X66" s="54" t="inlineStr">
        <is>
          <t>Previdência</t>
        </is>
      </c>
      <c r="Y66" s="54" t="inlineStr">
        <is>
          <t>Créd. Privado</t>
        </is>
      </c>
      <c r="Z66" s="54" t="inlineStr">
        <is>
          <t>Tít. Públicos</t>
        </is>
      </c>
      <c r="AA66" s="54" t="inlineStr">
        <is>
          <t>Produção Tot.</t>
        </is>
      </c>
      <c r="AB66" s="54" t="inlineStr">
        <is>
          <t>Obs.</t>
        </is>
      </c>
      <c r="AC66" s="54" t="inlineStr">
        <is>
          <t>Saldo Pulso</t>
        </is>
      </c>
      <c r="AD66" s="54" t="inlineStr">
        <is>
          <t>Saldo Anterior</t>
        </is>
      </c>
      <c r="AE66" s="54" t="inlineStr">
        <is>
          <t>Captação Líq.</t>
        </is>
      </c>
      <c r="AF66" s="54" t="inlineStr">
        <is>
          <t>COE</t>
        </is>
      </c>
      <c r="AG66" s="54" t="inlineStr">
        <is>
          <t>Previdência</t>
        </is>
      </c>
      <c r="AH66" s="54" t="inlineStr">
        <is>
          <t>Créd. Privado</t>
        </is>
      </c>
      <c r="AI66" s="54" t="inlineStr">
        <is>
          <t>Tít. Públicos</t>
        </is>
      </c>
      <c r="AJ66" s="54" t="inlineStr">
        <is>
          <t>Produção Tot.</t>
        </is>
      </c>
      <c r="AK66" s="54" t="inlineStr">
        <is>
          <t>Obs.</t>
        </is>
      </c>
      <c r="AL66" s="54" t="inlineStr">
        <is>
          <t>Saldo Pulso</t>
        </is>
      </c>
      <c r="AM66" s="54" t="inlineStr">
        <is>
          <t>Saldo Anterior</t>
        </is>
      </c>
      <c r="AN66" s="54" t="inlineStr">
        <is>
          <t>Captação Líq.</t>
        </is>
      </c>
      <c r="AO66" s="54" t="inlineStr">
        <is>
          <t>COE</t>
        </is>
      </c>
      <c r="AP66" s="54" t="inlineStr">
        <is>
          <t>Previdência</t>
        </is>
      </c>
      <c r="AQ66" s="54" t="inlineStr">
        <is>
          <t>Créd. Privado</t>
        </is>
      </c>
      <c r="AR66" s="54" t="inlineStr">
        <is>
          <t>Tít. Públicos</t>
        </is>
      </c>
      <c r="AS66" s="54" t="inlineStr">
        <is>
          <t>Produção Tot.</t>
        </is>
      </c>
      <c r="AT66" s="54" t="inlineStr">
        <is>
          <t>Obs.</t>
        </is>
      </c>
      <c r="AU66" s="54" t="inlineStr">
        <is>
          <t>Saldo Pulso</t>
        </is>
      </c>
      <c r="AV66" s="54" t="inlineStr">
        <is>
          <t>Saldo Anterior</t>
        </is>
      </c>
      <c r="AW66" s="54" t="inlineStr">
        <is>
          <t>Captação Líq.</t>
        </is>
      </c>
      <c r="AX66" s="54" t="inlineStr">
        <is>
          <t>COE</t>
        </is>
      </c>
      <c r="AY66" s="54" t="inlineStr">
        <is>
          <t>Previdência</t>
        </is>
      </c>
      <c r="AZ66" s="54" t="inlineStr">
        <is>
          <t>Créd. Privado</t>
        </is>
      </c>
      <c r="BA66" s="54" t="inlineStr">
        <is>
          <t>Tít. Públicos</t>
        </is>
      </c>
      <c r="BB66" s="54" t="inlineStr">
        <is>
          <t>Produção Tot.</t>
        </is>
      </c>
      <c r="BC66" s="54" t="inlineStr">
        <is>
          <t>Obs.</t>
        </is>
      </c>
      <c r="BD66" s="54" t="inlineStr">
        <is>
          <t>Saldo Pulso</t>
        </is>
      </c>
      <c r="BE66" s="54" t="inlineStr">
        <is>
          <t>Saldo Anterior</t>
        </is>
      </c>
      <c r="BF66" s="54" t="inlineStr">
        <is>
          <t>Captação Líq.</t>
        </is>
      </c>
      <c r="BG66" s="54" t="inlineStr">
        <is>
          <t>COE</t>
        </is>
      </c>
      <c r="BH66" s="54" t="inlineStr">
        <is>
          <t>Previdência</t>
        </is>
      </c>
      <c r="BI66" s="54" t="inlineStr">
        <is>
          <t>Créd. Privado</t>
        </is>
      </c>
      <c r="BJ66" s="54" t="inlineStr">
        <is>
          <t>Tít. Públicos</t>
        </is>
      </c>
      <c r="BK66" s="54" t="inlineStr">
        <is>
          <t>Produção Tot.</t>
        </is>
      </c>
      <c r="BL66" s="54" t="inlineStr">
        <is>
          <t>Obs.</t>
        </is>
      </c>
      <c r="BM66" s="54" t="inlineStr">
        <is>
          <t>Saldo Pulso</t>
        </is>
      </c>
      <c r="BN66" s="54" t="inlineStr">
        <is>
          <t>Saldo Anterior</t>
        </is>
      </c>
      <c r="BO66" s="54" t="inlineStr">
        <is>
          <t>Captação Líq.</t>
        </is>
      </c>
      <c r="BP66" s="54" t="inlineStr">
        <is>
          <t>COE</t>
        </is>
      </c>
      <c r="BQ66" s="54" t="inlineStr">
        <is>
          <t>Previdência</t>
        </is>
      </c>
      <c r="BR66" s="54" t="inlineStr">
        <is>
          <t>Créd. Privado</t>
        </is>
      </c>
      <c r="BS66" s="54" t="inlineStr">
        <is>
          <t>Tít. Públicos</t>
        </is>
      </c>
      <c r="BT66" s="54" t="inlineStr">
        <is>
          <t>Produção Tot.</t>
        </is>
      </c>
      <c r="BU66" s="54" t="inlineStr">
        <is>
          <t>Obs.</t>
        </is>
      </c>
      <c r="BV66" s="54" t="inlineStr">
        <is>
          <t>Saldo Pulso</t>
        </is>
      </c>
      <c r="BW66" s="54" t="inlineStr">
        <is>
          <t>Saldo Anterior</t>
        </is>
      </c>
      <c r="BX66" s="54" t="inlineStr">
        <is>
          <t>Captação Líq.</t>
        </is>
      </c>
      <c r="BY66" s="54" t="inlineStr">
        <is>
          <t>COE</t>
        </is>
      </c>
      <c r="BZ66" s="54" t="inlineStr">
        <is>
          <t>Previdência</t>
        </is>
      </c>
      <c r="CA66" s="54" t="inlineStr">
        <is>
          <t>Créd. Privado</t>
        </is>
      </c>
      <c r="CB66" s="54" t="inlineStr">
        <is>
          <t>Tít. Públicos</t>
        </is>
      </c>
      <c r="CC66" s="54" t="inlineStr">
        <is>
          <t>Produção Tot.</t>
        </is>
      </c>
      <c r="CD66" s="54" t="inlineStr">
        <is>
          <t>Obs.</t>
        </is>
      </c>
      <c r="CE66" s="54" t="inlineStr">
        <is>
          <t>Saldo Pulso</t>
        </is>
      </c>
      <c r="CF66" s="54" t="inlineStr">
        <is>
          <t>Saldo Anterior</t>
        </is>
      </c>
      <c r="CG66" s="54" t="inlineStr">
        <is>
          <t>Captação Líq.</t>
        </is>
      </c>
      <c r="CH66" s="54" t="inlineStr">
        <is>
          <t>COE</t>
        </is>
      </c>
      <c r="CI66" s="54" t="inlineStr">
        <is>
          <t>Previdência</t>
        </is>
      </c>
      <c r="CJ66" s="54" t="inlineStr">
        <is>
          <t>Créd. Privado</t>
        </is>
      </c>
      <c r="CK66" s="54" t="inlineStr">
        <is>
          <t>Tít. Públicos</t>
        </is>
      </c>
      <c r="CL66" s="54" t="inlineStr">
        <is>
          <t>Produção Tot.</t>
        </is>
      </c>
      <c r="CM66" s="54" t="inlineStr">
        <is>
          <t>Obs.</t>
        </is>
      </c>
      <c r="CN66" s="54" t="inlineStr">
        <is>
          <t>Saldo Pulso</t>
        </is>
      </c>
      <c r="CO66" s="54" t="inlineStr">
        <is>
          <t>Saldo Anterior</t>
        </is>
      </c>
      <c r="CP66" s="54" t="inlineStr">
        <is>
          <t>Captação Líq.</t>
        </is>
      </c>
      <c r="CQ66" s="54" t="inlineStr">
        <is>
          <t>COE</t>
        </is>
      </c>
      <c r="CR66" s="54" t="inlineStr">
        <is>
          <t>Previdência</t>
        </is>
      </c>
      <c r="CS66" s="54" t="inlineStr">
        <is>
          <t>Créd. Privado</t>
        </is>
      </c>
      <c r="CT66" s="54" t="inlineStr">
        <is>
          <t>Tít. Públicos</t>
        </is>
      </c>
      <c r="CU66" s="54" t="inlineStr">
        <is>
          <t>Produção Tot.</t>
        </is>
      </c>
      <c r="CV66" s="54" t="inlineStr">
        <is>
          <t>Obs.</t>
        </is>
      </c>
      <c r="CW66" s="54" t="inlineStr">
        <is>
          <t>Saldo Pulso</t>
        </is>
      </c>
      <c r="CX66" s="54" t="inlineStr">
        <is>
          <t>Saldo Anterior</t>
        </is>
      </c>
      <c r="CY66" s="54" t="inlineStr">
        <is>
          <t>Captação Líq.</t>
        </is>
      </c>
      <c r="CZ66" s="54" t="inlineStr">
        <is>
          <t>COE</t>
        </is>
      </c>
      <c r="DA66" s="54" t="inlineStr">
        <is>
          <t>Previdência</t>
        </is>
      </c>
      <c r="DB66" s="54" t="inlineStr">
        <is>
          <t>Créd. Privado</t>
        </is>
      </c>
      <c r="DC66" s="54" t="inlineStr">
        <is>
          <t>Tít. Públicos</t>
        </is>
      </c>
      <c r="DD66" s="54" t="inlineStr">
        <is>
          <t>Produção Tot.</t>
        </is>
      </c>
      <c r="DE66" s="54" t="inlineStr">
        <is>
          <t>Obs.</t>
        </is>
      </c>
      <c r="DF66" s="54" t="inlineStr">
        <is>
          <t>Saldo Pulso</t>
        </is>
      </c>
      <c r="DG66" s="54" t="inlineStr">
        <is>
          <t>Saldo Anterior</t>
        </is>
      </c>
      <c r="DH66" s="54" t="inlineStr">
        <is>
          <t>Captação Líq.</t>
        </is>
      </c>
      <c r="DI66" s="54" t="inlineStr">
        <is>
          <t>COE</t>
        </is>
      </c>
      <c r="DJ66" s="54" t="inlineStr">
        <is>
          <t>Previdência</t>
        </is>
      </c>
      <c r="DK66" s="54" t="inlineStr">
        <is>
          <t>Créd. Privado</t>
        </is>
      </c>
      <c r="DL66" s="54" t="inlineStr">
        <is>
          <t>Tít. Públicos</t>
        </is>
      </c>
      <c r="DM66" s="54" t="inlineStr">
        <is>
          <t>Produção Tot.</t>
        </is>
      </c>
      <c r="DN66" s="54" t="inlineStr">
        <is>
          <t>Obs.</t>
        </is>
      </c>
      <c r="DO66" s="54" t="inlineStr">
        <is>
          <t>Saldo Pulso</t>
        </is>
      </c>
      <c r="DP66" s="54" t="inlineStr">
        <is>
          <t>Saldo Anterior</t>
        </is>
      </c>
      <c r="DQ66" s="54" t="inlineStr">
        <is>
          <t>Captação Líq.</t>
        </is>
      </c>
      <c r="DR66" s="54" t="inlineStr">
        <is>
          <t>COE</t>
        </is>
      </c>
      <c r="DS66" s="54" t="inlineStr">
        <is>
          <t>Previdência</t>
        </is>
      </c>
      <c r="DT66" s="54" t="inlineStr">
        <is>
          <t>Créd. Privado</t>
        </is>
      </c>
      <c r="DU66" s="54" t="inlineStr">
        <is>
          <t>Tít. Públicos</t>
        </is>
      </c>
      <c r="DV66" s="54" t="inlineStr">
        <is>
          <t>Produção Tot.</t>
        </is>
      </c>
      <c r="DW66" s="54" t="inlineStr">
        <is>
          <t>Obs.</t>
        </is>
      </c>
      <c r="DX66" s="54" t="inlineStr">
        <is>
          <t>Saldo Pulso</t>
        </is>
      </c>
      <c r="DY66" s="54" t="inlineStr">
        <is>
          <t>Saldo Anterior</t>
        </is>
      </c>
      <c r="DZ66" s="54" t="inlineStr">
        <is>
          <t>Captação Líq.</t>
        </is>
      </c>
      <c r="EA66" s="54" t="inlineStr">
        <is>
          <t>COE</t>
        </is>
      </c>
      <c r="EB66" s="54" t="inlineStr">
        <is>
          <t>Previdência</t>
        </is>
      </c>
      <c r="EC66" s="54" t="inlineStr">
        <is>
          <t>Créd. Privado</t>
        </is>
      </c>
      <c r="ED66" s="54" t="inlineStr">
        <is>
          <t>Tít. Públicos</t>
        </is>
      </c>
      <c r="EE66" s="54" t="inlineStr">
        <is>
          <t>Produção Tot.</t>
        </is>
      </c>
      <c r="EF66" s="54" t="inlineStr">
        <is>
          <t>Obs.</t>
        </is>
      </c>
      <c r="EG66" s="54" t="inlineStr">
        <is>
          <t>Saldo Pulso</t>
        </is>
      </c>
      <c r="EH66" s="54" t="inlineStr">
        <is>
          <t>Saldo Anterior</t>
        </is>
      </c>
      <c r="EI66" s="54" t="inlineStr">
        <is>
          <t>Captação Líq.</t>
        </is>
      </c>
      <c r="EJ66" s="54" t="inlineStr">
        <is>
          <t>COE</t>
        </is>
      </c>
      <c r="EK66" s="54" t="inlineStr">
        <is>
          <t>Previdência</t>
        </is>
      </c>
      <c r="EL66" s="54" t="inlineStr">
        <is>
          <t>Créd. Privado</t>
        </is>
      </c>
      <c r="EM66" s="54" t="inlineStr">
        <is>
          <t>Tít. Públicos</t>
        </is>
      </c>
      <c r="EN66" s="54" t="inlineStr">
        <is>
          <t>Produção Tot.</t>
        </is>
      </c>
      <c r="EO66" s="54" t="inlineStr">
        <is>
          <t>Obs.</t>
        </is>
      </c>
      <c r="EP66" s="54" t="inlineStr">
        <is>
          <t>Saldo Pulso</t>
        </is>
      </c>
      <c r="EQ66" s="54" t="inlineStr">
        <is>
          <t>Saldo Anterior</t>
        </is>
      </c>
      <c r="ER66" s="54" t="inlineStr">
        <is>
          <t>Captação Líq.</t>
        </is>
      </c>
      <c r="ES66" s="54" t="inlineStr">
        <is>
          <t>COE</t>
        </is>
      </c>
      <c r="ET66" s="54" t="inlineStr">
        <is>
          <t>Previdência</t>
        </is>
      </c>
      <c r="EU66" s="54" t="inlineStr">
        <is>
          <t>Créd. Privado</t>
        </is>
      </c>
      <c r="EV66" s="54" t="inlineStr">
        <is>
          <t>Tít. Públicos</t>
        </is>
      </c>
      <c r="EW66" s="54" t="inlineStr">
        <is>
          <t>Produção Tot.</t>
        </is>
      </c>
      <c r="EX66" s="54" t="inlineStr">
        <is>
          <t>Obs.</t>
        </is>
      </c>
      <c r="EY66" s="54" t="inlineStr">
        <is>
          <t>Saldo Pulso</t>
        </is>
      </c>
      <c r="EZ66" s="54" t="inlineStr">
        <is>
          <t>Saldo Anterior</t>
        </is>
      </c>
      <c r="FA66" s="54" t="inlineStr">
        <is>
          <t>Captação Líq.</t>
        </is>
      </c>
      <c r="FB66" s="54" t="inlineStr">
        <is>
          <t>COE</t>
        </is>
      </c>
      <c r="FC66" s="54" t="inlineStr">
        <is>
          <t>Previdência</t>
        </is>
      </c>
      <c r="FD66" s="54" t="inlineStr">
        <is>
          <t>Créd. Privado</t>
        </is>
      </c>
      <c r="FE66" s="54" t="inlineStr">
        <is>
          <t>Tít. Públicos</t>
        </is>
      </c>
      <c r="FF66" s="54" t="inlineStr">
        <is>
          <t>Produção Tot.</t>
        </is>
      </c>
      <c r="FG66" s="54" t="inlineStr">
        <is>
          <t>Obs.</t>
        </is>
      </c>
      <c r="FH66" s="54" t="inlineStr">
        <is>
          <t>Saldo Pulso</t>
        </is>
      </c>
      <c r="FI66" s="54" t="inlineStr">
        <is>
          <t>Saldo Anterior</t>
        </is>
      </c>
      <c r="FJ66" s="54" t="inlineStr">
        <is>
          <t>Captação Líq.</t>
        </is>
      </c>
      <c r="FK66" s="54" t="inlineStr">
        <is>
          <t>COE</t>
        </is>
      </c>
      <c r="FL66" s="54" t="inlineStr">
        <is>
          <t>Previdência</t>
        </is>
      </c>
      <c r="FM66" s="54" t="inlineStr">
        <is>
          <t>Créd. Privado</t>
        </is>
      </c>
      <c r="FN66" s="54" t="inlineStr">
        <is>
          <t>Tít. Públicos</t>
        </is>
      </c>
      <c r="FO66" s="54" t="inlineStr">
        <is>
          <t>Produção Tot.</t>
        </is>
      </c>
      <c r="FP66" s="54" t="inlineStr">
        <is>
          <t>Obs.</t>
        </is>
      </c>
      <c r="FQ66" s="54" t="inlineStr">
        <is>
          <t>Saldo Pulso</t>
        </is>
      </c>
      <c r="FR66" s="54" t="inlineStr">
        <is>
          <t>Saldo Anterior</t>
        </is>
      </c>
      <c r="FS66" s="54" t="inlineStr">
        <is>
          <t>Captação Líq.</t>
        </is>
      </c>
      <c r="FT66" s="54" t="inlineStr">
        <is>
          <t>COE</t>
        </is>
      </c>
      <c r="FU66" s="54" t="inlineStr">
        <is>
          <t>Previdência</t>
        </is>
      </c>
      <c r="FV66" s="54" t="inlineStr">
        <is>
          <t>Créd. Privado</t>
        </is>
      </c>
      <c r="FW66" s="54" t="inlineStr">
        <is>
          <t>Tít. Públicos</t>
        </is>
      </c>
      <c r="FX66" s="54" t="inlineStr">
        <is>
          <t>Produção Tot.</t>
        </is>
      </c>
      <c r="FY66" s="54" t="inlineStr">
        <is>
          <t>Obs.</t>
        </is>
      </c>
      <c r="FZ66" s="54" t="inlineStr">
        <is>
          <t>Saldo Pulso</t>
        </is>
      </c>
      <c r="GA66" s="54" t="inlineStr">
        <is>
          <t>Saldo Anterior</t>
        </is>
      </c>
      <c r="GB66" s="54" t="inlineStr">
        <is>
          <t>Captação Líq.</t>
        </is>
      </c>
      <c r="GC66" s="54" t="inlineStr">
        <is>
          <t>COE</t>
        </is>
      </c>
      <c r="GD66" s="54" t="inlineStr">
        <is>
          <t>Previdência</t>
        </is>
      </c>
      <c r="GE66" s="54" t="inlineStr">
        <is>
          <t>Créd. Privado</t>
        </is>
      </c>
      <c r="GF66" s="54" t="inlineStr">
        <is>
          <t>Tít. Públicos</t>
        </is>
      </c>
      <c r="GG66" s="54" t="inlineStr">
        <is>
          <t>Produção Tot.</t>
        </is>
      </c>
      <c r="GH66" s="54" t="inlineStr">
        <is>
          <t>Obs.</t>
        </is>
      </c>
      <c r="GI66" s="54" t="inlineStr">
        <is>
          <t>Saldo Pulso</t>
        </is>
      </c>
      <c r="GJ66" s="54" t="inlineStr">
        <is>
          <t>Saldo Anterior</t>
        </is>
      </c>
      <c r="GK66" s="54" t="inlineStr">
        <is>
          <t>Captação Líq.</t>
        </is>
      </c>
      <c r="GL66" s="54" t="inlineStr">
        <is>
          <t>COE</t>
        </is>
      </c>
      <c r="GM66" s="54" t="inlineStr">
        <is>
          <t>Previdência</t>
        </is>
      </c>
      <c r="GN66" s="54" t="inlineStr">
        <is>
          <t>Créd. Privado</t>
        </is>
      </c>
      <c r="GO66" s="54" t="inlineStr">
        <is>
          <t>Tít. Públicos</t>
        </is>
      </c>
      <c r="GP66" s="54" t="inlineStr">
        <is>
          <t>Produção Tot.</t>
        </is>
      </c>
      <c r="GQ66" s="54" t="inlineStr">
        <is>
          <t>Obs.</t>
        </is>
      </c>
      <c r="GR66" s="54" t="inlineStr">
        <is>
          <t>Saldo Pulso</t>
        </is>
      </c>
      <c r="GS66" s="54" t="inlineStr">
        <is>
          <t>Saldo Anterior</t>
        </is>
      </c>
      <c r="GT66" s="54" t="inlineStr">
        <is>
          <t>Captação Líq.</t>
        </is>
      </c>
      <c r="GU66" s="54" t="inlineStr">
        <is>
          <t>COE</t>
        </is>
      </c>
      <c r="GV66" s="54" t="inlineStr">
        <is>
          <t>Previdência</t>
        </is>
      </c>
      <c r="GW66" s="54" t="inlineStr">
        <is>
          <t>Créd. Privado</t>
        </is>
      </c>
      <c r="GX66" s="54" t="inlineStr">
        <is>
          <t>Tít. Públicos</t>
        </is>
      </c>
      <c r="GY66" s="54" t="inlineStr">
        <is>
          <t>Produção Tot.</t>
        </is>
      </c>
      <c r="GZ66" s="54" t="inlineStr">
        <is>
          <t>Obs.</t>
        </is>
      </c>
      <c r="HA66" s="54" t="inlineStr">
        <is>
          <t>Saldo Pulso</t>
        </is>
      </c>
      <c r="HB66" s="54" t="inlineStr">
        <is>
          <t>Saldo Anterior</t>
        </is>
      </c>
      <c r="HC66" s="54" t="inlineStr">
        <is>
          <t>Captação Líq.</t>
        </is>
      </c>
      <c r="HD66" s="54" t="inlineStr">
        <is>
          <t>COE</t>
        </is>
      </c>
      <c r="HE66" s="54" t="inlineStr">
        <is>
          <t>Previdência</t>
        </is>
      </c>
      <c r="HF66" s="54" t="inlineStr">
        <is>
          <t>Créd. Privado</t>
        </is>
      </c>
      <c r="HG66" s="54" t="inlineStr">
        <is>
          <t>Tít. Públicos</t>
        </is>
      </c>
      <c r="HH66" s="54" t="inlineStr">
        <is>
          <t>Produção Tot.</t>
        </is>
      </c>
      <c r="HI66" s="54" t="inlineStr">
        <is>
          <t>Obs.</t>
        </is>
      </c>
      <c r="HJ66" s="54" t="inlineStr">
        <is>
          <t>Saldo Pulso</t>
        </is>
      </c>
      <c r="HK66" s="54" t="inlineStr">
        <is>
          <t>Saldo Anterior</t>
        </is>
      </c>
      <c r="HL66" s="54" t="inlineStr">
        <is>
          <t>Captação Líq.</t>
        </is>
      </c>
      <c r="HM66" s="54" t="inlineStr">
        <is>
          <t>COE</t>
        </is>
      </c>
      <c r="HN66" s="54" t="inlineStr">
        <is>
          <t>Previdência</t>
        </is>
      </c>
      <c r="HO66" s="54" t="inlineStr">
        <is>
          <t>Créd. Privado</t>
        </is>
      </c>
      <c r="HP66" s="54" t="inlineStr">
        <is>
          <t>Tít. Públicos</t>
        </is>
      </c>
      <c r="HQ66" s="54" t="inlineStr">
        <is>
          <t>Produção Tot.</t>
        </is>
      </c>
      <c r="HR66" s="54" t="inlineStr">
        <is>
          <t>Obs.</t>
        </is>
      </c>
      <c r="HS66" s="54" t="inlineStr">
        <is>
          <t>Saldo Pulso</t>
        </is>
      </c>
      <c r="HT66" s="54" t="inlineStr">
        <is>
          <t>Saldo Anterior</t>
        </is>
      </c>
      <c r="HU66" s="54" t="inlineStr">
        <is>
          <t>Captação Líq.</t>
        </is>
      </c>
      <c r="HV66" s="54" t="inlineStr">
        <is>
          <t>COE</t>
        </is>
      </c>
      <c r="HW66" s="54" t="inlineStr">
        <is>
          <t>Previdência</t>
        </is>
      </c>
      <c r="HX66" s="54" t="inlineStr">
        <is>
          <t>Créd. Privado</t>
        </is>
      </c>
      <c r="HY66" s="54" t="inlineStr">
        <is>
          <t>Tít. Públicos</t>
        </is>
      </c>
      <c r="HZ66" s="54" t="inlineStr">
        <is>
          <t>Produção Tot.</t>
        </is>
      </c>
      <c r="IA66" s="54" t="inlineStr">
        <is>
          <t>Obs.</t>
        </is>
      </c>
      <c r="IB66" s="54" t="inlineStr">
        <is>
          <t>Saldo Pulso</t>
        </is>
      </c>
      <c r="IC66" s="54" t="inlineStr">
        <is>
          <t>Saldo Anterior</t>
        </is>
      </c>
      <c r="ID66" s="54" t="inlineStr">
        <is>
          <t>Captação Líq.</t>
        </is>
      </c>
      <c r="IE66" s="54" t="inlineStr">
        <is>
          <t>COE</t>
        </is>
      </c>
      <c r="IF66" s="54" t="inlineStr">
        <is>
          <t>Previdência</t>
        </is>
      </c>
      <c r="IG66" s="54" t="inlineStr">
        <is>
          <t>Créd. Privado</t>
        </is>
      </c>
      <c r="IH66" s="54" t="inlineStr">
        <is>
          <t>Tít. Públicos</t>
        </is>
      </c>
      <c r="II66" s="54" t="inlineStr">
        <is>
          <t>Produção Tot.</t>
        </is>
      </c>
      <c r="IJ66" s="54" t="inlineStr">
        <is>
          <t>Obs.</t>
        </is>
      </c>
      <c r="IK66" s="54" t="inlineStr">
        <is>
          <t>Saldo Pulso</t>
        </is>
      </c>
      <c r="IL66" s="54" t="inlineStr">
        <is>
          <t>Saldo Anterior</t>
        </is>
      </c>
      <c r="IM66" s="54" t="inlineStr">
        <is>
          <t>Captação Líq.</t>
        </is>
      </c>
      <c r="IN66" s="54" t="inlineStr">
        <is>
          <t>COE</t>
        </is>
      </c>
      <c r="IO66" s="54" t="inlineStr">
        <is>
          <t>Previdência</t>
        </is>
      </c>
      <c r="IP66" s="54" t="inlineStr">
        <is>
          <t>Créd. Privado</t>
        </is>
      </c>
      <c r="IQ66" s="54" t="inlineStr">
        <is>
          <t>Tít. Públicos</t>
        </is>
      </c>
      <c r="IR66" s="54" t="inlineStr">
        <is>
          <t>Produção Tot.</t>
        </is>
      </c>
      <c r="IS66" s="54" t="inlineStr">
        <is>
          <t>Obs.</t>
        </is>
      </c>
      <c r="IT66" s="54" t="inlineStr">
        <is>
          <t>Saldo Pulso</t>
        </is>
      </c>
      <c r="IU66" s="54" t="inlineStr">
        <is>
          <t>Saldo Anterior</t>
        </is>
      </c>
      <c r="IV66" s="54" t="inlineStr">
        <is>
          <t>Captação Líq.</t>
        </is>
      </c>
      <c r="IW66" s="54" t="inlineStr">
        <is>
          <t>COE</t>
        </is>
      </c>
      <c r="IX66" s="54" t="inlineStr">
        <is>
          <t>Previdência</t>
        </is>
      </c>
      <c r="IY66" s="54" t="inlineStr">
        <is>
          <t>Créd. Privado</t>
        </is>
      </c>
      <c r="IZ66" s="54" t="inlineStr">
        <is>
          <t>Tít. Públicos</t>
        </is>
      </c>
      <c r="JA66" s="54" t="inlineStr">
        <is>
          <t>Produção Tot.</t>
        </is>
      </c>
      <c r="JB66" s="54" t="inlineStr">
        <is>
          <t>Obs.</t>
        </is>
      </c>
      <c r="JC66" s="54" t="inlineStr">
        <is>
          <t>Saldo Pulso</t>
        </is>
      </c>
      <c r="JD66" s="54" t="inlineStr">
        <is>
          <t>Saldo Anterior</t>
        </is>
      </c>
      <c r="JE66" s="54" t="inlineStr">
        <is>
          <t>Captação Líq.</t>
        </is>
      </c>
      <c r="JF66" s="54" t="inlineStr">
        <is>
          <t>COE</t>
        </is>
      </c>
      <c r="JG66" s="54" t="inlineStr">
        <is>
          <t>Previdência</t>
        </is>
      </c>
      <c r="JH66" s="54" t="inlineStr">
        <is>
          <t>Créd. Privado</t>
        </is>
      </c>
      <c r="JI66" s="54" t="inlineStr">
        <is>
          <t>Tít. Públicos</t>
        </is>
      </c>
      <c r="JJ66" s="54" t="inlineStr">
        <is>
          <t>Produção Tot.</t>
        </is>
      </c>
      <c r="JK66" s="54" t="inlineStr">
        <is>
          <t>Obs.</t>
        </is>
      </c>
      <c r="JL66" s="54" t="inlineStr">
        <is>
          <t>Saldo Pulso</t>
        </is>
      </c>
      <c r="JM66" s="54" t="inlineStr">
        <is>
          <t>Saldo Anterior</t>
        </is>
      </c>
      <c r="JN66" s="54" t="inlineStr">
        <is>
          <t>Captação Líq.</t>
        </is>
      </c>
      <c r="JO66" s="54" t="inlineStr">
        <is>
          <t>COE</t>
        </is>
      </c>
      <c r="JP66" s="54" t="inlineStr">
        <is>
          <t>Previdência</t>
        </is>
      </c>
      <c r="JQ66" s="54" t="inlineStr">
        <is>
          <t>Créd. Privado</t>
        </is>
      </c>
      <c r="JR66" s="54" t="inlineStr">
        <is>
          <t>Tít. Públicos</t>
        </is>
      </c>
      <c r="JS66" s="54" t="inlineStr">
        <is>
          <t>Produção Tot.</t>
        </is>
      </c>
      <c r="JT66" s="54" t="inlineStr">
        <is>
          <t>Obs.</t>
        </is>
      </c>
      <c r="JU66" s="55" t="n"/>
      <c r="JV66" s="55" t="n"/>
      <c r="JW66" s="55" t="n"/>
      <c r="JX66" s="55" t="n"/>
      <c r="JY66" s="55" t="n"/>
      <c r="JZ66" s="55" t="n"/>
      <c r="KA66" s="55" t="n"/>
    </row>
    <row r="67" ht="20" customHeight="1">
      <c r="A67" s="56">
        <f>IF(Configurações!$B$7="","Assessor 1",Configurações!$B$7)</f>
        <v/>
      </c>
      <c r="B67" s="57" t="n"/>
      <c r="C67" s="58">
        <f>'Agosto'!$JW67</f>
        <v/>
      </c>
      <c r="D67" s="59" t="n"/>
      <c r="E67" s="57" t="n"/>
      <c r="F67" s="57" t="n"/>
      <c r="G67" s="57" t="n"/>
      <c r="H67" s="57" t="n"/>
      <c r="I67" s="60">
        <f>SUM(E67:H67)</f>
        <v/>
      </c>
      <c r="J67" s="61" t="n"/>
      <c r="K67" s="57" t="n"/>
      <c r="L67" s="58">
        <f>B67</f>
        <v/>
      </c>
      <c r="M67" s="59" t="n"/>
      <c r="N67" s="57" t="n"/>
      <c r="O67" s="57" t="n"/>
      <c r="P67" s="57" t="n"/>
      <c r="Q67" s="57" t="n"/>
      <c r="R67" s="60">
        <f>SUM(N67:Q67)</f>
        <v/>
      </c>
      <c r="S67" s="61" t="n"/>
      <c r="T67" s="57" t="n"/>
      <c r="U67" s="58">
        <f>K67</f>
        <v/>
      </c>
      <c r="V67" s="59" t="n"/>
      <c r="W67" s="57" t="n"/>
      <c r="X67" s="57" t="n"/>
      <c r="Y67" s="57" t="n"/>
      <c r="Z67" s="57" t="n"/>
      <c r="AA67" s="60">
        <f>SUM(W67:Z67)</f>
        <v/>
      </c>
      <c r="AB67" s="61" t="n"/>
      <c r="AC67" s="57" t="n"/>
      <c r="AD67" s="58">
        <f>T67</f>
        <v/>
      </c>
      <c r="AE67" s="59" t="n"/>
      <c r="AF67" s="57" t="n"/>
      <c r="AG67" s="57" t="n"/>
      <c r="AH67" s="57" t="n"/>
      <c r="AI67" s="57" t="n"/>
      <c r="AJ67" s="60">
        <f>SUM(AF67:AI67)</f>
        <v/>
      </c>
      <c r="AK67" s="61" t="n"/>
      <c r="AL67" s="57" t="n"/>
      <c r="AM67" s="58">
        <f>AC67</f>
        <v/>
      </c>
      <c r="AN67" s="59" t="n"/>
      <c r="AO67" s="57" t="n"/>
      <c r="AP67" s="57" t="n"/>
      <c r="AQ67" s="57" t="n"/>
      <c r="AR67" s="57" t="n"/>
      <c r="AS67" s="60">
        <f>SUM(AO67:AR67)</f>
        <v/>
      </c>
      <c r="AT67" s="61" t="n"/>
      <c r="AU67" s="57" t="n"/>
      <c r="AV67" s="58">
        <f>AL67</f>
        <v/>
      </c>
      <c r="AW67" s="59" t="n"/>
      <c r="AX67" s="57" t="n"/>
      <c r="AY67" s="57" t="n"/>
      <c r="AZ67" s="57" t="n"/>
      <c r="BA67" s="57" t="n"/>
      <c r="BB67" s="60">
        <f>SUM(AX67:BA67)</f>
        <v/>
      </c>
      <c r="BC67" s="61" t="n"/>
      <c r="BD67" s="57" t="n"/>
      <c r="BE67" s="58">
        <f>AU67</f>
        <v/>
      </c>
      <c r="BF67" s="59" t="n"/>
      <c r="BG67" s="57" t="n"/>
      <c r="BH67" s="57" t="n"/>
      <c r="BI67" s="57" t="n"/>
      <c r="BJ67" s="57" t="n"/>
      <c r="BK67" s="60">
        <f>SUM(BG67:BJ67)</f>
        <v/>
      </c>
      <c r="BL67" s="61" t="n"/>
      <c r="BM67" s="57" t="n"/>
      <c r="BN67" s="58">
        <f>BD67</f>
        <v/>
      </c>
      <c r="BO67" s="59" t="n"/>
      <c r="BP67" s="57" t="n"/>
      <c r="BQ67" s="57" t="n"/>
      <c r="BR67" s="57" t="n"/>
      <c r="BS67" s="57" t="n"/>
      <c r="BT67" s="60">
        <f>SUM(BP67:BS67)</f>
        <v/>
      </c>
      <c r="BU67" s="61" t="n"/>
      <c r="BV67" s="57" t="n"/>
      <c r="BW67" s="58">
        <f>BM67</f>
        <v/>
      </c>
      <c r="BX67" s="59" t="n"/>
      <c r="BY67" s="57" t="n"/>
      <c r="BZ67" s="57" t="n"/>
      <c r="CA67" s="57" t="n"/>
      <c r="CB67" s="57" t="n"/>
      <c r="CC67" s="60">
        <f>SUM(BY67:CB67)</f>
        <v/>
      </c>
      <c r="CD67" s="61" t="n"/>
      <c r="CE67" s="57" t="n"/>
      <c r="CF67" s="58">
        <f>BV67</f>
        <v/>
      </c>
      <c r="CG67" s="59" t="n"/>
      <c r="CH67" s="57" t="n"/>
      <c r="CI67" s="57" t="n"/>
      <c r="CJ67" s="57" t="n"/>
      <c r="CK67" s="57" t="n"/>
      <c r="CL67" s="60">
        <f>SUM(CH67:CK67)</f>
        <v/>
      </c>
      <c r="CM67" s="61" t="n"/>
      <c r="CN67" s="57" t="n"/>
      <c r="CO67" s="58">
        <f>CE67</f>
        <v/>
      </c>
      <c r="CP67" s="59" t="n"/>
      <c r="CQ67" s="57" t="n"/>
      <c r="CR67" s="57" t="n"/>
      <c r="CS67" s="57" t="n"/>
      <c r="CT67" s="57" t="n"/>
      <c r="CU67" s="60">
        <f>SUM(CQ67:CT67)</f>
        <v/>
      </c>
      <c r="CV67" s="61" t="n"/>
      <c r="CW67" s="57" t="n"/>
      <c r="CX67" s="58">
        <f>CN67</f>
        <v/>
      </c>
      <c r="CY67" s="59" t="n"/>
      <c r="CZ67" s="57" t="n"/>
      <c r="DA67" s="57" t="n"/>
      <c r="DB67" s="57" t="n"/>
      <c r="DC67" s="57" t="n"/>
      <c r="DD67" s="60">
        <f>SUM(CZ67:DC67)</f>
        <v/>
      </c>
      <c r="DE67" s="61" t="n"/>
      <c r="DF67" s="57" t="n"/>
      <c r="DG67" s="58">
        <f>CW67</f>
        <v/>
      </c>
      <c r="DH67" s="59" t="n"/>
      <c r="DI67" s="57" t="n"/>
      <c r="DJ67" s="57" t="n"/>
      <c r="DK67" s="57" t="n"/>
      <c r="DL67" s="57" t="n"/>
      <c r="DM67" s="60">
        <f>SUM(DI67:DL67)</f>
        <v/>
      </c>
      <c r="DN67" s="61" t="n"/>
      <c r="DO67" s="57" t="n"/>
      <c r="DP67" s="58">
        <f>DF67</f>
        <v/>
      </c>
      <c r="DQ67" s="59" t="n"/>
      <c r="DR67" s="57" t="n"/>
      <c r="DS67" s="57" t="n"/>
      <c r="DT67" s="57" t="n"/>
      <c r="DU67" s="57" t="n"/>
      <c r="DV67" s="60">
        <f>SUM(DR67:DU67)</f>
        <v/>
      </c>
      <c r="DW67" s="61" t="n"/>
      <c r="DX67" s="57" t="n"/>
      <c r="DY67" s="58">
        <f>DO67</f>
        <v/>
      </c>
      <c r="DZ67" s="59" t="n"/>
      <c r="EA67" s="57" t="n"/>
      <c r="EB67" s="57" t="n"/>
      <c r="EC67" s="57" t="n"/>
      <c r="ED67" s="57" t="n"/>
      <c r="EE67" s="60">
        <f>SUM(EA67:ED67)</f>
        <v/>
      </c>
      <c r="EF67" s="61" t="n"/>
      <c r="EG67" s="57" t="n"/>
      <c r="EH67" s="58">
        <f>DX67</f>
        <v/>
      </c>
      <c r="EI67" s="59" t="n"/>
      <c r="EJ67" s="57" t="n"/>
      <c r="EK67" s="57" t="n"/>
      <c r="EL67" s="57" t="n"/>
      <c r="EM67" s="57" t="n"/>
      <c r="EN67" s="60">
        <f>SUM(EJ67:EM67)</f>
        <v/>
      </c>
      <c r="EO67" s="61" t="n"/>
      <c r="EP67" s="57" t="n"/>
      <c r="EQ67" s="58">
        <f>EG67</f>
        <v/>
      </c>
      <c r="ER67" s="59" t="n"/>
      <c r="ES67" s="57" t="n"/>
      <c r="ET67" s="57" t="n"/>
      <c r="EU67" s="57" t="n"/>
      <c r="EV67" s="57" t="n"/>
      <c r="EW67" s="60">
        <f>SUM(ES67:EV67)</f>
        <v/>
      </c>
      <c r="EX67" s="61" t="n"/>
      <c r="EY67" s="57" t="n"/>
      <c r="EZ67" s="58">
        <f>EP67</f>
        <v/>
      </c>
      <c r="FA67" s="59" t="n"/>
      <c r="FB67" s="57" t="n"/>
      <c r="FC67" s="57" t="n"/>
      <c r="FD67" s="57" t="n"/>
      <c r="FE67" s="57" t="n"/>
      <c r="FF67" s="60">
        <f>SUM(FB67:FE67)</f>
        <v/>
      </c>
      <c r="FG67" s="61" t="n"/>
      <c r="FH67" s="57" t="n"/>
      <c r="FI67" s="58">
        <f>EY67</f>
        <v/>
      </c>
      <c r="FJ67" s="59" t="n"/>
      <c r="FK67" s="57" t="n"/>
      <c r="FL67" s="57" t="n"/>
      <c r="FM67" s="57" t="n"/>
      <c r="FN67" s="57" t="n"/>
      <c r="FO67" s="60">
        <f>SUM(FK67:FN67)</f>
        <v/>
      </c>
      <c r="FP67" s="61" t="n"/>
      <c r="FQ67" s="57" t="n"/>
      <c r="FR67" s="58">
        <f>FH67</f>
        <v/>
      </c>
      <c r="FS67" s="59" t="n"/>
      <c r="FT67" s="57" t="n"/>
      <c r="FU67" s="57" t="n"/>
      <c r="FV67" s="57" t="n"/>
      <c r="FW67" s="57" t="n"/>
      <c r="FX67" s="60">
        <f>SUM(FT67:FW67)</f>
        <v/>
      </c>
      <c r="FY67" s="61" t="n"/>
      <c r="FZ67" s="57" t="n"/>
      <c r="GA67" s="58">
        <f>FQ67</f>
        <v/>
      </c>
      <c r="GB67" s="59" t="n"/>
      <c r="GC67" s="57" t="n"/>
      <c r="GD67" s="57" t="n"/>
      <c r="GE67" s="57" t="n"/>
      <c r="GF67" s="57" t="n"/>
      <c r="GG67" s="60">
        <f>SUM(GC67:GF67)</f>
        <v/>
      </c>
      <c r="GH67" s="61" t="n"/>
      <c r="GI67" s="57" t="n"/>
      <c r="GJ67" s="58">
        <f>FZ67</f>
        <v/>
      </c>
      <c r="GK67" s="59" t="n"/>
      <c r="GL67" s="57" t="n"/>
      <c r="GM67" s="57" t="n"/>
      <c r="GN67" s="57" t="n"/>
      <c r="GO67" s="57" t="n"/>
      <c r="GP67" s="60">
        <f>SUM(GL67:GO67)</f>
        <v/>
      </c>
      <c r="GQ67" s="61" t="n"/>
      <c r="GR67" s="57" t="n"/>
      <c r="GS67" s="58">
        <f>GI67</f>
        <v/>
      </c>
      <c r="GT67" s="59" t="n"/>
      <c r="GU67" s="57" t="n"/>
      <c r="GV67" s="57" t="n"/>
      <c r="GW67" s="57" t="n"/>
      <c r="GX67" s="57" t="n"/>
      <c r="GY67" s="60">
        <f>SUM(GU67:GX67)</f>
        <v/>
      </c>
      <c r="GZ67" s="61" t="n"/>
      <c r="HA67" s="57" t="n"/>
      <c r="HB67" s="58">
        <f>GR67</f>
        <v/>
      </c>
      <c r="HC67" s="59" t="n"/>
      <c r="HD67" s="57" t="n"/>
      <c r="HE67" s="57" t="n"/>
      <c r="HF67" s="57" t="n"/>
      <c r="HG67" s="57" t="n"/>
      <c r="HH67" s="60">
        <f>SUM(HD67:HG67)</f>
        <v/>
      </c>
      <c r="HI67" s="61" t="n"/>
      <c r="HJ67" s="57" t="n"/>
      <c r="HK67" s="58">
        <f>HA67</f>
        <v/>
      </c>
      <c r="HL67" s="59" t="n"/>
      <c r="HM67" s="57" t="n"/>
      <c r="HN67" s="57" t="n"/>
      <c r="HO67" s="57" t="n"/>
      <c r="HP67" s="57" t="n"/>
      <c r="HQ67" s="60">
        <f>SUM(HM67:HP67)</f>
        <v/>
      </c>
      <c r="HR67" s="61" t="n"/>
      <c r="HS67" s="57" t="n"/>
      <c r="HT67" s="58">
        <f>HJ67</f>
        <v/>
      </c>
      <c r="HU67" s="59" t="n"/>
      <c r="HV67" s="57" t="n"/>
      <c r="HW67" s="57" t="n"/>
      <c r="HX67" s="57" t="n"/>
      <c r="HY67" s="57" t="n"/>
      <c r="HZ67" s="60">
        <f>SUM(HV67:HY67)</f>
        <v/>
      </c>
      <c r="IA67" s="61" t="n"/>
      <c r="IB67" s="57" t="n"/>
      <c r="IC67" s="58">
        <f>HS67</f>
        <v/>
      </c>
      <c r="ID67" s="59" t="n"/>
      <c r="IE67" s="57" t="n"/>
      <c r="IF67" s="57" t="n"/>
      <c r="IG67" s="57" t="n"/>
      <c r="IH67" s="57" t="n"/>
      <c r="II67" s="60">
        <f>SUM(IE67:IH67)</f>
        <v/>
      </c>
      <c r="IJ67" s="61" t="n"/>
      <c r="IK67" s="57" t="n"/>
      <c r="IL67" s="58">
        <f>IB67</f>
        <v/>
      </c>
      <c r="IM67" s="59" t="n"/>
      <c r="IN67" s="57" t="n"/>
      <c r="IO67" s="57" t="n"/>
      <c r="IP67" s="57" t="n"/>
      <c r="IQ67" s="57" t="n"/>
      <c r="IR67" s="60">
        <f>SUM(IN67:IQ67)</f>
        <v/>
      </c>
      <c r="IS67" s="61" t="n"/>
      <c r="IT67" s="57" t="n"/>
      <c r="IU67" s="58">
        <f>IK67</f>
        <v/>
      </c>
      <c r="IV67" s="59" t="n"/>
      <c r="IW67" s="57" t="n"/>
      <c r="IX67" s="57" t="n"/>
      <c r="IY67" s="57" t="n"/>
      <c r="IZ67" s="57" t="n"/>
      <c r="JA67" s="60">
        <f>SUM(IW67:IZ67)</f>
        <v/>
      </c>
      <c r="JB67" s="61" t="n"/>
      <c r="JC67" s="57" t="n"/>
      <c r="JD67" s="58">
        <f>IT67</f>
        <v/>
      </c>
      <c r="JE67" s="59" t="n"/>
      <c r="JF67" s="57" t="n"/>
      <c r="JG67" s="57" t="n"/>
      <c r="JH67" s="57" t="n"/>
      <c r="JI67" s="57" t="n"/>
      <c r="JJ67" s="60">
        <f>SUM(JF67:JI67)</f>
        <v/>
      </c>
      <c r="JK67" s="61" t="n"/>
      <c r="JL67" s="57" t="n"/>
      <c r="JM67" s="58">
        <f>JC67</f>
        <v/>
      </c>
      <c r="JN67" s="59" t="n"/>
      <c r="JO67" s="57" t="n"/>
      <c r="JP67" s="57" t="n"/>
      <c r="JQ67" s="57" t="n"/>
      <c r="JR67" s="57" t="n"/>
      <c r="JS67" s="60">
        <f>SUM(JO67:JR67)</f>
        <v/>
      </c>
      <c r="JT67" s="61" t="n"/>
      <c r="JU67" s="62">
        <f>I67+R67+AA67+AJ67+AS67+BB67+BK67+BT67+CC67+CL67+CU67+DD67+DM67+DV67+EE67+EN67+EW67+FF67+FO67+FX67+GG67+GP67+GY67+HH67+HQ67+HZ67+II67+IR67+JA67+JJ67+JS67</f>
        <v/>
      </c>
      <c r="JV67" s="63">
        <f>D67+M67+V67+AE67+AN67+AW67+BF67+BO67+BX67+CG67+CP67+CY67+DH67+DQ67+DZ67+EI67+ER67+FA67+FJ67+FS67+GB67+GK67+GT67+HC67+HL67+HU67+ID67+IM67+IV67+JE67+JN67</f>
        <v/>
      </c>
      <c r="JW67" s="62">
        <f>CHOOSE($Z$3,B67, K67, T67, AC67, AL67, AU67, BD67, BM67, BV67, CE67, CN67, CW67, DF67, DO67, DX67, EG67, EP67, EY67, FH67, FQ67, FZ67, GI67, GR67, HA67, HJ67, HS67, IB67, IK67, IT67, JC67, JL67)</f>
        <v/>
      </c>
      <c r="JX67" s="62">
        <f>IFERROR(JU67/$Z$3,0)</f>
        <v/>
      </c>
      <c r="JY67" s="62">
        <f>Configurações!$C$7</f>
        <v/>
      </c>
      <c r="JZ67" s="64">
        <f>IF(JY67=0,"— Sem meta",IF(JU67&gt;=JY67,"✓ Atingida","Em andamento"))</f>
        <v/>
      </c>
      <c r="KA67" s="65">
        <f>JU67+(13*0.0000001)</f>
        <v/>
      </c>
    </row>
    <row r="68" ht="20" customHeight="1">
      <c r="A68" s="56">
        <f>IF(Configurações!$B$8="","Assessor 2",Configurações!$B$8)</f>
        <v/>
      </c>
      <c r="B68" s="57" t="n"/>
      <c r="C68" s="66">
        <f>'Agosto'!$JW68</f>
        <v/>
      </c>
      <c r="D68" s="59" t="n"/>
      <c r="E68" s="57" t="n"/>
      <c r="F68" s="57" t="n"/>
      <c r="G68" s="57" t="n"/>
      <c r="H68" s="57" t="n"/>
      <c r="I68" s="67">
        <f>SUM(E68:H68)</f>
        <v/>
      </c>
      <c r="J68" s="61" t="n"/>
      <c r="K68" s="57" t="n"/>
      <c r="L68" s="66">
        <f>B68</f>
        <v/>
      </c>
      <c r="M68" s="59" t="n"/>
      <c r="N68" s="57" t="n"/>
      <c r="O68" s="57" t="n"/>
      <c r="P68" s="57" t="n"/>
      <c r="Q68" s="57" t="n"/>
      <c r="R68" s="67">
        <f>SUM(N68:Q68)</f>
        <v/>
      </c>
      <c r="S68" s="61" t="n"/>
      <c r="T68" s="57" t="n"/>
      <c r="U68" s="66">
        <f>K68</f>
        <v/>
      </c>
      <c r="V68" s="59" t="n"/>
      <c r="W68" s="57" t="n"/>
      <c r="X68" s="57" t="n"/>
      <c r="Y68" s="57" t="n"/>
      <c r="Z68" s="57" t="n"/>
      <c r="AA68" s="67">
        <f>SUM(W68:Z68)</f>
        <v/>
      </c>
      <c r="AB68" s="61" t="n"/>
      <c r="AC68" s="57" t="n"/>
      <c r="AD68" s="66">
        <f>T68</f>
        <v/>
      </c>
      <c r="AE68" s="59" t="n"/>
      <c r="AF68" s="57" t="n"/>
      <c r="AG68" s="57" t="n"/>
      <c r="AH68" s="57" t="n"/>
      <c r="AI68" s="57" t="n"/>
      <c r="AJ68" s="67">
        <f>SUM(AF68:AI68)</f>
        <v/>
      </c>
      <c r="AK68" s="61" t="n"/>
      <c r="AL68" s="57" t="n"/>
      <c r="AM68" s="66">
        <f>AC68</f>
        <v/>
      </c>
      <c r="AN68" s="59" t="n"/>
      <c r="AO68" s="57" t="n"/>
      <c r="AP68" s="57" t="n"/>
      <c r="AQ68" s="57" t="n"/>
      <c r="AR68" s="57" t="n"/>
      <c r="AS68" s="67">
        <f>SUM(AO68:AR68)</f>
        <v/>
      </c>
      <c r="AT68" s="61" t="n"/>
      <c r="AU68" s="57" t="n"/>
      <c r="AV68" s="66">
        <f>AL68</f>
        <v/>
      </c>
      <c r="AW68" s="59" t="n"/>
      <c r="AX68" s="57" t="n"/>
      <c r="AY68" s="57" t="n"/>
      <c r="AZ68" s="57" t="n"/>
      <c r="BA68" s="57" t="n"/>
      <c r="BB68" s="67">
        <f>SUM(AX68:BA68)</f>
        <v/>
      </c>
      <c r="BC68" s="61" t="n"/>
      <c r="BD68" s="57" t="n"/>
      <c r="BE68" s="66">
        <f>AU68</f>
        <v/>
      </c>
      <c r="BF68" s="59" t="n"/>
      <c r="BG68" s="57" t="n"/>
      <c r="BH68" s="57" t="n"/>
      <c r="BI68" s="57" t="n"/>
      <c r="BJ68" s="57" t="n"/>
      <c r="BK68" s="67">
        <f>SUM(BG68:BJ68)</f>
        <v/>
      </c>
      <c r="BL68" s="61" t="n"/>
      <c r="BM68" s="57" t="n"/>
      <c r="BN68" s="66">
        <f>BD68</f>
        <v/>
      </c>
      <c r="BO68" s="59" t="n"/>
      <c r="BP68" s="57" t="n"/>
      <c r="BQ68" s="57" t="n"/>
      <c r="BR68" s="57" t="n"/>
      <c r="BS68" s="57" t="n"/>
      <c r="BT68" s="67">
        <f>SUM(BP68:BS68)</f>
        <v/>
      </c>
      <c r="BU68" s="61" t="n"/>
      <c r="BV68" s="57" t="n"/>
      <c r="BW68" s="66">
        <f>BM68</f>
        <v/>
      </c>
      <c r="BX68" s="59" t="n"/>
      <c r="BY68" s="57" t="n"/>
      <c r="BZ68" s="57" t="n"/>
      <c r="CA68" s="57" t="n"/>
      <c r="CB68" s="57" t="n"/>
      <c r="CC68" s="67">
        <f>SUM(BY68:CB68)</f>
        <v/>
      </c>
      <c r="CD68" s="61" t="n"/>
      <c r="CE68" s="57" t="n"/>
      <c r="CF68" s="66">
        <f>BV68</f>
        <v/>
      </c>
      <c r="CG68" s="59" t="n"/>
      <c r="CH68" s="57" t="n"/>
      <c r="CI68" s="57" t="n"/>
      <c r="CJ68" s="57" t="n"/>
      <c r="CK68" s="57" t="n"/>
      <c r="CL68" s="67">
        <f>SUM(CH68:CK68)</f>
        <v/>
      </c>
      <c r="CM68" s="61" t="n"/>
      <c r="CN68" s="57" t="n"/>
      <c r="CO68" s="66">
        <f>CE68</f>
        <v/>
      </c>
      <c r="CP68" s="59" t="n"/>
      <c r="CQ68" s="57" t="n"/>
      <c r="CR68" s="57" t="n"/>
      <c r="CS68" s="57" t="n"/>
      <c r="CT68" s="57" t="n"/>
      <c r="CU68" s="67">
        <f>SUM(CQ68:CT68)</f>
        <v/>
      </c>
      <c r="CV68" s="61" t="n"/>
      <c r="CW68" s="57" t="n"/>
      <c r="CX68" s="66">
        <f>CN68</f>
        <v/>
      </c>
      <c r="CY68" s="59" t="n"/>
      <c r="CZ68" s="57" t="n"/>
      <c r="DA68" s="57" t="n"/>
      <c r="DB68" s="57" t="n"/>
      <c r="DC68" s="57" t="n"/>
      <c r="DD68" s="67">
        <f>SUM(CZ68:DC68)</f>
        <v/>
      </c>
      <c r="DE68" s="61" t="n"/>
      <c r="DF68" s="57" t="n"/>
      <c r="DG68" s="66">
        <f>CW68</f>
        <v/>
      </c>
      <c r="DH68" s="59" t="n"/>
      <c r="DI68" s="57" t="n"/>
      <c r="DJ68" s="57" t="n"/>
      <c r="DK68" s="57" t="n"/>
      <c r="DL68" s="57" t="n"/>
      <c r="DM68" s="67">
        <f>SUM(DI68:DL68)</f>
        <v/>
      </c>
      <c r="DN68" s="61" t="n"/>
      <c r="DO68" s="57" t="n"/>
      <c r="DP68" s="66">
        <f>DF68</f>
        <v/>
      </c>
      <c r="DQ68" s="59" t="n"/>
      <c r="DR68" s="57" t="n"/>
      <c r="DS68" s="57" t="n"/>
      <c r="DT68" s="57" t="n"/>
      <c r="DU68" s="57" t="n"/>
      <c r="DV68" s="67">
        <f>SUM(DR68:DU68)</f>
        <v/>
      </c>
      <c r="DW68" s="61" t="n"/>
      <c r="DX68" s="57" t="n"/>
      <c r="DY68" s="66">
        <f>DO68</f>
        <v/>
      </c>
      <c r="DZ68" s="59" t="n"/>
      <c r="EA68" s="57" t="n"/>
      <c r="EB68" s="57" t="n"/>
      <c r="EC68" s="57" t="n"/>
      <c r="ED68" s="57" t="n"/>
      <c r="EE68" s="67">
        <f>SUM(EA68:ED68)</f>
        <v/>
      </c>
      <c r="EF68" s="61" t="n"/>
      <c r="EG68" s="57" t="n"/>
      <c r="EH68" s="66">
        <f>DX68</f>
        <v/>
      </c>
      <c r="EI68" s="59" t="n"/>
      <c r="EJ68" s="57" t="n"/>
      <c r="EK68" s="57" t="n"/>
      <c r="EL68" s="57" t="n"/>
      <c r="EM68" s="57" t="n"/>
      <c r="EN68" s="67">
        <f>SUM(EJ68:EM68)</f>
        <v/>
      </c>
      <c r="EO68" s="61" t="n"/>
      <c r="EP68" s="57" t="n"/>
      <c r="EQ68" s="66">
        <f>EG68</f>
        <v/>
      </c>
      <c r="ER68" s="59" t="n"/>
      <c r="ES68" s="57" t="n"/>
      <c r="ET68" s="57" t="n"/>
      <c r="EU68" s="57" t="n"/>
      <c r="EV68" s="57" t="n"/>
      <c r="EW68" s="67">
        <f>SUM(ES68:EV68)</f>
        <v/>
      </c>
      <c r="EX68" s="61" t="n"/>
      <c r="EY68" s="57" t="n"/>
      <c r="EZ68" s="66">
        <f>EP68</f>
        <v/>
      </c>
      <c r="FA68" s="59" t="n"/>
      <c r="FB68" s="57" t="n"/>
      <c r="FC68" s="57" t="n"/>
      <c r="FD68" s="57" t="n"/>
      <c r="FE68" s="57" t="n"/>
      <c r="FF68" s="67">
        <f>SUM(FB68:FE68)</f>
        <v/>
      </c>
      <c r="FG68" s="61" t="n"/>
      <c r="FH68" s="57" t="n"/>
      <c r="FI68" s="66">
        <f>EY68</f>
        <v/>
      </c>
      <c r="FJ68" s="59" t="n"/>
      <c r="FK68" s="57" t="n"/>
      <c r="FL68" s="57" t="n"/>
      <c r="FM68" s="57" t="n"/>
      <c r="FN68" s="57" t="n"/>
      <c r="FO68" s="67">
        <f>SUM(FK68:FN68)</f>
        <v/>
      </c>
      <c r="FP68" s="61" t="n"/>
      <c r="FQ68" s="57" t="n"/>
      <c r="FR68" s="66">
        <f>FH68</f>
        <v/>
      </c>
      <c r="FS68" s="59" t="n"/>
      <c r="FT68" s="57" t="n"/>
      <c r="FU68" s="57" t="n"/>
      <c r="FV68" s="57" t="n"/>
      <c r="FW68" s="57" t="n"/>
      <c r="FX68" s="67">
        <f>SUM(FT68:FW68)</f>
        <v/>
      </c>
      <c r="FY68" s="61" t="n"/>
      <c r="FZ68" s="57" t="n"/>
      <c r="GA68" s="66">
        <f>FQ68</f>
        <v/>
      </c>
      <c r="GB68" s="59" t="n"/>
      <c r="GC68" s="57" t="n"/>
      <c r="GD68" s="57" t="n"/>
      <c r="GE68" s="57" t="n"/>
      <c r="GF68" s="57" t="n"/>
      <c r="GG68" s="67">
        <f>SUM(GC68:GF68)</f>
        <v/>
      </c>
      <c r="GH68" s="61" t="n"/>
      <c r="GI68" s="57" t="n"/>
      <c r="GJ68" s="66">
        <f>FZ68</f>
        <v/>
      </c>
      <c r="GK68" s="59" t="n"/>
      <c r="GL68" s="57" t="n"/>
      <c r="GM68" s="57" t="n"/>
      <c r="GN68" s="57" t="n"/>
      <c r="GO68" s="57" t="n"/>
      <c r="GP68" s="67">
        <f>SUM(GL68:GO68)</f>
        <v/>
      </c>
      <c r="GQ68" s="61" t="n"/>
      <c r="GR68" s="57" t="n"/>
      <c r="GS68" s="66">
        <f>GI68</f>
        <v/>
      </c>
      <c r="GT68" s="59" t="n"/>
      <c r="GU68" s="57" t="n"/>
      <c r="GV68" s="57" t="n"/>
      <c r="GW68" s="57" t="n"/>
      <c r="GX68" s="57" t="n"/>
      <c r="GY68" s="67">
        <f>SUM(GU68:GX68)</f>
        <v/>
      </c>
      <c r="GZ68" s="61" t="n"/>
      <c r="HA68" s="57" t="n"/>
      <c r="HB68" s="66">
        <f>GR68</f>
        <v/>
      </c>
      <c r="HC68" s="59" t="n"/>
      <c r="HD68" s="57" t="n"/>
      <c r="HE68" s="57" t="n"/>
      <c r="HF68" s="57" t="n"/>
      <c r="HG68" s="57" t="n"/>
      <c r="HH68" s="67">
        <f>SUM(HD68:HG68)</f>
        <v/>
      </c>
      <c r="HI68" s="61" t="n"/>
      <c r="HJ68" s="57" t="n"/>
      <c r="HK68" s="66">
        <f>HA68</f>
        <v/>
      </c>
      <c r="HL68" s="59" t="n"/>
      <c r="HM68" s="57" t="n"/>
      <c r="HN68" s="57" t="n"/>
      <c r="HO68" s="57" t="n"/>
      <c r="HP68" s="57" t="n"/>
      <c r="HQ68" s="67">
        <f>SUM(HM68:HP68)</f>
        <v/>
      </c>
      <c r="HR68" s="61" t="n"/>
      <c r="HS68" s="57" t="n"/>
      <c r="HT68" s="66">
        <f>HJ68</f>
        <v/>
      </c>
      <c r="HU68" s="59" t="n"/>
      <c r="HV68" s="57" t="n"/>
      <c r="HW68" s="57" t="n"/>
      <c r="HX68" s="57" t="n"/>
      <c r="HY68" s="57" t="n"/>
      <c r="HZ68" s="67">
        <f>SUM(HV68:HY68)</f>
        <v/>
      </c>
      <c r="IA68" s="61" t="n"/>
      <c r="IB68" s="57" t="n"/>
      <c r="IC68" s="66">
        <f>HS68</f>
        <v/>
      </c>
      <c r="ID68" s="59" t="n"/>
      <c r="IE68" s="57" t="n"/>
      <c r="IF68" s="57" t="n"/>
      <c r="IG68" s="57" t="n"/>
      <c r="IH68" s="57" t="n"/>
      <c r="II68" s="67">
        <f>SUM(IE68:IH68)</f>
        <v/>
      </c>
      <c r="IJ68" s="61" t="n"/>
      <c r="IK68" s="57" t="n"/>
      <c r="IL68" s="66">
        <f>IB68</f>
        <v/>
      </c>
      <c r="IM68" s="59" t="n"/>
      <c r="IN68" s="57" t="n"/>
      <c r="IO68" s="57" t="n"/>
      <c r="IP68" s="57" t="n"/>
      <c r="IQ68" s="57" t="n"/>
      <c r="IR68" s="67">
        <f>SUM(IN68:IQ68)</f>
        <v/>
      </c>
      <c r="IS68" s="61" t="n"/>
      <c r="IT68" s="57" t="n"/>
      <c r="IU68" s="66">
        <f>IK68</f>
        <v/>
      </c>
      <c r="IV68" s="59" t="n"/>
      <c r="IW68" s="57" t="n"/>
      <c r="IX68" s="57" t="n"/>
      <c r="IY68" s="57" t="n"/>
      <c r="IZ68" s="57" t="n"/>
      <c r="JA68" s="67">
        <f>SUM(IW68:IZ68)</f>
        <v/>
      </c>
      <c r="JB68" s="61" t="n"/>
      <c r="JC68" s="57" t="n"/>
      <c r="JD68" s="66">
        <f>IT68</f>
        <v/>
      </c>
      <c r="JE68" s="59" t="n"/>
      <c r="JF68" s="57" t="n"/>
      <c r="JG68" s="57" t="n"/>
      <c r="JH68" s="57" t="n"/>
      <c r="JI68" s="57" t="n"/>
      <c r="JJ68" s="67">
        <f>SUM(JF68:JI68)</f>
        <v/>
      </c>
      <c r="JK68" s="61" t="n"/>
      <c r="JL68" s="57" t="n"/>
      <c r="JM68" s="66">
        <f>JC68</f>
        <v/>
      </c>
      <c r="JN68" s="59" t="n"/>
      <c r="JO68" s="57" t="n"/>
      <c r="JP68" s="57" t="n"/>
      <c r="JQ68" s="57" t="n"/>
      <c r="JR68" s="57" t="n"/>
      <c r="JS68" s="67">
        <f>SUM(JO68:JR68)</f>
        <v/>
      </c>
      <c r="JT68" s="61" t="n"/>
      <c r="JU68" s="62">
        <f>I68+R68+AA68+AJ68+AS68+BB68+BK68+BT68+CC68+CL68+CU68+DD68+DM68+DV68+EE68+EN68+EW68+FF68+FO68+FX68+GG68+GP68+GY68+HH68+HQ68+HZ68+II68+IR68+JA68+JJ68+JS68</f>
        <v/>
      </c>
      <c r="JV68" s="63">
        <f>D68+M68+V68+AE68+AN68+AW68+BF68+BO68+BX68+CG68+CP68+CY68+DH68+DQ68+DZ68+EI68+ER68+FA68+FJ68+FS68+GB68+GK68+GT68+HC68+HL68+HU68+ID68+IM68+IV68+JE68+JN68</f>
        <v/>
      </c>
      <c r="JW68" s="62">
        <f>CHOOSE($Z$3,B68, K68, T68, AC68, AL68, AU68, BD68, BM68, BV68, CE68, CN68, CW68, DF68, DO68, DX68, EG68, EP68, EY68, FH68, FQ68, FZ68, GI68, GR68, HA68, HJ68, HS68, IB68, IK68, IT68, JC68, JL68)</f>
        <v/>
      </c>
      <c r="JX68" s="62">
        <f>IFERROR(JU68/$Z$3,0)</f>
        <v/>
      </c>
      <c r="JY68" s="62">
        <f>Configurações!$C$8</f>
        <v/>
      </c>
      <c r="JZ68" s="64">
        <f>IF(JY68=0,"— Sem meta",IF(JU68&gt;=JY68,"✓ Atingida","Em andamento"))</f>
        <v/>
      </c>
      <c r="KA68" s="65">
        <f>JU68+(12*0.0000001)</f>
        <v/>
      </c>
    </row>
    <row r="69" ht="20" customHeight="1">
      <c r="A69" s="56">
        <f>IF(Configurações!$B$9="","Assessor 3",Configurações!$B$9)</f>
        <v/>
      </c>
      <c r="B69" s="57" t="n"/>
      <c r="C69" s="58">
        <f>'Agosto'!$JW69</f>
        <v/>
      </c>
      <c r="D69" s="59" t="n"/>
      <c r="E69" s="57" t="n"/>
      <c r="F69" s="57" t="n"/>
      <c r="G69" s="57" t="n"/>
      <c r="H69" s="57" t="n"/>
      <c r="I69" s="60">
        <f>SUM(E69:H69)</f>
        <v/>
      </c>
      <c r="J69" s="61" t="n"/>
      <c r="K69" s="57" t="n"/>
      <c r="L69" s="58">
        <f>B69</f>
        <v/>
      </c>
      <c r="M69" s="59" t="n"/>
      <c r="N69" s="57" t="n"/>
      <c r="O69" s="57" t="n"/>
      <c r="P69" s="57" t="n"/>
      <c r="Q69" s="57" t="n"/>
      <c r="R69" s="60">
        <f>SUM(N69:Q69)</f>
        <v/>
      </c>
      <c r="S69" s="61" t="n"/>
      <c r="T69" s="57" t="n"/>
      <c r="U69" s="58">
        <f>K69</f>
        <v/>
      </c>
      <c r="V69" s="59" t="n"/>
      <c r="W69" s="57" t="n"/>
      <c r="X69" s="57" t="n"/>
      <c r="Y69" s="57" t="n"/>
      <c r="Z69" s="57" t="n"/>
      <c r="AA69" s="60">
        <f>SUM(W69:Z69)</f>
        <v/>
      </c>
      <c r="AB69" s="61" t="n"/>
      <c r="AC69" s="57" t="n"/>
      <c r="AD69" s="58">
        <f>T69</f>
        <v/>
      </c>
      <c r="AE69" s="59" t="n"/>
      <c r="AF69" s="57" t="n"/>
      <c r="AG69" s="57" t="n"/>
      <c r="AH69" s="57" t="n"/>
      <c r="AI69" s="57" t="n"/>
      <c r="AJ69" s="60">
        <f>SUM(AF69:AI69)</f>
        <v/>
      </c>
      <c r="AK69" s="61" t="n"/>
      <c r="AL69" s="57" t="n"/>
      <c r="AM69" s="58">
        <f>AC69</f>
        <v/>
      </c>
      <c r="AN69" s="59" t="n"/>
      <c r="AO69" s="57" t="n"/>
      <c r="AP69" s="57" t="n"/>
      <c r="AQ69" s="57" t="n"/>
      <c r="AR69" s="57" t="n"/>
      <c r="AS69" s="60">
        <f>SUM(AO69:AR69)</f>
        <v/>
      </c>
      <c r="AT69" s="61" t="n"/>
      <c r="AU69" s="57" t="n"/>
      <c r="AV69" s="58">
        <f>AL69</f>
        <v/>
      </c>
      <c r="AW69" s="59" t="n"/>
      <c r="AX69" s="57" t="n"/>
      <c r="AY69" s="57" t="n"/>
      <c r="AZ69" s="57" t="n"/>
      <c r="BA69" s="57" t="n"/>
      <c r="BB69" s="60">
        <f>SUM(AX69:BA69)</f>
        <v/>
      </c>
      <c r="BC69" s="61" t="n"/>
      <c r="BD69" s="57" t="n"/>
      <c r="BE69" s="58">
        <f>AU69</f>
        <v/>
      </c>
      <c r="BF69" s="59" t="n"/>
      <c r="BG69" s="57" t="n"/>
      <c r="BH69" s="57" t="n"/>
      <c r="BI69" s="57" t="n"/>
      <c r="BJ69" s="57" t="n"/>
      <c r="BK69" s="60">
        <f>SUM(BG69:BJ69)</f>
        <v/>
      </c>
      <c r="BL69" s="61" t="n"/>
      <c r="BM69" s="57" t="n"/>
      <c r="BN69" s="58">
        <f>BD69</f>
        <v/>
      </c>
      <c r="BO69" s="59" t="n"/>
      <c r="BP69" s="57" t="n"/>
      <c r="BQ69" s="57" t="n"/>
      <c r="BR69" s="57" t="n"/>
      <c r="BS69" s="57" t="n"/>
      <c r="BT69" s="60">
        <f>SUM(BP69:BS69)</f>
        <v/>
      </c>
      <c r="BU69" s="61" t="n"/>
      <c r="BV69" s="57" t="n"/>
      <c r="BW69" s="58">
        <f>BM69</f>
        <v/>
      </c>
      <c r="BX69" s="59" t="n"/>
      <c r="BY69" s="57" t="n"/>
      <c r="BZ69" s="57" t="n"/>
      <c r="CA69" s="57" t="n"/>
      <c r="CB69" s="57" t="n"/>
      <c r="CC69" s="60">
        <f>SUM(BY69:CB69)</f>
        <v/>
      </c>
      <c r="CD69" s="61" t="n"/>
      <c r="CE69" s="57" t="n"/>
      <c r="CF69" s="58">
        <f>BV69</f>
        <v/>
      </c>
      <c r="CG69" s="59" t="n"/>
      <c r="CH69" s="57" t="n"/>
      <c r="CI69" s="57" t="n"/>
      <c r="CJ69" s="57" t="n"/>
      <c r="CK69" s="57" t="n"/>
      <c r="CL69" s="60">
        <f>SUM(CH69:CK69)</f>
        <v/>
      </c>
      <c r="CM69" s="61" t="n"/>
      <c r="CN69" s="57" t="n"/>
      <c r="CO69" s="58">
        <f>CE69</f>
        <v/>
      </c>
      <c r="CP69" s="59" t="n"/>
      <c r="CQ69" s="57" t="n"/>
      <c r="CR69" s="57" t="n"/>
      <c r="CS69" s="57" t="n"/>
      <c r="CT69" s="57" t="n"/>
      <c r="CU69" s="60">
        <f>SUM(CQ69:CT69)</f>
        <v/>
      </c>
      <c r="CV69" s="61" t="n"/>
      <c r="CW69" s="57" t="n"/>
      <c r="CX69" s="58">
        <f>CN69</f>
        <v/>
      </c>
      <c r="CY69" s="59" t="n"/>
      <c r="CZ69" s="57" t="n"/>
      <c r="DA69" s="57" t="n"/>
      <c r="DB69" s="57" t="n"/>
      <c r="DC69" s="57" t="n"/>
      <c r="DD69" s="60">
        <f>SUM(CZ69:DC69)</f>
        <v/>
      </c>
      <c r="DE69" s="61" t="n"/>
      <c r="DF69" s="57" t="n"/>
      <c r="DG69" s="58">
        <f>CW69</f>
        <v/>
      </c>
      <c r="DH69" s="59" t="n"/>
      <c r="DI69" s="57" t="n"/>
      <c r="DJ69" s="57" t="n"/>
      <c r="DK69" s="57" t="n"/>
      <c r="DL69" s="57" t="n"/>
      <c r="DM69" s="60">
        <f>SUM(DI69:DL69)</f>
        <v/>
      </c>
      <c r="DN69" s="61" t="n"/>
      <c r="DO69" s="57" t="n"/>
      <c r="DP69" s="58">
        <f>DF69</f>
        <v/>
      </c>
      <c r="DQ69" s="59" t="n"/>
      <c r="DR69" s="57" t="n"/>
      <c r="DS69" s="57" t="n"/>
      <c r="DT69" s="57" t="n"/>
      <c r="DU69" s="57" t="n"/>
      <c r="DV69" s="60">
        <f>SUM(DR69:DU69)</f>
        <v/>
      </c>
      <c r="DW69" s="61" t="n"/>
      <c r="DX69" s="57" t="n"/>
      <c r="DY69" s="58">
        <f>DO69</f>
        <v/>
      </c>
      <c r="DZ69" s="59" t="n"/>
      <c r="EA69" s="57" t="n"/>
      <c r="EB69" s="57" t="n"/>
      <c r="EC69" s="57" t="n"/>
      <c r="ED69" s="57" t="n"/>
      <c r="EE69" s="60">
        <f>SUM(EA69:ED69)</f>
        <v/>
      </c>
      <c r="EF69" s="61" t="n"/>
      <c r="EG69" s="57" t="n"/>
      <c r="EH69" s="58">
        <f>DX69</f>
        <v/>
      </c>
      <c r="EI69" s="59" t="n"/>
      <c r="EJ69" s="57" t="n"/>
      <c r="EK69" s="57" t="n"/>
      <c r="EL69" s="57" t="n"/>
      <c r="EM69" s="57" t="n"/>
      <c r="EN69" s="60">
        <f>SUM(EJ69:EM69)</f>
        <v/>
      </c>
      <c r="EO69" s="61" t="n"/>
      <c r="EP69" s="57" t="n"/>
      <c r="EQ69" s="58">
        <f>EG69</f>
        <v/>
      </c>
      <c r="ER69" s="59" t="n"/>
      <c r="ES69" s="57" t="n"/>
      <c r="ET69" s="57" t="n"/>
      <c r="EU69" s="57" t="n"/>
      <c r="EV69" s="57" t="n"/>
      <c r="EW69" s="60">
        <f>SUM(ES69:EV69)</f>
        <v/>
      </c>
      <c r="EX69" s="61" t="n"/>
      <c r="EY69" s="57" t="n"/>
      <c r="EZ69" s="58">
        <f>EP69</f>
        <v/>
      </c>
      <c r="FA69" s="59" t="n"/>
      <c r="FB69" s="57" t="n"/>
      <c r="FC69" s="57" t="n"/>
      <c r="FD69" s="57" t="n"/>
      <c r="FE69" s="57" t="n"/>
      <c r="FF69" s="60">
        <f>SUM(FB69:FE69)</f>
        <v/>
      </c>
      <c r="FG69" s="61" t="n"/>
      <c r="FH69" s="57" t="n"/>
      <c r="FI69" s="58">
        <f>EY69</f>
        <v/>
      </c>
      <c r="FJ69" s="59" t="n"/>
      <c r="FK69" s="57" t="n"/>
      <c r="FL69" s="57" t="n"/>
      <c r="FM69" s="57" t="n"/>
      <c r="FN69" s="57" t="n"/>
      <c r="FO69" s="60">
        <f>SUM(FK69:FN69)</f>
        <v/>
      </c>
      <c r="FP69" s="61" t="n"/>
      <c r="FQ69" s="57" t="n"/>
      <c r="FR69" s="58">
        <f>FH69</f>
        <v/>
      </c>
      <c r="FS69" s="59" t="n"/>
      <c r="FT69" s="57" t="n"/>
      <c r="FU69" s="57" t="n"/>
      <c r="FV69" s="57" t="n"/>
      <c r="FW69" s="57" t="n"/>
      <c r="FX69" s="60">
        <f>SUM(FT69:FW69)</f>
        <v/>
      </c>
      <c r="FY69" s="61" t="n"/>
      <c r="FZ69" s="57" t="n"/>
      <c r="GA69" s="58">
        <f>FQ69</f>
        <v/>
      </c>
      <c r="GB69" s="59" t="n"/>
      <c r="GC69" s="57" t="n"/>
      <c r="GD69" s="57" t="n"/>
      <c r="GE69" s="57" t="n"/>
      <c r="GF69" s="57" t="n"/>
      <c r="GG69" s="60">
        <f>SUM(GC69:GF69)</f>
        <v/>
      </c>
      <c r="GH69" s="61" t="n"/>
      <c r="GI69" s="57" t="n"/>
      <c r="GJ69" s="58">
        <f>FZ69</f>
        <v/>
      </c>
      <c r="GK69" s="59" t="n"/>
      <c r="GL69" s="57" t="n"/>
      <c r="GM69" s="57" t="n"/>
      <c r="GN69" s="57" t="n"/>
      <c r="GO69" s="57" t="n"/>
      <c r="GP69" s="60">
        <f>SUM(GL69:GO69)</f>
        <v/>
      </c>
      <c r="GQ69" s="61" t="n"/>
      <c r="GR69" s="57" t="n"/>
      <c r="GS69" s="58">
        <f>GI69</f>
        <v/>
      </c>
      <c r="GT69" s="59" t="n"/>
      <c r="GU69" s="57" t="n"/>
      <c r="GV69" s="57" t="n"/>
      <c r="GW69" s="57" t="n"/>
      <c r="GX69" s="57" t="n"/>
      <c r="GY69" s="60">
        <f>SUM(GU69:GX69)</f>
        <v/>
      </c>
      <c r="GZ69" s="61" t="n"/>
      <c r="HA69" s="57" t="n"/>
      <c r="HB69" s="58">
        <f>GR69</f>
        <v/>
      </c>
      <c r="HC69" s="59" t="n"/>
      <c r="HD69" s="57" t="n"/>
      <c r="HE69" s="57" t="n"/>
      <c r="HF69" s="57" t="n"/>
      <c r="HG69" s="57" t="n"/>
      <c r="HH69" s="60">
        <f>SUM(HD69:HG69)</f>
        <v/>
      </c>
      <c r="HI69" s="61" t="n"/>
      <c r="HJ69" s="57" t="n"/>
      <c r="HK69" s="58">
        <f>HA69</f>
        <v/>
      </c>
      <c r="HL69" s="59" t="n"/>
      <c r="HM69" s="57" t="n"/>
      <c r="HN69" s="57" t="n"/>
      <c r="HO69" s="57" t="n"/>
      <c r="HP69" s="57" t="n"/>
      <c r="HQ69" s="60">
        <f>SUM(HM69:HP69)</f>
        <v/>
      </c>
      <c r="HR69" s="61" t="n"/>
      <c r="HS69" s="57" t="n"/>
      <c r="HT69" s="58">
        <f>HJ69</f>
        <v/>
      </c>
      <c r="HU69" s="59" t="n"/>
      <c r="HV69" s="57" t="n"/>
      <c r="HW69" s="57" t="n"/>
      <c r="HX69" s="57" t="n"/>
      <c r="HY69" s="57" t="n"/>
      <c r="HZ69" s="60">
        <f>SUM(HV69:HY69)</f>
        <v/>
      </c>
      <c r="IA69" s="61" t="n"/>
      <c r="IB69" s="57" t="n"/>
      <c r="IC69" s="58">
        <f>HS69</f>
        <v/>
      </c>
      <c r="ID69" s="59" t="n"/>
      <c r="IE69" s="57" t="n"/>
      <c r="IF69" s="57" t="n"/>
      <c r="IG69" s="57" t="n"/>
      <c r="IH69" s="57" t="n"/>
      <c r="II69" s="60">
        <f>SUM(IE69:IH69)</f>
        <v/>
      </c>
      <c r="IJ69" s="61" t="n"/>
      <c r="IK69" s="57" t="n"/>
      <c r="IL69" s="58">
        <f>IB69</f>
        <v/>
      </c>
      <c r="IM69" s="59" t="n"/>
      <c r="IN69" s="57" t="n"/>
      <c r="IO69" s="57" t="n"/>
      <c r="IP69" s="57" t="n"/>
      <c r="IQ69" s="57" t="n"/>
      <c r="IR69" s="60">
        <f>SUM(IN69:IQ69)</f>
        <v/>
      </c>
      <c r="IS69" s="61" t="n"/>
      <c r="IT69" s="57" t="n"/>
      <c r="IU69" s="58">
        <f>IK69</f>
        <v/>
      </c>
      <c r="IV69" s="59" t="n"/>
      <c r="IW69" s="57" t="n"/>
      <c r="IX69" s="57" t="n"/>
      <c r="IY69" s="57" t="n"/>
      <c r="IZ69" s="57" t="n"/>
      <c r="JA69" s="60">
        <f>SUM(IW69:IZ69)</f>
        <v/>
      </c>
      <c r="JB69" s="61" t="n"/>
      <c r="JC69" s="57" t="n"/>
      <c r="JD69" s="58">
        <f>IT69</f>
        <v/>
      </c>
      <c r="JE69" s="59" t="n"/>
      <c r="JF69" s="57" t="n"/>
      <c r="JG69" s="57" t="n"/>
      <c r="JH69" s="57" t="n"/>
      <c r="JI69" s="57" t="n"/>
      <c r="JJ69" s="60">
        <f>SUM(JF69:JI69)</f>
        <v/>
      </c>
      <c r="JK69" s="61" t="n"/>
      <c r="JL69" s="57" t="n"/>
      <c r="JM69" s="58">
        <f>JC69</f>
        <v/>
      </c>
      <c r="JN69" s="59" t="n"/>
      <c r="JO69" s="57" t="n"/>
      <c r="JP69" s="57" t="n"/>
      <c r="JQ69" s="57" t="n"/>
      <c r="JR69" s="57" t="n"/>
      <c r="JS69" s="60">
        <f>SUM(JO69:JR69)</f>
        <v/>
      </c>
      <c r="JT69" s="61" t="n"/>
      <c r="JU69" s="62">
        <f>I69+R69+AA69+AJ69+AS69+BB69+BK69+BT69+CC69+CL69+CU69+DD69+DM69+DV69+EE69+EN69+EW69+FF69+FO69+FX69+GG69+GP69+GY69+HH69+HQ69+HZ69+II69+IR69+JA69+JJ69+JS69</f>
        <v/>
      </c>
      <c r="JV69" s="63">
        <f>D69+M69+V69+AE69+AN69+AW69+BF69+BO69+BX69+CG69+CP69+CY69+DH69+DQ69+DZ69+EI69+ER69+FA69+FJ69+FS69+GB69+GK69+GT69+HC69+HL69+HU69+ID69+IM69+IV69+JE69+JN69</f>
        <v/>
      </c>
      <c r="JW69" s="62">
        <f>CHOOSE($Z$3,B69, K69, T69, AC69, AL69, AU69, BD69, BM69, BV69, CE69, CN69, CW69, DF69, DO69, DX69, EG69, EP69, EY69, FH69, FQ69, FZ69, GI69, GR69, HA69, HJ69, HS69, IB69, IK69, IT69, JC69, JL69)</f>
        <v/>
      </c>
      <c r="JX69" s="62">
        <f>IFERROR(JU69/$Z$3,0)</f>
        <v/>
      </c>
      <c r="JY69" s="62">
        <f>Configurações!$C$9</f>
        <v/>
      </c>
      <c r="JZ69" s="64">
        <f>IF(JY69=0,"— Sem meta",IF(JU69&gt;=JY69,"✓ Atingida","Em andamento"))</f>
        <v/>
      </c>
      <c r="KA69" s="65">
        <f>JU69+(11*0.0000001)</f>
        <v/>
      </c>
    </row>
    <row r="70" ht="20" customHeight="1">
      <c r="A70" s="56">
        <f>IF(Configurações!$B$10="","Assessor 4",Configurações!$B$10)</f>
        <v/>
      </c>
      <c r="B70" s="57" t="n"/>
      <c r="C70" s="66">
        <f>'Agosto'!$JW70</f>
        <v/>
      </c>
      <c r="D70" s="59" t="n"/>
      <c r="E70" s="57" t="n"/>
      <c r="F70" s="57" t="n"/>
      <c r="G70" s="57" t="n"/>
      <c r="H70" s="57" t="n"/>
      <c r="I70" s="67">
        <f>SUM(E70:H70)</f>
        <v/>
      </c>
      <c r="J70" s="61" t="n"/>
      <c r="K70" s="57" t="n"/>
      <c r="L70" s="66">
        <f>B70</f>
        <v/>
      </c>
      <c r="M70" s="59" t="n"/>
      <c r="N70" s="57" t="n"/>
      <c r="O70" s="57" t="n"/>
      <c r="P70" s="57" t="n"/>
      <c r="Q70" s="57" t="n"/>
      <c r="R70" s="67">
        <f>SUM(N70:Q70)</f>
        <v/>
      </c>
      <c r="S70" s="61" t="n"/>
      <c r="T70" s="57" t="n"/>
      <c r="U70" s="66">
        <f>K70</f>
        <v/>
      </c>
      <c r="V70" s="59" t="n"/>
      <c r="W70" s="57" t="n"/>
      <c r="X70" s="57" t="n"/>
      <c r="Y70" s="57" t="n"/>
      <c r="Z70" s="57" t="n"/>
      <c r="AA70" s="67">
        <f>SUM(W70:Z70)</f>
        <v/>
      </c>
      <c r="AB70" s="61" t="n"/>
      <c r="AC70" s="57" t="n"/>
      <c r="AD70" s="66">
        <f>T70</f>
        <v/>
      </c>
      <c r="AE70" s="59" t="n"/>
      <c r="AF70" s="57" t="n"/>
      <c r="AG70" s="57" t="n"/>
      <c r="AH70" s="57" t="n"/>
      <c r="AI70" s="57" t="n"/>
      <c r="AJ70" s="67">
        <f>SUM(AF70:AI70)</f>
        <v/>
      </c>
      <c r="AK70" s="61" t="n"/>
      <c r="AL70" s="57" t="n"/>
      <c r="AM70" s="66">
        <f>AC70</f>
        <v/>
      </c>
      <c r="AN70" s="59" t="n"/>
      <c r="AO70" s="57" t="n"/>
      <c r="AP70" s="57" t="n"/>
      <c r="AQ70" s="57" t="n"/>
      <c r="AR70" s="57" t="n"/>
      <c r="AS70" s="67">
        <f>SUM(AO70:AR70)</f>
        <v/>
      </c>
      <c r="AT70" s="61" t="n"/>
      <c r="AU70" s="57" t="n"/>
      <c r="AV70" s="66">
        <f>AL70</f>
        <v/>
      </c>
      <c r="AW70" s="59" t="n"/>
      <c r="AX70" s="57" t="n"/>
      <c r="AY70" s="57" t="n"/>
      <c r="AZ70" s="57" t="n"/>
      <c r="BA70" s="57" t="n"/>
      <c r="BB70" s="67">
        <f>SUM(AX70:BA70)</f>
        <v/>
      </c>
      <c r="BC70" s="61" t="n"/>
      <c r="BD70" s="57" t="n"/>
      <c r="BE70" s="66">
        <f>AU70</f>
        <v/>
      </c>
      <c r="BF70" s="59" t="n"/>
      <c r="BG70" s="57" t="n"/>
      <c r="BH70" s="57" t="n"/>
      <c r="BI70" s="57" t="n"/>
      <c r="BJ70" s="57" t="n"/>
      <c r="BK70" s="67">
        <f>SUM(BG70:BJ70)</f>
        <v/>
      </c>
      <c r="BL70" s="61" t="n"/>
      <c r="BM70" s="57" t="n"/>
      <c r="BN70" s="66">
        <f>BD70</f>
        <v/>
      </c>
      <c r="BO70" s="59" t="n"/>
      <c r="BP70" s="57" t="n"/>
      <c r="BQ70" s="57" t="n"/>
      <c r="BR70" s="57" t="n"/>
      <c r="BS70" s="57" t="n"/>
      <c r="BT70" s="67">
        <f>SUM(BP70:BS70)</f>
        <v/>
      </c>
      <c r="BU70" s="61" t="n"/>
      <c r="BV70" s="57" t="n"/>
      <c r="BW70" s="66">
        <f>BM70</f>
        <v/>
      </c>
      <c r="BX70" s="59" t="n"/>
      <c r="BY70" s="57" t="n"/>
      <c r="BZ70" s="57" t="n"/>
      <c r="CA70" s="57" t="n"/>
      <c r="CB70" s="57" t="n"/>
      <c r="CC70" s="67">
        <f>SUM(BY70:CB70)</f>
        <v/>
      </c>
      <c r="CD70" s="61" t="n"/>
      <c r="CE70" s="57" t="n"/>
      <c r="CF70" s="66">
        <f>BV70</f>
        <v/>
      </c>
      <c r="CG70" s="59" t="n"/>
      <c r="CH70" s="57" t="n"/>
      <c r="CI70" s="57" t="n"/>
      <c r="CJ70" s="57" t="n"/>
      <c r="CK70" s="57" t="n"/>
      <c r="CL70" s="67">
        <f>SUM(CH70:CK70)</f>
        <v/>
      </c>
      <c r="CM70" s="61" t="n"/>
      <c r="CN70" s="57" t="n"/>
      <c r="CO70" s="66">
        <f>CE70</f>
        <v/>
      </c>
      <c r="CP70" s="59" t="n"/>
      <c r="CQ70" s="57" t="n"/>
      <c r="CR70" s="57" t="n"/>
      <c r="CS70" s="57" t="n"/>
      <c r="CT70" s="57" t="n"/>
      <c r="CU70" s="67">
        <f>SUM(CQ70:CT70)</f>
        <v/>
      </c>
      <c r="CV70" s="61" t="n"/>
      <c r="CW70" s="57" t="n"/>
      <c r="CX70" s="66">
        <f>CN70</f>
        <v/>
      </c>
      <c r="CY70" s="59" t="n"/>
      <c r="CZ70" s="57" t="n"/>
      <c r="DA70" s="57" t="n"/>
      <c r="DB70" s="57" t="n"/>
      <c r="DC70" s="57" t="n"/>
      <c r="DD70" s="67">
        <f>SUM(CZ70:DC70)</f>
        <v/>
      </c>
      <c r="DE70" s="61" t="n"/>
      <c r="DF70" s="57" t="n"/>
      <c r="DG70" s="66">
        <f>CW70</f>
        <v/>
      </c>
      <c r="DH70" s="59" t="n"/>
      <c r="DI70" s="57" t="n"/>
      <c r="DJ70" s="57" t="n"/>
      <c r="DK70" s="57" t="n"/>
      <c r="DL70" s="57" t="n"/>
      <c r="DM70" s="67">
        <f>SUM(DI70:DL70)</f>
        <v/>
      </c>
      <c r="DN70" s="61" t="n"/>
      <c r="DO70" s="57" t="n"/>
      <c r="DP70" s="66">
        <f>DF70</f>
        <v/>
      </c>
      <c r="DQ70" s="59" t="n"/>
      <c r="DR70" s="57" t="n"/>
      <c r="DS70" s="57" t="n"/>
      <c r="DT70" s="57" t="n"/>
      <c r="DU70" s="57" t="n"/>
      <c r="DV70" s="67">
        <f>SUM(DR70:DU70)</f>
        <v/>
      </c>
      <c r="DW70" s="61" t="n"/>
      <c r="DX70" s="57" t="n"/>
      <c r="DY70" s="66">
        <f>DO70</f>
        <v/>
      </c>
      <c r="DZ70" s="59" t="n"/>
      <c r="EA70" s="57" t="n"/>
      <c r="EB70" s="57" t="n"/>
      <c r="EC70" s="57" t="n"/>
      <c r="ED70" s="57" t="n"/>
      <c r="EE70" s="67">
        <f>SUM(EA70:ED70)</f>
        <v/>
      </c>
      <c r="EF70" s="61" t="n"/>
      <c r="EG70" s="57" t="n"/>
      <c r="EH70" s="66">
        <f>DX70</f>
        <v/>
      </c>
      <c r="EI70" s="59" t="n"/>
      <c r="EJ70" s="57" t="n"/>
      <c r="EK70" s="57" t="n"/>
      <c r="EL70" s="57" t="n"/>
      <c r="EM70" s="57" t="n"/>
      <c r="EN70" s="67">
        <f>SUM(EJ70:EM70)</f>
        <v/>
      </c>
      <c r="EO70" s="61" t="n"/>
      <c r="EP70" s="57" t="n"/>
      <c r="EQ70" s="66">
        <f>EG70</f>
        <v/>
      </c>
      <c r="ER70" s="59" t="n"/>
      <c r="ES70" s="57" t="n"/>
      <c r="ET70" s="57" t="n"/>
      <c r="EU70" s="57" t="n"/>
      <c r="EV70" s="57" t="n"/>
      <c r="EW70" s="67">
        <f>SUM(ES70:EV70)</f>
        <v/>
      </c>
      <c r="EX70" s="61" t="n"/>
      <c r="EY70" s="57" t="n"/>
      <c r="EZ70" s="66">
        <f>EP70</f>
        <v/>
      </c>
      <c r="FA70" s="59" t="n"/>
      <c r="FB70" s="57" t="n"/>
      <c r="FC70" s="57" t="n"/>
      <c r="FD70" s="57" t="n"/>
      <c r="FE70" s="57" t="n"/>
      <c r="FF70" s="67">
        <f>SUM(FB70:FE70)</f>
        <v/>
      </c>
      <c r="FG70" s="61" t="n"/>
      <c r="FH70" s="57" t="n"/>
      <c r="FI70" s="66">
        <f>EY70</f>
        <v/>
      </c>
      <c r="FJ70" s="59" t="n"/>
      <c r="FK70" s="57" t="n"/>
      <c r="FL70" s="57" t="n"/>
      <c r="FM70" s="57" t="n"/>
      <c r="FN70" s="57" t="n"/>
      <c r="FO70" s="67">
        <f>SUM(FK70:FN70)</f>
        <v/>
      </c>
      <c r="FP70" s="61" t="n"/>
      <c r="FQ70" s="57" t="n"/>
      <c r="FR70" s="66">
        <f>FH70</f>
        <v/>
      </c>
      <c r="FS70" s="59" t="n"/>
      <c r="FT70" s="57" t="n"/>
      <c r="FU70" s="57" t="n"/>
      <c r="FV70" s="57" t="n"/>
      <c r="FW70" s="57" t="n"/>
      <c r="FX70" s="67">
        <f>SUM(FT70:FW70)</f>
        <v/>
      </c>
      <c r="FY70" s="61" t="n"/>
      <c r="FZ70" s="57" t="n"/>
      <c r="GA70" s="66">
        <f>FQ70</f>
        <v/>
      </c>
      <c r="GB70" s="59" t="n"/>
      <c r="GC70" s="57" t="n"/>
      <c r="GD70" s="57" t="n"/>
      <c r="GE70" s="57" t="n"/>
      <c r="GF70" s="57" t="n"/>
      <c r="GG70" s="67">
        <f>SUM(GC70:GF70)</f>
        <v/>
      </c>
      <c r="GH70" s="61" t="n"/>
      <c r="GI70" s="57" t="n"/>
      <c r="GJ70" s="66">
        <f>FZ70</f>
        <v/>
      </c>
      <c r="GK70" s="59" t="n"/>
      <c r="GL70" s="57" t="n"/>
      <c r="GM70" s="57" t="n"/>
      <c r="GN70" s="57" t="n"/>
      <c r="GO70" s="57" t="n"/>
      <c r="GP70" s="67">
        <f>SUM(GL70:GO70)</f>
        <v/>
      </c>
      <c r="GQ70" s="61" t="n"/>
      <c r="GR70" s="57" t="n"/>
      <c r="GS70" s="66">
        <f>GI70</f>
        <v/>
      </c>
      <c r="GT70" s="59" t="n"/>
      <c r="GU70" s="57" t="n"/>
      <c r="GV70" s="57" t="n"/>
      <c r="GW70" s="57" t="n"/>
      <c r="GX70" s="57" t="n"/>
      <c r="GY70" s="67">
        <f>SUM(GU70:GX70)</f>
        <v/>
      </c>
      <c r="GZ70" s="61" t="n"/>
      <c r="HA70" s="57" t="n"/>
      <c r="HB70" s="66">
        <f>GR70</f>
        <v/>
      </c>
      <c r="HC70" s="59" t="n"/>
      <c r="HD70" s="57" t="n"/>
      <c r="HE70" s="57" t="n"/>
      <c r="HF70" s="57" t="n"/>
      <c r="HG70" s="57" t="n"/>
      <c r="HH70" s="67">
        <f>SUM(HD70:HG70)</f>
        <v/>
      </c>
      <c r="HI70" s="61" t="n"/>
      <c r="HJ70" s="57" t="n"/>
      <c r="HK70" s="66">
        <f>HA70</f>
        <v/>
      </c>
      <c r="HL70" s="59" t="n"/>
      <c r="HM70" s="57" t="n"/>
      <c r="HN70" s="57" t="n"/>
      <c r="HO70" s="57" t="n"/>
      <c r="HP70" s="57" t="n"/>
      <c r="HQ70" s="67">
        <f>SUM(HM70:HP70)</f>
        <v/>
      </c>
      <c r="HR70" s="61" t="n"/>
      <c r="HS70" s="57" t="n"/>
      <c r="HT70" s="66">
        <f>HJ70</f>
        <v/>
      </c>
      <c r="HU70" s="59" t="n"/>
      <c r="HV70" s="57" t="n"/>
      <c r="HW70" s="57" t="n"/>
      <c r="HX70" s="57" t="n"/>
      <c r="HY70" s="57" t="n"/>
      <c r="HZ70" s="67">
        <f>SUM(HV70:HY70)</f>
        <v/>
      </c>
      <c r="IA70" s="61" t="n"/>
      <c r="IB70" s="57" t="n"/>
      <c r="IC70" s="66">
        <f>HS70</f>
        <v/>
      </c>
      <c r="ID70" s="59" t="n"/>
      <c r="IE70" s="57" t="n"/>
      <c r="IF70" s="57" t="n"/>
      <c r="IG70" s="57" t="n"/>
      <c r="IH70" s="57" t="n"/>
      <c r="II70" s="67">
        <f>SUM(IE70:IH70)</f>
        <v/>
      </c>
      <c r="IJ70" s="61" t="n"/>
      <c r="IK70" s="57" t="n"/>
      <c r="IL70" s="66">
        <f>IB70</f>
        <v/>
      </c>
      <c r="IM70" s="59" t="n"/>
      <c r="IN70" s="57" t="n"/>
      <c r="IO70" s="57" t="n"/>
      <c r="IP70" s="57" t="n"/>
      <c r="IQ70" s="57" t="n"/>
      <c r="IR70" s="67">
        <f>SUM(IN70:IQ70)</f>
        <v/>
      </c>
      <c r="IS70" s="61" t="n"/>
      <c r="IT70" s="57" t="n"/>
      <c r="IU70" s="66">
        <f>IK70</f>
        <v/>
      </c>
      <c r="IV70" s="59" t="n"/>
      <c r="IW70" s="57" t="n"/>
      <c r="IX70" s="57" t="n"/>
      <c r="IY70" s="57" t="n"/>
      <c r="IZ70" s="57" t="n"/>
      <c r="JA70" s="67">
        <f>SUM(IW70:IZ70)</f>
        <v/>
      </c>
      <c r="JB70" s="61" t="n"/>
      <c r="JC70" s="57" t="n"/>
      <c r="JD70" s="66">
        <f>IT70</f>
        <v/>
      </c>
      <c r="JE70" s="59" t="n"/>
      <c r="JF70" s="57" t="n"/>
      <c r="JG70" s="57" t="n"/>
      <c r="JH70" s="57" t="n"/>
      <c r="JI70" s="57" t="n"/>
      <c r="JJ70" s="67">
        <f>SUM(JF70:JI70)</f>
        <v/>
      </c>
      <c r="JK70" s="61" t="n"/>
      <c r="JL70" s="57" t="n"/>
      <c r="JM70" s="66">
        <f>JC70</f>
        <v/>
      </c>
      <c r="JN70" s="59" t="n"/>
      <c r="JO70" s="57" t="n"/>
      <c r="JP70" s="57" t="n"/>
      <c r="JQ70" s="57" t="n"/>
      <c r="JR70" s="57" t="n"/>
      <c r="JS70" s="67">
        <f>SUM(JO70:JR70)</f>
        <v/>
      </c>
      <c r="JT70" s="61" t="n"/>
      <c r="JU70" s="62">
        <f>I70+R70+AA70+AJ70+AS70+BB70+BK70+BT70+CC70+CL70+CU70+DD70+DM70+DV70+EE70+EN70+EW70+FF70+FO70+FX70+GG70+GP70+GY70+HH70+HQ70+HZ70+II70+IR70+JA70+JJ70+JS70</f>
        <v/>
      </c>
      <c r="JV70" s="63">
        <f>D70+M70+V70+AE70+AN70+AW70+BF70+BO70+BX70+CG70+CP70+CY70+DH70+DQ70+DZ70+EI70+ER70+FA70+FJ70+FS70+GB70+GK70+GT70+HC70+HL70+HU70+ID70+IM70+IV70+JE70+JN70</f>
        <v/>
      </c>
      <c r="JW70" s="62">
        <f>CHOOSE($Z$3,B70, K70, T70, AC70, AL70, AU70, BD70, BM70, BV70, CE70, CN70, CW70, DF70, DO70, DX70, EG70, EP70, EY70, FH70, FQ70, FZ70, GI70, GR70, HA70, HJ70, HS70, IB70, IK70, IT70, JC70, JL70)</f>
        <v/>
      </c>
      <c r="JX70" s="62">
        <f>IFERROR(JU70/$Z$3,0)</f>
        <v/>
      </c>
      <c r="JY70" s="62">
        <f>Configurações!$C$10</f>
        <v/>
      </c>
      <c r="JZ70" s="64">
        <f>IF(JY70=0,"— Sem meta",IF(JU70&gt;=JY70,"✓ Atingida","Em andamento"))</f>
        <v/>
      </c>
      <c r="KA70" s="65">
        <f>JU70+(10*0.0000001)</f>
        <v/>
      </c>
    </row>
    <row r="71" ht="20" customHeight="1">
      <c r="A71" s="56">
        <f>IF(Configurações!$B$11="","Assessor 5",Configurações!$B$11)</f>
        <v/>
      </c>
      <c r="B71" s="57" t="n"/>
      <c r="C71" s="58">
        <f>'Agosto'!$JW71</f>
        <v/>
      </c>
      <c r="D71" s="59" t="n"/>
      <c r="E71" s="57" t="n"/>
      <c r="F71" s="57" t="n"/>
      <c r="G71" s="57" t="n"/>
      <c r="H71" s="57" t="n"/>
      <c r="I71" s="60">
        <f>SUM(E71:H71)</f>
        <v/>
      </c>
      <c r="J71" s="61" t="n"/>
      <c r="K71" s="57" t="n"/>
      <c r="L71" s="58">
        <f>B71</f>
        <v/>
      </c>
      <c r="M71" s="59" t="n"/>
      <c r="N71" s="57" t="n"/>
      <c r="O71" s="57" t="n"/>
      <c r="P71" s="57" t="n"/>
      <c r="Q71" s="57" t="n"/>
      <c r="R71" s="60">
        <f>SUM(N71:Q71)</f>
        <v/>
      </c>
      <c r="S71" s="61" t="n"/>
      <c r="T71" s="57" t="n"/>
      <c r="U71" s="58">
        <f>K71</f>
        <v/>
      </c>
      <c r="V71" s="59" t="n"/>
      <c r="W71" s="57" t="n"/>
      <c r="X71" s="57" t="n"/>
      <c r="Y71" s="57" t="n"/>
      <c r="Z71" s="57" t="n"/>
      <c r="AA71" s="60">
        <f>SUM(W71:Z71)</f>
        <v/>
      </c>
      <c r="AB71" s="61" t="n"/>
      <c r="AC71" s="57" t="n"/>
      <c r="AD71" s="58">
        <f>T71</f>
        <v/>
      </c>
      <c r="AE71" s="59" t="n"/>
      <c r="AF71" s="57" t="n"/>
      <c r="AG71" s="57" t="n"/>
      <c r="AH71" s="57" t="n"/>
      <c r="AI71" s="57" t="n"/>
      <c r="AJ71" s="60">
        <f>SUM(AF71:AI71)</f>
        <v/>
      </c>
      <c r="AK71" s="61" t="n"/>
      <c r="AL71" s="57" t="n"/>
      <c r="AM71" s="58">
        <f>AC71</f>
        <v/>
      </c>
      <c r="AN71" s="59" t="n"/>
      <c r="AO71" s="57" t="n"/>
      <c r="AP71" s="57" t="n"/>
      <c r="AQ71" s="57" t="n"/>
      <c r="AR71" s="57" t="n"/>
      <c r="AS71" s="60">
        <f>SUM(AO71:AR71)</f>
        <v/>
      </c>
      <c r="AT71" s="61" t="n"/>
      <c r="AU71" s="57" t="n"/>
      <c r="AV71" s="58">
        <f>AL71</f>
        <v/>
      </c>
      <c r="AW71" s="59" t="n"/>
      <c r="AX71" s="57" t="n"/>
      <c r="AY71" s="57" t="n"/>
      <c r="AZ71" s="57" t="n"/>
      <c r="BA71" s="57" t="n"/>
      <c r="BB71" s="60">
        <f>SUM(AX71:BA71)</f>
        <v/>
      </c>
      <c r="BC71" s="61" t="n"/>
      <c r="BD71" s="57" t="n"/>
      <c r="BE71" s="58">
        <f>AU71</f>
        <v/>
      </c>
      <c r="BF71" s="59" t="n"/>
      <c r="BG71" s="57" t="n"/>
      <c r="BH71" s="57" t="n"/>
      <c r="BI71" s="57" t="n"/>
      <c r="BJ71" s="57" t="n"/>
      <c r="BK71" s="60">
        <f>SUM(BG71:BJ71)</f>
        <v/>
      </c>
      <c r="BL71" s="61" t="n"/>
      <c r="BM71" s="57" t="n"/>
      <c r="BN71" s="58">
        <f>BD71</f>
        <v/>
      </c>
      <c r="BO71" s="59" t="n"/>
      <c r="BP71" s="57" t="n"/>
      <c r="BQ71" s="57" t="n"/>
      <c r="BR71" s="57" t="n"/>
      <c r="BS71" s="57" t="n"/>
      <c r="BT71" s="60">
        <f>SUM(BP71:BS71)</f>
        <v/>
      </c>
      <c r="BU71" s="61" t="n"/>
      <c r="BV71" s="57" t="n"/>
      <c r="BW71" s="58">
        <f>BM71</f>
        <v/>
      </c>
      <c r="BX71" s="59" t="n"/>
      <c r="BY71" s="57" t="n"/>
      <c r="BZ71" s="57" t="n"/>
      <c r="CA71" s="57" t="n"/>
      <c r="CB71" s="57" t="n"/>
      <c r="CC71" s="60">
        <f>SUM(BY71:CB71)</f>
        <v/>
      </c>
      <c r="CD71" s="61" t="n"/>
      <c r="CE71" s="57" t="n"/>
      <c r="CF71" s="58">
        <f>BV71</f>
        <v/>
      </c>
      <c r="CG71" s="59" t="n"/>
      <c r="CH71" s="57" t="n"/>
      <c r="CI71" s="57" t="n"/>
      <c r="CJ71" s="57" t="n"/>
      <c r="CK71" s="57" t="n"/>
      <c r="CL71" s="60">
        <f>SUM(CH71:CK71)</f>
        <v/>
      </c>
      <c r="CM71" s="61" t="n"/>
      <c r="CN71" s="57" t="n"/>
      <c r="CO71" s="58">
        <f>CE71</f>
        <v/>
      </c>
      <c r="CP71" s="59" t="n"/>
      <c r="CQ71" s="57" t="n"/>
      <c r="CR71" s="57" t="n"/>
      <c r="CS71" s="57" t="n"/>
      <c r="CT71" s="57" t="n"/>
      <c r="CU71" s="60">
        <f>SUM(CQ71:CT71)</f>
        <v/>
      </c>
      <c r="CV71" s="61" t="n"/>
      <c r="CW71" s="57" t="n"/>
      <c r="CX71" s="58">
        <f>CN71</f>
        <v/>
      </c>
      <c r="CY71" s="59" t="n"/>
      <c r="CZ71" s="57" t="n"/>
      <c r="DA71" s="57" t="n"/>
      <c r="DB71" s="57" t="n"/>
      <c r="DC71" s="57" t="n"/>
      <c r="DD71" s="60">
        <f>SUM(CZ71:DC71)</f>
        <v/>
      </c>
      <c r="DE71" s="61" t="n"/>
      <c r="DF71" s="57" t="n"/>
      <c r="DG71" s="58">
        <f>CW71</f>
        <v/>
      </c>
      <c r="DH71" s="59" t="n"/>
      <c r="DI71" s="57" t="n"/>
      <c r="DJ71" s="57" t="n"/>
      <c r="DK71" s="57" t="n"/>
      <c r="DL71" s="57" t="n"/>
      <c r="DM71" s="60">
        <f>SUM(DI71:DL71)</f>
        <v/>
      </c>
      <c r="DN71" s="61" t="n"/>
      <c r="DO71" s="57" t="n"/>
      <c r="DP71" s="58">
        <f>DF71</f>
        <v/>
      </c>
      <c r="DQ71" s="59" t="n"/>
      <c r="DR71" s="57" t="n"/>
      <c r="DS71" s="57" t="n"/>
      <c r="DT71" s="57" t="n"/>
      <c r="DU71" s="57" t="n"/>
      <c r="DV71" s="60">
        <f>SUM(DR71:DU71)</f>
        <v/>
      </c>
      <c r="DW71" s="61" t="n"/>
      <c r="DX71" s="57" t="n"/>
      <c r="DY71" s="58">
        <f>DO71</f>
        <v/>
      </c>
      <c r="DZ71" s="59" t="n"/>
      <c r="EA71" s="57" t="n"/>
      <c r="EB71" s="57" t="n"/>
      <c r="EC71" s="57" t="n"/>
      <c r="ED71" s="57" t="n"/>
      <c r="EE71" s="60">
        <f>SUM(EA71:ED71)</f>
        <v/>
      </c>
      <c r="EF71" s="61" t="n"/>
      <c r="EG71" s="57" t="n"/>
      <c r="EH71" s="58">
        <f>DX71</f>
        <v/>
      </c>
      <c r="EI71" s="59" t="n"/>
      <c r="EJ71" s="57" t="n"/>
      <c r="EK71" s="57" t="n"/>
      <c r="EL71" s="57" t="n"/>
      <c r="EM71" s="57" t="n"/>
      <c r="EN71" s="60">
        <f>SUM(EJ71:EM71)</f>
        <v/>
      </c>
      <c r="EO71" s="61" t="n"/>
      <c r="EP71" s="57" t="n"/>
      <c r="EQ71" s="58">
        <f>EG71</f>
        <v/>
      </c>
      <c r="ER71" s="59" t="n"/>
      <c r="ES71" s="57" t="n"/>
      <c r="ET71" s="57" t="n"/>
      <c r="EU71" s="57" t="n"/>
      <c r="EV71" s="57" t="n"/>
      <c r="EW71" s="60">
        <f>SUM(ES71:EV71)</f>
        <v/>
      </c>
      <c r="EX71" s="61" t="n"/>
      <c r="EY71" s="57" t="n"/>
      <c r="EZ71" s="58">
        <f>EP71</f>
        <v/>
      </c>
      <c r="FA71" s="59" t="n"/>
      <c r="FB71" s="57" t="n"/>
      <c r="FC71" s="57" t="n"/>
      <c r="FD71" s="57" t="n"/>
      <c r="FE71" s="57" t="n"/>
      <c r="FF71" s="60">
        <f>SUM(FB71:FE71)</f>
        <v/>
      </c>
      <c r="FG71" s="61" t="n"/>
      <c r="FH71" s="57" t="n"/>
      <c r="FI71" s="58">
        <f>EY71</f>
        <v/>
      </c>
      <c r="FJ71" s="59" t="n"/>
      <c r="FK71" s="57" t="n"/>
      <c r="FL71" s="57" t="n"/>
      <c r="FM71" s="57" t="n"/>
      <c r="FN71" s="57" t="n"/>
      <c r="FO71" s="60">
        <f>SUM(FK71:FN71)</f>
        <v/>
      </c>
      <c r="FP71" s="61" t="n"/>
      <c r="FQ71" s="57" t="n"/>
      <c r="FR71" s="58">
        <f>FH71</f>
        <v/>
      </c>
      <c r="FS71" s="59" t="n"/>
      <c r="FT71" s="57" t="n"/>
      <c r="FU71" s="57" t="n"/>
      <c r="FV71" s="57" t="n"/>
      <c r="FW71" s="57" t="n"/>
      <c r="FX71" s="60">
        <f>SUM(FT71:FW71)</f>
        <v/>
      </c>
      <c r="FY71" s="61" t="n"/>
      <c r="FZ71" s="57" t="n"/>
      <c r="GA71" s="58">
        <f>FQ71</f>
        <v/>
      </c>
      <c r="GB71" s="59" t="n"/>
      <c r="GC71" s="57" t="n"/>
      <c r="GD71" s="57" t="n"/>
      <c r="GE71" s="57" t="n"/>
      <c r="GF71" s="57" t="n"/>
      <c r="GG71" s="60">
        <f>SUM(GC71:GF71)</f>
        <v/>
      </c>
      <c r="GH71" s="61" t="n"/>
      <c r="GI71" s="57" t="n"/>
      <c r="GJ71" s="58">
        <f>FZ71</f>
        <v/>
      </c>
      <c r="GK71" s="59" t="n"/>
      <c r="GL71" s="57" t="n"/>
      <c r="GM71" s="57" t="n"/>
      <c r="GN71" s="57" t="n"/>
      <c r="GO71" s="57" t="n"/>
      <c r="GP71" s="60">
        <f>SUM(GL71:GO71)</f>
        <v/>
      </c>
      <c r="GQ71" s="61" t="n"/>
      <c r="GR71" s="57" t="n"/>
      <c r="GS71" s="58">
        <f>GI71</f>
        <v/>
      </c>
      <c r="GT71" s="59" t="n"/>
      <c r="GU71" s="57" t="n"/>
      <c r="GV71" s="57" t="n"/>
      <c r="GW71" s="57" t="n"/>
      <c r="GX71" s="57" t="n"/>
      <c r="GY71" s="60">
        <f>SUM(GU71:GX71)</f>
        <v/>
      </c>
      <c r="GZ71" s="61" t="n"/>
      <c r="HA71" s="57" t="n"/>
      <c r="HB71" s="58">
        <f>GR71</f>
        <v/>
      </c>
      <c r="HC71" s="59" t="n"/>
      <c r="HD71" s="57" t="n"/>
      <c r="HE71" s="57" t="n"/>
      <c r="HF71" s="57" t="n"/>
      <c r="HG71" s="57" t="n"/>
      <c r="HH71" s="60">
        <f>SUM(HD71:HG71)</f>
        <v/>
      </c>
      <c r="HI71" s="61" t="n"/>
      <c r="HJ71" s="57" t="n"/>
      <c r="HK71" s="58">
        <f>HA71</f>
        <v/>
      </c>
      <c r="HL71" s="59" t="n"/>
      <c r="HM71" s="57" t="n"/>
      <c r="HN71" s="57" t="n"/>
      <c r="HO71" s="57" t="n"/>
      <c r="HP71" s="57" t="n"/>
      <c r="HQ71" s="60">
        <f>SUM(HM71:HP71)</f>
        <v/>
      </c>
      <c r="HR71" s="61" t="n"/>
      <c r="HS71" s="57" t="n"/>
      <c r="HT71" s="58">
        <f>HJ71</f>
        <v/>
      </c>
      <c r="HU71" s="59" t="n"/>
      <c r="HV71" s="57" t="n"/>
      <c r="HW71" s="57" t="n"/>
      <c r="HX71" s="57" t="n"/>
      <c r="HY71" s="57" t="n"/>
      <c r="HZ71" s="60">
        <f>SUM(HV71:HY71)</f>
        <v/>
      </c>
      <c r="IA71" s="61" t="n"/>
      <c r="IB71" s="57" t="n"/>
      <c r="IC71" s="58">
        <f>HS71</f>
        <v/>
      </c>
      <c r="ID71" s="59" t="n"/>
      <c r="IE71" s="57" t="n"/>
      <c r="IF71" s="57" t="n"/>
      <c r="IG71" s="57" t="n"/>
      <c r="IH71" s="57" t="n"/>
      <c r="II71" s="60">
        <f>SUM(IE71:IH71)</f>
        <v/>
      </c>
      <c r="IJ71" s="61" t="n"/>
      <c r="IK71" s="57" t="n"/>
      <c r="IL71" s="58">
        <f>IB71</f>
        <v/>
      </c>
      <c r="IM71" s="59" t="n"/>
      <c r="IN71" s="57" t="n"/>
      <c r="IO71" s="57" t="n"/>
      <c r="IP71" s="57" t="n"/>
      <c r="IQ71" s="57" t="n"/>
      <c r="IR71" s="60">
        <f>SUM(IN71:IQ71)</f>
        <v/>
      </c>
      <c r="IS71" s="61" t="n"/>
      <c r="IT71" s="57" t="n"/>
      <c r="IU71" s="58">
        <f>IK71</f>
        <v/>
      </c>
      <c r="IV71" s="59" t="n"/>
      <c r="IW71" s="57" t="n"/>
      <c r="IX71" s="57" t="n"/>
      <c r="IY71" s="57" t="n"/>
      <c r="IZ71" s="57" t="n"/>
      <c r="JA71" s="60">
        <f>SUM(IW71:IZ71)</f>
        <v/>
      </c>
      <c r="JB71" s="61" t="n"/>
      <c r="JC71" s="57" t="n"/>
      <c r="JD71" s="58">
        <f>IT71</f>
        <v/>
      </c>
      <c r="JE71" s="59" t="n"/>
      <c r="JF71" s="57" t="n"/>
      <c r="JG71" s="57" t="n"/>
      <c r="JH71" s="57" t="n"/>
      <c r="JI71" s="57" t="n"/>
      <c r="JJ71" s="60">
        <f>SUM(JF71:JI71)</f>
        <v/>
      </c>
      <c r="JK71" s="61" t="n"/>
      <c r="JL71" s="57" t="n"/>
      <c r="JM71" s="58">
        <f>JC71</f>
        <v/>
      </c>
      <c r="JN71" s="59" t="n"/>
      <c r="JO71" s="57" t="n"/>
      <c r="JP71" s="57" t="n"/>
      <c r="JQ71" s="57" t="n"/>
      <c r="JR71" s="57" t="n"/>
      <c r="JS71" s="60">
        <f>SUM(JO71:JR71)</f>
        <v/>
      </c>
      <c r="JT71" s="61" t="n"/>
      <c r="JU71" s="62">
        <f>I71+R71+AA71+AJ71+AS71+BB71+BK71+BT71+CC71+CL71+CU71+DD71+DM71+DV71+EE71+EN71+EW71+FF71+FO71+FX71+GG71+GP71+GY71+HH71+HQ71+HZ71+II71+IR71+JA71+JJ71+JS71</f>
        <v/>
      </c>
      <c r="JV71" s="63">
        <f>D71+M71+V71+AE71+AN71+AW71+BF71+BO71+BX71+CG71+CP71+CY71+DH71+DQ71+DZ71+EI71+ER71+FA71+FJ71+FS71+GB71+GK71+GT71+HC71+HL71+HU71+ID71+IM71+IV71+JE71+JN71</f>
        <v/>
      </c>
      <c r="JW71" s="62">
        <f>CHOOSE($Z$3,B71, K71, T71, AC71, AL71, AU71, BD71, BM71, BV71, CE71, CN71, CW71, DF71, DO71, DX71, EG71, EP71, EY71, FH71, FQ71, FZ71, GI71, GR71, HA71, HJ71, HS71, IB71, IK71, IT71, JC71, JL71)</f>
        <v/>
      </c>
      <c r="JX71" s="62">
        <f>IFERROR(JU71/$Z$3,0)</f>
        <v/>
      </c>
      <c r="JY71" s="62">
        <f>Configurações!$C$11</f>
        <v/>
      </c>
      <c r="JZ71" s="64">
        <f>IF(JY71=0,"— Sem meta",IF(JU71&gt;=JY71,"✓ Atingida","Em andamento"))</f>
        <v/>
      </c>
      <c r="KA71" s="65">
        <f>JU71+(9*0.0000001)</f>
        <v/>
      </c>
    </row>
    <row r="72" ht="20" customHeight="1">
      <c r="A72" s="56">
        <f>IF(Configurações!$B$12="","Assessor 6",Configurações!$B$12)</f>
        <v/>
      </c>
      <c r="B72" s="57" t="n"/>
      <c r="C72" s="66">
        <f>'Agosto'!$JW72</f>
        <v/>
      </c>
      <c r="D72" s="59" t="n"/>
      <c r="E72" s="57" t="n"/>
      <c r="F72" s="57" t="n"/>
      <c r="G72" s="57" t="n"/>
      <c r="H72" s="57" t="n"/>
      <c r="I72" s="67">
        <f>SUM(E72:H72)</f>
        <v/>
      </c>
      <c r="J72" s="61" t="n"/>
      <c r="K72" s="57" t="n"/>
      <c r="L72" s="66">
        <f>B72</f>
        <v/>
      </c>
      <c r="M72" s="59" t="n"/>
      <c r="N72" s="57" t="n"/>
      <c r="O72" s="57" t="n"/>
      <c r="P72" s="57" t="n"/>
      <c r="Q72" s="57" t="n"/>
      <c r="R72" s="67">
        <f>SUM(N72:Q72)</f>
        <v/>
      </c>
      <c r="S72" s="61" t="n"/>
      <c r="T72" s="57" t="n"/>
      <c r="U72" s="66">
        <f>K72</f>
        <v/>
      </c>
      <c r="V72" s="59" t="n"/>
      <c r="W72" s="57" t="n"/>
      <c r="X72" s="57" t="n"/>
      <c r="Y72" s="57" t="n"/>
      <c r="Z72" s="57" t="n"/>
      <c r="AA72" s="67">
        <f>SUM(W72:Z72)</f>
        <v/>
      </c>
      <c r="AB72" s="61" t="n"/>
      <c r="AC72" s="57" t="n"/>
      <c r="AD72" s="66">
        <f>T72</f>
        <v/>
      </c>
      <c r="AE72" s="59" t="n"/>
      <c r="AF72" s="57" t="n"/>
      <c r="AG72" s="57" t="n"/>
      <c r="AH72" s="57" t="n"/>
      <c r="AI72" s="57" t="n"/>
      <c r="AJ72" s="67">
        <f>SUM(AF72:AI72)</f>
        <v/>
      </c>
      <c r="AK72" s="61" t="n"/>
      <c r="AL72" s="57" t="n"/>
      <c r="AM72" s="66">
        <f>AC72</f>
        <v/>
      </c>
      <c r="AN72" s="59" t="n"/>
      <c r="AO72" s="57" t="n"/>
      <c r="AP72" s="57" t="n"/>
      <c r="AQ72" s="57" t="n"/>
      <c r="AR72" s="57" t="n"/>
      <c r="AS72" s="67">
        <f>SUM(AO72:AR72)</f>
        <v/>
      </c>
      <c r="AT72" s="61" t="n"/>
      <c r="AU72" s="57" t="n"/>
      <c r="AV72" s="66">
        <f>AL72</f>
        <v/>
      </c>
      <c r="AW72" s="59" t="n"/>
      <c r="AX72" s="57" t="n"/>
      <c r="AY72" s="57" t="n"/>
      <c r="AZ72" s="57" t="n"/>
      <c r="BA72" s="57" t="n"/>
      <c r="BB72" s="67">
        <f>SUM(AX72:BA72)</f>
        <v/>
      </c>
      <c r="BC72" s="61" t="n"/>
      <c r="BD72" s="57" t="n"/>
      <c r="BE72" s="66">
        <f>AU72</f>
        <v/>
      </c>
      <c r="BF72" s="59" t="n"/>
      <c r="BG72" s="57" t="n"/>
      <c r="BH72" s="57" t="n"/>
      <c r="BI72" s="57" t="n"/>
      <c r="BJ72" s="57" t="n"/>
      <c r="BK72" s="67">
        <f>SUM(BG72:BJ72)</f>
        <v/>
      </c>
      <c r="BL72" s="61" t="n"/>
      <c r="BM72" s="57" t="n"/>
      <c r="BN72" s="66">
        <f>BD72</f>
        <v/>
      </c>
      <c r="BO72" s="59" t="n"/>
      <c r="BP72" s="57" t="n"/>
      <c r="BQ72" s="57" t="n"/>
      <c r="BR72" s="57" t="n"/>
      <c r="BS72" s="57" t="n"/>
      <c r="BT72" s="67">
        <f>SUM(BP72:BS72)</f>
        <v/>
      </c>
      <c r="BU72" s="61" t="n"/>
      <c r="BV72" s="57" t="n"/>
      <c r="BW72" s="66">
        <f>BM72</f>
        <v/>
      </c>
      <c r="BX72" s="59" t="n"/>
      <c r="BY72" s="57" t="n"/>
      <c r="BZ72" s="57" t="n"/>
      <c r="CA72" s="57" t="n"/>
      <c r="CB72" s="57" t="n"/>
      <c r="CC72" s="67">
        <f>SUM(BY72:CB72)</f>
        <v/>
      </c>
      <c r="CD72" s="61" t="n"/>
      <c r="CE72" s="57" t="n"/>
      <c r="CF72" s="66">
        <f>BV72</f>
        <v/>
      </c>
      <c r="CG72" s="59" t="n"/>
      <c r="CH72" s="57" t="n"/>
      <c r="CI72" s="57" t="n"/>
      <c r="CJ72" s="57" t="n"/>
      <c r="CK72" s="57" t="n"/>
      <c r="CL72" s="67">
        <f>SUM(CH72:CK72)</f>
        <v/>
      </c>
      <c r="CM72" s="61" t="n"/>
      <c r="CN72" s="57" t="n"/>
      <c r="CO72" s="66">
        <f>CE72</f>
        <v/>
      </c>
      <c r="CP72" s="59" t="n"/>
      <c r="CQ72" s="57" t="n"/>
      <c r="CR72" s="57" t="n"/>
      <c r="CS72" s="57" t="n"/>
      <c r="CT72" s="57" t="n"/>
      <c r="CU72" s="67">
        <f>SUM(CQ72:CT72)</f>
        <v/>
      </c>
      <c r="CV72" s="61" t="n"/>
      <c r="CW72" s="57" t="n"/>
      <c r="CX72" s="66">
        <f>CN72</f>
        <v/>
      </c>
      <c r="CY72" s="59" t="n"/>
      <c r="CZ72" s="57" t="n"/>
      <c r="DA72" s="57" t="n"/>
      <c r="DB72" s="57" t="n"/>
      <c r="DC72" s="57" t="n"/>
      <c r="DD72" s="67">
        <f>SUM(CZ72:DC72)</f>
        <v/>
      </c>
      <c r="DE72" s="61" t="n"/>
      <c r="DF72" s="57" t="n"/>
      <c r="DG72" s="66">
        <f>CW72</f>
        <v/>
      </c>
      <c r="DH72" s="59" t="n"/>
      <c r="DI72" s="57" t="n"/>
      <c r="DJ72" s="57" t="n"/>
      <c r="DK72" s="57" t="n"/>
      <c r="DL72" s="57" t="n"/>
      <c r="DM72" s="67">
        <f>SUM(DI72:DL72)</f>
        <v/>
      </c>
      <c r="DN72" s="61" t="n"/>
      <c r="DO72" s="57" t="n"/>
      <c r="DP72" s="66">
        <f>DF72</f>
        <v/>
      </c>
      <c r="DQ72" s="59" t="n"/>
      <c r="DR72" s="57" t="n"/>
      <c r="DS72" s="57" t="n"/>
      <c r="DT72" s="57" t="n"/>
      <c r="DU72" s="57" t="n"/>
      <c r="DV72" s="67">
        <f>SUM(DR72:DU72)</f>
        <v/>
      </c>
      <c r="DW72" s="61" t="n"/>
      <c r="DX72" s="57" t="n"/>
      <c r="DY72" s="66">
        <f>DO72</f>
        <v/>
      </c>
      <c r="DZ72" s="59" t="n"/>
      <c r="EA72" s="57" t="n"/>
      <c r="EB72" s="57" t="n"/>
      <c r="EC72" s="57" t="n"/>
      <c r="ED72" s="57" t="n"/>
      <c r="EE72" s="67">
        <f>SUM(EA72:ED72)</f>
        <v/>
      </c>
      <c r="EF72" s="61" t="n"/>
      <c r="EG72" s="57" t="n"/>
      <c r="EH72" s="66">
        <f>DX72</f>
        <v/>
      </c>
      <c r="EI72" s="59" t="n"/>
      <c r="EJ72" s="57" t="n"/>
      <c r="EK72" s="57" t="n"/>
      <c r="EL72" s="57" t="n"/>
      <c r="EM72" s="57" t="n"/>
      <c r="EN72" s="67">
        <f>SUM(EJ72:EM72)</f>
        <v/>
      </c>
      <c r="EO72" s="61" t="n"/>
      <c r="EP72" s="57" t="n"/>
      <c r="EQ72" s="66">
        <f>EG72</f>
        <v/>
      </c>
      <c r="ER72" s="59" t="n"/>
      <c r="ES72" s="57" t="n"/>
      <c r="ET72" s="57" t="n"/>
      <c r="EU72" s="57" t="n"/>
      <c r="EV72" s="57" t="n"/>
      <c r="EW72" s="67">
        <f>SUM(ES72:EV72)</f>
        <v/>
      </c>
      <c r="EX72" s="61" t="n"/>
      <c r="EY72" s="57" t="n"/>
      <c r="EZ72" s="66">
        <f>EP72</f>
        <v/>
      </c>
      <c r="FA72" s="59" t="n"/>
      <c r="FB72" s="57" t="n"/>
      <c r="FC72" s="57" t="n"/>
      <c r="FD72" s="57" t="n"/>
      <c r="FE72" s="57" t="n"/>
      <c r="FF72" s="67">
        <f>SUM(FB72:FE72)</f>
        <v/>
      </c>
      <c r="FG72" s="61" t="n"/>
      <c r="FH72" s="57" t="n"/>
      <c r="FI72" s="66">
        <f>EY72</f>
        <v/>
      </c>
      <c r="FJ72" s="59" t="n"/>
      <c r="FK72" s="57" t="n"/>
      <c r="FL72" s="57" t="n"/>
      <c r="FM72" s="57" t="n"/>
      <c r="FN72" s="57" t="n"/>
      <c r="FO72" s="67">
        <f>SUM(FK72:FN72)</f>
        <v/>
      </c>
      <c r="FP72" s="61" t="n"/>
      <c r="FQ72" s="57" t="n"/>
      <c r="FR72" s="66">
        <f>FH72</f>
        <v/>
      </c>
      <c r="FS72" s="59" t="n"/>
      <c r="FT72" s="57" t="n"/>
      <c r="FU72" s="57" t="n"/>
      <c r="FV72" s="57" t="n"/>
      <c r="FW72" s="57" t="n"/>
      <c r="FX72" s="67">
        <f>SUM(FT72:FW72)</f>
        <v/>
      </c>
      <c r="FY72" s="61" t="n"/>
      <c r="FZ72" s="57" t="n"/>
      <c r="GA72" s="66">
        <f>FQ72</f>
        <v/>
      </c>
      <c r="GB72" s="59" t="n"/>
      <c r="GC72" s="57" t="n"/>
      <c r="GD72" s="57" t="n"/>
      <c r="GE72" s="57" t="n"/>
      <c r="GF72" s="57" t="n"/>
      <c r="GG72" s="67">
        <f>SUM(GC72:GF72)</f>
        <v/>
      </c>
      <c r="GH72" s="61" t="n"/>
      <c r="GI72" s="57" t="n"/>
      <c r="GJ72" s="66">
        <f>FZ72</f>
        <v/>
      </c>
      <c r="GK72" s="59" t="n"/>
      <c r="GL72" s="57" t="n"/>
      <c r="GM72" s="57" t="n"/>
      <c r="GN72" s="57" t="n"/>
      <c r="GO72" s="57" t="n"/>
      <c r="GP72" s="67">
        <f>SUM(GL72:GO72)</f>
        <v/>
      </c>
      <c r="GQ72" s="61" t="n"/>
      <c r="GR72" s="57" t="n"/>
      <c r="GS72" s="66">
        <f>GI72</f>
        <v/>
      </c>
      <c r="GT72" s="59" t="n"/>
      <c r="GU72" s="57" t="n"/>
      <c r="GV72" s="57" t="n"/>
      <c r="GW72" s="57" t="n"/>
      <c r="GX72" s="57" t="n"/>
      <c r="GY72" s="67">
        <f>SUM(GU72:GX72)</f>
        <v/>
      </c>
      <c r="GZ72" s="61" t="n"/>
      <c r="HA72" s="57" t="n"/>
      <c r="HB72" s="66">
        <f>GR72</f>
        <v/>
      </c>
      <c r="HC72" s="59" t="n"/>
      <c r="HD72" s="57" t="n"/>
      <c r="HE72" s="57" t="n"/>
      <c r="HF72" s="57" t="n"/>
      <c r="HG72" s="57" t="n"/>
      <c r="HH72" s="67">
        <f>SUM(HD72:HG72)</f>
        <v/>
      </c>
      <c r="HI72" s="61" t="n"/>
      <c r="HJ72" s="57" t="n"/>
      <c r="HK72" s="66">
        <f>HA72</f>
        <v/>
      </c>
      <c r="HL72" s="59" t="n"/>
      <c r="HM72" s="57" t="n"/>
      <c r="HN72" s="57" t="n"/>
      <c r="HO72" s="57" t="n"/>
      <c r="HP72" s="57" t="n"/>
      <c r="HQ72" s="67">
        <f>SUM(HM72:HP72)</f>
        <v/>
      </c>
      <c r="HR72" s="61" t="n"/>
      <c r="HS72" s="57" t="n"/>
      <c r="HT72" s="66">
        <f>HJ72</f>
        <v/>
      </c>
      <c r="HU72" s="59" t="n"/>
      <c r="HV72" s="57" t="n"/>
      <c r="HW72" s="57" t="n"/>
      <c r="HX72" s="57" t="n"/>
      <c r="HY72" s="57" t="n"/>
      <c r="HZ72" s="67">
        <f>SUM(HV72:HY72)</f>
        <v/>
      </c>
      <c r="IA72" s="61" t="n"/>
      <c r="IB72" s="57" t="n"/>
      <c r="IC72" s="66">
        <f>HS72</f>
        <v/>
      </c>
      <c r="ID72" s="59" t="n"/>
      <c r="IE72" s="57" t="n"/>
      <c r="IF72" s="57" t="n"/>
      <c r="IG72" s="57" t="n"/>
      <c r="IH72" s="57" t="n"/>
      <c r="II72" s="67">
        <f>SUM(IE72:IH72)</f>
        <v/>
      </c>
      <c r="IJ72" s="61" t="n"/>
      <c r="IK72" s="57" t="n"/>
      <c r="IL72" s="66">
        <f>IB72</f>
        <v/>
      </c>
      <c r="IM72" s="59" t="n"/>
      <c r="IN72" s="57" t="n"/>
      <c r="IO72" s="57" t="n"/>
      <c r="IP72" s="57" t="n"/>
      <c r="IQ72" s="57" t="n"/>
      <c r="IR72" s="67">
        <f>SUM(IN72:IQ72)</f>
        <v/>
      </c>
      <c r="IS72" s="61" t="n"/>
      <c r="IT72" s="57" t="n"/>
      <c r="IU72" s="66">
        <f>IK72</f>
        <v/>
      </c>
      <c r="IV72" s="59" t="n"/>
      <c r="IW72" s="57" t="n"/>
      <c r="IX72" s="57" t="n"/>
      <c r="IY72" s="57" t="n"/>
      <c r="IZ72" s="57" t="n"/>
      <c r="JA72" s="67">
        <f>SUM(IW72:IZ72)</f>
        <v/>
      </c>
      <c r="JB72" s="61" t="n"/>
      <c r="JC72" s="57" t="n"/>
      <c r="JD72" s="66">
        <f>IT72</f>
        <v/>
      </c>
      <c r="JE72" s="59" t="n"/>
      <c r="JF72" s="57" t="n"/>
      <c r="JG72" s="57" t="n"/>
      <c r="JH72" s="57" t="n"/>
      <c r="JI72" s="57" t="n"/>
      <c r="JJ72" s="67">
        <f>SUM(JF72:JI72)</f>
        <v/>
      </c>
      <c r="JK72" s="61" t="n"/>
      <c r="JL72" s="57" t="n"/>
      <c r="JM72" s="66">
        <f>JC72</f>
        <v/>
      </c>
      <c r="JN72" s="59" t="n"/>
      <c r="JO72" s="57" t="n"/>
      <c r="JP72" s="57" t="n"/>
      <c r="JQ72" s="57" t="n"/>
      <c r="JR72" s="57" t="n"/>
      <c r="JS72" s="67">
        <f>SUM(JO72:JR72)</f>
        <v/>
      </c>
      <c r="JT72" s="61" t="n"/>
      <c r="JU72" s="62">
        <f>I72+R72+AA72+AJ72+AS72+BB72+BK72+BT72+CC72+CL72+CU72+DD72+DM72+DV72+EE72+EN72+EW72+FF72+FO72+FX72+GG72+GP72+GY72+HH72+HQ72+HZ72+II72+IR72+JA72+JJ72+JS72</f>
        <v/>
      </c>
      <c r="JV72" s="63">
        <f>D72+M72+V72+AE72+AN72+AW72+BF72+BO72+BX72+CG72+CP72+CY72+DH72+DQ72+DZ72+EI72+ER72+FA72+FJ72+FS72+GB72+GK72+GT72+HC72+HL72+HU72+ID72+IM72+IV72+JE72+JN72</f>
        <v/>
      </c>
      <c r="JW72" s="62">
        <f>CHOOSE($Z$3,B72, K72, T72, AC72, AL72, AU72, BD72, BM72, BV72, CE72, CN72, CW72, DF72, DO72, DX72, EG72, EP72, EY72, FH72, FQ72, FZ72, GI72, GR72, HA72, HJ72, HS72, IB72, IK72, IT72, JC72, JL72)</f>
        <v/>
      </c>
      <c r="JX72" s="62">
        <f>IFERROR(JU72/$Z$3,0)</f>
        <v/>
      </c>
      <c r="JY72" s="62">
        <f>Configurações!$C$12</f>
        <v/>
      </c>
      <c r="JZ72" s="64">
        <f>IF(JY72=0,"— Sem meta",IF(JU72&gt;=JY72,"✓ Atingida","Em andamento"))</f>
        <v/>
      </c>
      <c r="KA72" s="65">
        <f>JU72+(8*0.0000001)</f>
        <v/>
      </c>
    </row>
    <row r="73" ht="20" customHeight="1">
      <c r="A73" s="56">
        <f>IF(Configurações!$B$13="","Assessor 7",Configurações!$B$13)</f>
        <v/>
      </c>
      <c r="B73" s="57" t="n"/>
      <c r="C73" s="58">
        <f>'Agosto'!$JW73</f>
        <v/>
      </c>
      <c r="D73" s="59" t="n"/>
      <c r="E73" s="57" t="n"/>
      <c r="F73" s="57" t="n"/>
      <c r="G73" s="57" t="n"/>
      <c r="H73" s="57" t="n"/>
      <c r="I73" s="60">
        <f>SUM(E73:H73)</f>
        <v/>
      </c>
      <c r="J73" s="61" t="n"/>
      <c r="K73" s="57" t="n"/>
      <c r="L73" s="58">
        <f>B73</f>
        <v/>
      </c>
      <c r="M73" s="59" t="n"/>
      <c r="N73" s="57" t="n"/>
      <c r="O73" s="57" t="n"/>
      <c r="P73" s="57" t="n"/>
      <c r="Q73" s="57" t="n"/>
      <c r="R73" s="60">
        <f>SUM(N73:Q73)</f>
        <v/>
      </c>
      <c r="S73" s="61" t="n"/>
      <c r="T73" s="57" t="n"/>
      <c r="U73" s="58">
        <f>K73</f>
        <v/>
      </c>
      <c r="V73" s="59" t="n"/>
      <c r="W73" s="57" t="n"/>
      <c r="X73" s="57" t="n"/>
      <c r="Y73" s="57" t="n"/>
      <c r="Z73" s="57" t="n"/>
      <c r="AA73" s="60">
        <f>SUM(W73:Z73)</f>
        <v/>
      </c>
      <c r="AB73" s="61" t="n"/>
      <c r="AC73" s="57" t="n"/>
      <c r="AD73" s="58">
        <f>T73</f>
        <v/>
      </c>
      <c r="AE73" s="59" t="n"/>
      <c r="AF73" s="57" t="n"/>
      <c r="AG73" s="57" t="n"/>
      <c r="AH73" s="57" t="n"/>
      <c r="AI73" s="57" t="n"/>
      <c r="AJ73" s="60">
        <f>SUM(AF73:AI73)</f>
        <v/>
      </c>
      <c r="AK73" s="61" t="n"/>
      <c r="AL73" s="57" t="n"/>
      <c r="AM73" s="58">
        <f>AC73</f>
        <v/>
      </c>
      <c r="AN73" s="59" t="n"/>
      <c r="AO73" s="57" t="n"/>
      <c r="AP73" s="57" t="n"/>
      <c r="AQ73" s="57" t="n"/>
      <c r="AR73" s="57" t="n"/>
      <c r="AS73" s="60">
        <f>SUM(AO73:AR73)</f>
        <v/>
      </c>
      <c r="AT73" s="61" t="n"/>
      <c r="AU73" s="57" t="n"/>
      <c r="AV73" s="58">
        <f>AL73</f>
        <v/>
      </c>
      <c r="AW73" s="59" t="n"/>
      <c r="AX73" s="57" t="n"/>
      <c r="AY73" s="57" t="n"/>
      <c r="AZ73" s="57" t="n"/>
      <c r="BA73" s="57" t="n"/>
      <c r="BB73" s="60">
        <f>SUM(AX73:BA73)</f>
        <v/>
      </c>
      <c r="BC73" s="61" t="n"/>
      <c r="BD73" s="57" t="n"/>
      <c r="BE73" s="58">
        <f>AU73</f>
        <v/>
      </c>
      <c r="BF73" s="59" t="n"/>
      <c r="BG73" s="57" t="n"/>
      <c r="BH73" s="57" t="n"/>
      <c r="BI73" s="57" t="n"/>
      <c r="BJ73" s="57" t="n"/>
      <c r="BK73" s="60">
        <f>SUM(BG73:BJ73)</f>
        <v/>
      </c>
      <c r="BL73" s="61" t="n"/>
      <c r="BM73" s="57" t="n"/>
      <c r="BN73" s="58">
        <f>BD73</f>
        <v/>
      </c>
      <c r="BO73" s="59" t="n"/>
      <c r="BP73" s="57" t="n"/>
      <c r="BQ73" s="57" t="n"/>
      <c r="BR73" s="57" t="n"/>
      <c r="BS73" s="57" t="n"/>
      <c r="BT73" s="60">
        <f>SUM(BP73:BS73)</f>
        <v/>
      </c>
      <c r="BU73" s="61" t="n"/>
      <c r="BV73" s="57" t="n"/>
      <c r="BW73" s="58">
        <f>BM73</f>
        <v/>
      </c>
      <c r="BX73" s="59" t="n"/>
      <c r="BY73" s="57" t="n"/>
      <c r="BZ73" s="57" t="n"/>
      <c r="CA73" s="57" t="n"/>
      <c r="CB73" s="57" t="n"/>
      <c r="CC73" s="60">
        <f>SUM(BY73:CB73)</f>
        <v/>
      </c>
      <c r="CD73" s="61" t="n"/>
      <c r="CE73" s="57" t="n"/>
      <c r="CF73" s="58">
        <f>BV73</f>
        <v/>
      </c>
      <c r="CG73" s="59" t="n"/>
      <c r="CH73" s="57" t="n"/>
      <c r="CI73" s="57" t="n"/>
      <c r="CJ73" s="57" t="n"/>
      <c r="CK73" s="57" t="n"/>
      <c r="CL73" s="60">
        <f>SUM(CH73:CK73)</f>
        <v/>
      </c>
      <c r="CM73" s="61" t="n"/>
      <c r="CN73" s="57" t="n"/>
      <c r="CO73" s="58">
        <f>CE73</f>
        <v/>
      </c>
      <c r="CP73" s="59" t="n"/>
      <c r="CQ73" s="57" t="n"/>
      <c r="CR73" s="57" t="n"/>
      <c r="CS73" s="57" t="n"/>
      <c r="CT73" s="57" t="n"/>
      <c r="CU73" s="60">
        <f>SUM(CQ73:CT73)</f>
        <v/>
      </c>
      <c r="CV73" s="61" t="n"/>
      <c r="CW73" s="57" t="n"/>
      <c r="CX73" s="58">
        <f>CN73</f>
        <v/>
      </c>
      <c r="CY73" s="59" t="n"/>
      <c r="CZ73" s="57" t="n"/>
      <c r="DA73" s="57" t="n"/>
      <c r="DB73" s="57" t="n"/>
      <c r="DC73" s="57" t="n"/>
      <c r="DD73" s="60">
        <f>SUM(CZ73:DC73)</f>
        <v/>
      </c>
      <c r="DE73" s="61" t="n"/>
      <c r="DF73" s="57" t="n"/>
      <c r="DG73" s="58">
        <f>CW73</f>
        <v/>
      </c>
      <c r="DH73" s="59" t="n"/>
      <c r="DI73" s="57" t="n"/>
      <c r="DJ73" s="57" t="n"/>
      <c r="DK73" s="57" t="n"/>
      <c r="DL73" s="57" t="n"/>
      <c r="DM73" s="60">
        <f>SUM(DI73:DL73)</f>
        <v/>
      </c>
      <c r="DN73" s="61" t="n"/>
      <c r="DO73" s="57" t="n"/>
      <c r="DP73" s="58">
        <f>DF73</f>
        <v/>
      </c>
      <c r="DQ73" s="59" t="n"/>
      <c r="DR73" s="57" t="n"/>
      <c r="DS73" s="57" t="n"/>
      <c r="DT73" s="57" t="n"/>
      <c r="DU73" s="57" t="n"/>
      <c r="DV73" s="60">
        <f>SUM(DR73:DU73)</f>
        <v/>
      </c>
      <c r="DW73" s="61" t="n"/>
      <c r="DX73" s="57" t="n"/>
      <c r="DY73" s="58">
        <f>DO73</f>
        <v/>
      </c>
      <c r="DZ73" s="59" t="n"/>
      <c r="EA73" s="57" t="n"/>
      <c r="EB73" s="57" t="n"/>
      <c r="EC73" s="57" t="n"/>
      <c r="ED73" s="57" t="n"/>
      <c r="EE73" s="60">
        <f>SUM(EA73:ED73)</f>
        <v/>
      </c>
      <c r="EF73" s="61" t="n"/>
      <c r="EG73" s="57" t="n"/>
      <c r="EH73" s="58">
        <f>DX73</f>
        <v/>
      </c>
      <c r="EI73" s="59" t="n"/>
      <c r="EJ73" s="57" t="n"/>
      <c r="EK73" s="57" t="n"/>
      <c r="EL73" s="57" t="n"/>
      <c r="EM73" s="57" t="n"/>
      <c r="EN73" s="60">
        <f>SUM(EJ73:EM73)</f>
        <v/>
      </c>
      <c r="EO73" s="61" t="n"/>
      <c r="EP73" s="57" t="n"/>
      <c r="EQ73" s="58">
        <f>EG73</f>
        <v/>
      </c>
      <c r="ER73" s="59" t="n"/>
      <c r="ES73" s="57" t="n"/>
      <c r="ET73" s="57" t="n"/>
      <c r="EU73" s="57" t="n"/>
      <c r="EV73" s="57" t="n"/>
      <c r="EW73" s="60">
        <f>SUM(ES73:EV73)</f>
        <v/>
      </c>
      <c r="EX73" s="61" t="n"/>
      <c r="EY73" s="57" t="n"/>
      <c r="EZ73" s="58">
        <f>EP73</f>
        <v/>
      </c>
      <c r="FA73" s="59" t="n"/>
      <c r="FB73" s="57" t="n"/>
      <c r="FC73" s="57" t="n"/>
      <c r="FD73" s="57" t="n"/>
      <c r="FE73" s="57" t="n"/>
      <c r="FF73" s="60">
        <f>SUM(FB73:FE73)</f>
        <v/>
      </c>
      <c r="FG73" s="61" t="n"/>
      <c r="FH73" s="57" t="n"/>
      <c r="FI73" s="58">
        <f>EY73</f>
        <v/>
      </c>
      <c r="FJ73" s="59" t="n"/>
      <c r="FK73" s="57" t="n"/>
      <c r="FL73" s="57" t="n"/>
      <c r="FM73" s="57" t="n"/>
      <c r="FN73" s="57" t="n"/>
      <c r="FO73" s="60">
        <f>SUM(FK73:FN73)</f>
        <v/>
      </c>
      <c r="FP73" s="61" t="n"/>
      <c r="FQ73" s="57" t="n"/>
      <c r="FR73" s="58">
        <f>FH73</f>
        <v/>
      </c>
      <c r="FS73" s="59" t="n"/>
      <c r="FT73" s="57" t="n"/>
      <c r="FU73" s="57" t="n"/>
      <c r="FV73" s="57" t="n"/>
      <c r="FW73" s="57" t="n"/>
      <c r="FX73" s="60">
        <f>SUM(FT73:FW73)</f>
        <v/>
      </c>
      <c r="FY73" s="61" t="n"/>
      <c r="FZ73" s="57" t="n"/>
      <c r="GA73" s="58">
        <f>FQ73</f>
        <v/>
      </c>
      <c r="GB73" s="59" t="n"/>
      <c r="GC73" s="57" t="n"/>
      <c r="GD73" s="57" t="n"/>
      <c r="GE73" s="57" t="n"/>
      <c r="GF73" s="57" t="n"/>
      <c r="GG73" s="60">
        <f>SUM(GC73:GF73)</f>
        <v/>
      </c>
      <c r="GH73" s="61" t="n"/>
      <c r="GI73" s="57" t="n"/>
      <c r="GJ73" s="58">
        <f>FZ73</f>
        <v/>
      </c>
      <c r="GK73" s="59" t="n"/>
      <c r="GL73" s="57" t="n"/>
      <c r="GM73" s="57" t="n"/>
      <c r="GN73" s="57" t="n"/>
      <c r="GO73" s="57" t="n"/>
      <c r="GP73" s="60">
        <f>SUM(GL73:GO73)</f>
        <v/>
      </c>
      <c r="GQ73" s="61" t="n"/>
      <c r="GR73" s="57" t="n"/>
      <c r="GS73" s="58">
        <f>GI73</f>
        <v/>
      </c>
      <c r="GT73" s="59" t="n"/>
      <c r="GU73" s="57" t="n"/>
      <c r="GV73" s="57" t="n"/>
      <c r="GW73" s="57" t="n"/>
      <c r="GX73" s="57" t="n"/>
      <c r="GY73" s="60">
        <f>SUM(GU73:GX73)</f>
        <v/>
      </c>
      <c r="GZ73" s="61" t="n"/>
      <c r="HA73" s="57" t="n"/>
      <c r="HB73" s="58">
        <f>GR73</f>
        <v/>
      </c>
      <c r="HC73" s="59" t="n"/>
      <c r="HD73" s="57" t="n"/>
      <c r="HE73" s="57" t="n"/>
      <c r="HF73" s="57" t="n"/>
      <c r="HG73" s="57" t="n"/>
      <c r="HH73" s="60">
        <f>SUM(HD73:HG73)</f>
        <v/>
      </c>
      <c r="HI73" s="61" t="n"/>
      <c r="HJ73" s="57" t="n"/>
      <c r="HK73" s="58">
        <f>HA73</f>
        <v/>
      </c>
      <c r="HL73" s="59" t="n"/>
      <c r="HM73" s="57" t="n"/>
      <c r="HN73" s="57" t="n"/>
      <c r="HO73" s="57" t="n"/>
      <c r="HP73" s="57" t="n"/>
      <c r="HQ73" s="60">
        <f>SUM(HM73:HP73)</f>
        <v/>
      </c>
      <c r="HR73" s="61" t="n"/>
      <c r="HS73" s="57" t="n"/>
      <c r="HT73" s="58">
        <f>HJ73</f>
        <v/>
      </c>
      <c r="HU73" s="59" t="n"/>
      <c r="HV73" s="57" t="n"/>
      <c r="HW73" s="57" t="n"/>
      <c r="HX73" s="57" t="n"/>
      <c r="HY73" s="57" t="n"/>
      <c r="HZ73" s="60">
        <f>SUM(HV73:HY73)</f>
        <v/>
      </c>
      <c r="IA73" s="61" t="n"/>
      <c r="IB73" s="57" t="n"/>
      <c r="IC73" s="58">
        <f>HS73</f>
        <v/>
      </c>
      <c r="ID73" s="59" t="n"/>
      <c r="IE73" s="57" t="n"/>
      <c r="IF73" s="57" t="n"/>
      <c r="IG73" s="57" t="n"/>
      <c r="IH73" s="57" t="n"/>
      <c r="II73" s="60">
        <f>SUM(IE73:IH73)</f>
        <v/>
      </c>
      <c r="IJ73" s="61" t="n"/>
      <c r="IK73" s="57" t="n"/>
      <c r="IL73" s="58">
        <f>IB73</f>
        <v/>
      </c>
      <c r="IM73" s="59" t="n"/>
      <c r="IN73" s="57" t="n"/>
      <c r="IO73" s="57" t="n"/>
      <c r="IP73" s="57" t="n"/>
      <c r="IQ73" s="57" t="n"/>
      <c r="IR73" s="60">
        <f>SUM(IN73:IQ73)</f>
        <v/>
      </c>
      <c r="IS73" s="61" t="n"/>
      <c r="IT73" s="57" t="n"/>
      <c r="IU73" s="58">
        <f>IK73</f>
        <v/>
      </c>
      <c r="IV73" s="59" t="n"/>
      <c r="IW73" s="57" t="n"/>
      <c r="IX73" s="57" t="n"/>
      <c r="IY73" s="57" t="n"/>
      <c r="IZ73" s="57" t="n"/>
      <c r="JA73" s="60">
        <f>SUM(IW73:IZ73)</f>
        <v/>
      </c>
      <c r="JB73" s="61" t="n"/>
      <c r="JC73" s="57" t="n"/>
      <c r="JD73" s="58">
        <f>IT73</f>
        <v/>
      </c>
      <c r="JE73" s="59" t="n"/>
      <c r="JF73" s="57" t="n"/>
      <c r="JG73" s="57" t="n"/>
      <c r="JH73" s="57" t="n"/>
      <c r="JI73" s="57" t="n"/>
      <c r="JJ73" s="60">
        <f>SUM(JF73:JI73)</f>
        <v/>
      </c>
      <c r="JK73" s="61" t="n"/>
      <c r="JL73" s="57" t="n"/>
      <c r="JM73" s="58">
        <f>JC73</f>
        <v/>
      </c>
      <c r="JN73" s="59" t="n"/>
      <c r="JO73" s="57" t="n"/>
      <c r="JP73" s="57" t="n"/>
      <c r="JQ73" s="57" t="n"/>
      <c r="JR73" s="57" t="n"/>
      <c r="JS73" s="60">
        <f>SUM(JO73:JR73)</f>
        <v/>
      </c>
      <c r="JT73" s="61" t="n"/>
      <c r="JU73" s="62">
        <f>I73+R73+AA73+AJ73+AS73+BB73+BK73+BT73+CC73+CL73+CU73+DD73+DM73+DV73+EE73+EN73+EW73+FF73+FO73+FX73+GG73+GP73+GY73+HH73+HQ73+HZ73+II73+IR73+JA73+JJ73+JS73</f>
        <v/>
      </c>
      <c r="JV73" s="63">
        <f>D73+M73+V73+AE73+AN73+AW73+BF73+BO73+BX73+CG73+CP73+CY73+DH73+DQ73+DZ73+EI73+ER73+FA73+FJ73+FS73+GB73+GK73+GT73+HC73+HL73+HU73+ID73+IM73+IV73+JE73+JN73</f>
        <v/>
      </c>
      <c r="JW73" s="62">
        <f>CHOOSE($Z$3,B73, K73, T73, AC73, AL73, AU73, BD73, BM73, BV73, CE73, CN73, CW73, DF73, DO73, DX73, EG73, EP73, EY73, FH73, FQ73, FZ73, GI73, GR73, HA73, HJ73, HS73, IB73, IK73, IT73, JC73, JL73)</f>
        <v/>
      </c>
      <c r="JX73" s="62">
        <f>IFERROR(JU73/$Z$3,0)</f>
        <v/>
      </c>
      <c r="JY73" s="62">
        <f>Configurações!$C$13</f>
        <v/>
      </c>
      <c r="JZ73" s="64">
        <f>IF(JY73=0,"— Sem meta",IF(JU73&gt;=JY73,"✓ Atingida","Em andamento"))</f>
        <v/>
      </c>
      <c r="KA73" s="65">
        <f>JU73+(7*0.0000001)</f>
        <v/>
      </c>
    </row>
    <row r="74" ht="20" customHeight="1">
      <c r="A74" s="56">
        <f>IF(Configurações!$B$14="","Assessor 8",Configurações!$B$14)</f>
        <v/>
      </c>
      <c r="B74" s="57" t="n"/>
      <c r="C74" s="66">
        <f>'Agosto'!$JW74</f>
        <v/>
      </c>
      <c r="D74" s="59" t="n"/>
      <c r="E74" s="57" t="n"/>
      <c r="F74" s="57" t="n"/>
      <c r="G74" s="57" t="n"/>
      <c r="H74" s="57" t="n"/>
      <c r="I74" s="67">
        <f>SUM(E74:H74)</f>
        <v/>
      </c>
      <c r="J74" s="61" t="n"/>
      <c r="K74" s="57" t="n"/>
      <c r="L74" s="66">
        <f>B74</f>
        <v/>
      </c>
      <c r="M74" s="59" t="n"/>
      <c r="N74" s="57" t="n"/>
      <c r="O74" s="57" t="n"/>
      <c r="P74" s="57" t="n"/>
      <c r="Q74" s="57" t="n"/>
      <c r="R74" s="67">
        <f>SUM(N74:Q74)</f>
        <v/>
      </c>
      <c r="S74" s="61" t="n"/>
      <c r="T74" s="57" t="n"/>
      <c r="U74" s="66">
        <f>K74</f>
        <v/>
      </c>
      <c r="V74" s="59" t="n"/>
      <c r="W74" s="57" t="n"/>
      <c r="X74" s="57" t="n"/>
      <c r="Y74" s="57" t="n"/>
      <c r="Z74" s="57" t="n"/>
      <c r="AA74" s="67">
        <f>SUM(W74:Z74)</f>
        <v/>
      </c>
      <c r="AB74" s="61" t="n"/>
      <c r="AC74" s="57" t="n"/>
      <c r="AD74" s="66">
        <f>T74</f>
        <v/>
      </c>
      <c r="AE74" s="59" t="n"/>
      <c r="AF74" s="57" t="n"/>
      <c r="AG74" s="57" t="n"/>
      <c r="AH74" s="57" t="n"/>
      <c r="AI74" s="57" t="n"/>
      <c r="AJ74" s="67">
        <f>SUM(AF74:AI74)</f>
        <v/>
      </c>
      <c r="AK74" s="61" t="n"/>
      <c r="AL74" s="57" t="n"/>
      <c r="AM74" s="66">
        <f>AC74</f>
        <v/>
      </c>
      <c r="AN74" s="59" t="n"/>
      <c r="AO74" s="57" t="n"/>
      <c r="AP74" s="57" t="n"/>
      <c r="AQ74" s="57" t="n"/>
      <c r="AR74" s="57" t="n"/>
      <c r="AS74" s="67">
        <f>SUM(AO74:AR74)</f>
        <v/>
      </c>
      <c r="AT74" s="61" t="n"/>
      <c r="AU74" s="57" t="n"/>
      <c r="AV74" s="66">
        <f>AL74</f>
        <v/>
      </c>
      <c r="AW74" s="59" t="n"/>
      <c r="AX74" s="57" t="n"/>
      <c r="AY74" s="57" t="n"/>
      <c r="AZ74" s="57" t="n"/>
      <c r="BA74" s="57" t="n"/>
      <c r="BB74" s="67">
        <f>SUM(AX74:BA74)</f>
        <v/>
      </c>
      <c r="BC74" s="61" t="n"/>
      <c r="BD74" s="57" t="n"/>
      <c r="BE74" s="66">
        <f>AU74</f>
        <v/>
      </c>
      <c r="BF74" s="59" t="n"/>
      <c r="BG74" s="57" t="n"/>
      <c r="BH74" s="57" t="n"/>
      <c r="BI74" s="57" t="n"/>
      <c r="BJ74" s="57" t="n"/>
      <c r="BK74" s="67">
        <f>SUM(BG74:BJ74)</f>
        <v/>
      </c>
      <c r="BL74" s="61" t="n"/>
      <c r="BM74" s="57" t="n"/>
      <c r="BN74" s="66">
        <f>BD74</f>
        <v/>
      </c>
      <c r="BO74" s="59" t="n"/>
      <c r="BP74" s="57" t="n"/>
      <c r="BQ74" s="57" t="n"/>
      <c r="BR74" s="57" t="n"/>
      <c r="BS74" s="57" t="n"/>
      <c r="BT74" s="67">
        <f>SUM(BP74:BS74)</f>
        <v/>
      </c>
      <c r="BU74" s="61" t="n"/>
      <c r="BV74" s="57" t="n"/>
      <c r="BW74" s="66">
        <f>BM74</f>
        <v/>
      </c>
      <c r="BX74" s="59" t="n"/>
      <c r="BY74" s="57" t="n"/>
      <c r="BZ74" s="57" t="n"/>
      <c r="CA74" s="57" t="n"/>
      <c r="CB74" s="57" t="n"/>
      <c r="CC74" s="67">
        <f>SUM(BY74:CB74)</f>
        <v/>
      </c>
      <c r="CD74" s="61" t="n"/>
      <c r="CE74" s="57" t="n"/>
      <c r="CF74" s="66">
        <f>BV74</f>
        <v/>
      </c>
      <c r="CG74" s="59" t="n"/>
      <c r="CH74" s="57" t="n"/>
      <c r="CI74" s="57" t="n"/>
      <c r="CJ74" s="57" t="n"/>
      <c r="CK74" s="57" t="n"/>
      <c r="CL74" s="67">
        <f>SUM(CH74:CK74)</f>
        <v/>
      </c>
      <c r="CM74" s="61" t="n"/>
      <c r="CN74" s="57" t="n"/>
      <c r="CO74" s="66">
        <f>CE74</f>
        <v/>
      </c>
      <c r="CP74" s="59" t="n"/>
      <c r="CQ74" s="57" t="n"/>
      <c r="CR74" s="57" t="n"/>
      <c r="CS74" s="57" t="n"/>
      <c r="CT74" s="57" t="n"/>
      <c r="CU74" s="67">
        <f>SUM(CQ74:CT74)</f>
        <v/>
      </c>
      <c r="CV74" s="61" t="n"/>
      <c r="CW74" s="57" t="n"/>
      <c r="CX74" s="66">
        <f>CN74</f>
        <v/>
      </c>
      <c r="CY74" s="59" t="n"/>
      <c r="CZ74" s="57" t="n"/>
      <c r="DA74" s="57" t="n"/>
      <c r="DB74" s="57" t="n"/>
      <c r="DC74" s="57" t="n"/>
      <c r="DD74" s="67">
        <f>SUM(CZ74:DC74)</f>
        <v/>
      </c>
      <c r="DE74" s="61" t="n"/>
      <c r="DF74" s="57" t="n"/>
      <c r="DG74" s="66">
        <f>CW74</f>
        <v/>
      </c>
      <c r="DH74" s="59" t="n"/>
      <c r="DI74" s="57" t="n"/>
      <c r="DJ74" s="57" t="n"/>
      <c r="DK74" s="57" t="n"/>
      <c r="DL74" s="57" t="n"/>
      <c r="DM74" s="67">
        <f>SUM(DI74:DL74)</f>
        <v/>
      </c>
      <c r="DN74" s="61" t="n"/>
      <c r="DO74" s="57" t="n"/>
      <c r="DP74" s="66">
        <f>DF74</f>
        <v/>
      </c>
      <c r="DQ74" s="59" t="n"/>
      <c r="DR74" s="57" t="n"/>
      <c r="DS74" s="57" t="n"/>
      <c r="DT74" s="57" t="n"/>
      <c r="DU74" s="57" t="n"/>
      <c r="DV74" s="67">
        <f>SUM(DR74:DU74)</f>
        <v/>
      </c>
      <c r="DW74" s="61" t="n"/>
      <c r="DX74" s="57" t="n"/>
      <c r="DY74" s="66">
        <f>DO74</f>
        <v/>
      </c>
      <c r="DZ74" s="59" t="n"/>
      <c r="EA74" s="57" t="n"/>
      <c r="EB74" s="57" t="n"/>
      <c r="EC74" s="57" t="n"/>
      <c r="ED74" s="57" t="n"/>
      <c r="EE74" s="67">
        <f>SUM(EA74:ED74)</f>
        <v/>
      </c>
      <c r="EF74" s="61" t="n"/>
      <c r="EG74" s="57" t="n"/>
      <c r="EH74" s="66">
        <f>DX74</f>
        <v/>
      </c>
      <c r="EI74" s="59" t="n"/>
      <c r="EJ74" s="57" t="n"/>
      <c r="EK74" s="57" t="n"/>
      <c r="EL74" s="57" t="n"/>
      <c r="EM74" s="57" t="n"/>
      <c r="EN74" s="67">
        <f>SUM(EJ74:EM74)</f>
        <v/>
      </c>
      <c r="EO74" s="61" t="n"/>
      <c r="EP74" s="57" t="n"/>
      <c r="EQ74" s="66">
        <f>EG74</f>
        <v/>
      </c>
      <c r="ER74" s="59" t="n"/>
      <c r="ES74" s="57" t="n"/>
      <c r="ET74" s="57" t="n"/>
      <c r="EU74" s="57" t="n"/>
      <c r="EV74" s="57" t="n"/>
      <c r="EW74" s="67">
        <f>SUM(ES74:EV74)</f>
        <v/>
      </c>
      <c r="EX74" s="61" t="n"/>
      <c r="EY74" s="57" t="n"/>
      <c r="EZ74" s="66">
        <f>EP74</f>
        <v/>
      </c>
      <c r="FA74" s="59" t="n"/>
      <c r="FB74" s="57" t="n"/>
      <c r="FC74" s="57" t="n"/>
      <c r="FD74" s="57" t="n"/>
      <c r="FE74" s="57" t="n"/>
      <c r="FF74" s="67">
        <f>SUM(FB74:FE74)</f>
        <v/>
      </c>
      <c r="FG74" s="61" t="n"/>
      <c r="FH74" s="57" t="n"/>
      <c r="FI74" s="66">
        <f>EY74</f>
        <v/>
      </c>
      <c r="FJ74" s="59" t="n"/>
      <c r="FK74" s="57" t="n"/>
      <c r="FL74" s="57" t="n"/>
      <c r="FM74" s="57" t="n"/>
      <c r="FN74" s="57" t="n"/>
      <c r="FO74" s="67">
        <f>SUM(FK74:FN74)</f>
        <v/>
      </c>
      <c r="FP74" s="61" t="n"/>
      <c r="FQ74" s="57" t="n"/>
      <c r="FR74" s="66">
        <f>FH74</f>
        <v/>
      </c>
      <c r="FS74" s="59" t="n"/>
      <c r="FT74" s="57" t="n"/>
      <c r="FU74" s="57" t="n"/>
      <c r="FV74" s="57" t="n"/>
      <c r="FW74" s="57" t="n"/>
      <c r="FX74" s="67">
        <f>SUM(FT74:FW74)</f>
        <v/>
      </c>
      <c r="FY74" s="61" t="n"/>
      <c r="FZ74" s="57" t="n"/>
      <c r="GA74" s="66">
        <f>FQ74</f>
        <v/>
      </c>
      <c r="GB74" s="59" t="n"/>
      <c r="GC74" s="57" t="n"/>
      <c r="GD74" s="57" t="n"/>
      <c r="GE74" s="57" t="n"/>
      <c r="GF74" s="57" t="n"/>
      <c r="GG74" s="67">
        <f>SUM(GC74:GF74)</f>
        <v/>
      </c>
      <c r="GH74" s="61" t="n"/>
      <c r="GI74" s="57" t="n"/>
      <c r="GJ74" s="66">
        <f>FZ74</f>
        <v/>
      </c>
      <c r="GK74" s="59" t="n"/>
      <c r="GL74" s="57" t="n"/>
      <c r="GM74" s="57" t="n"/>
      <c r="GN74" s="57" t="n"/>
      <c r="GO74" s="57" t="n"/>
      <c r="GP74" s="67">
        <f>SUM(GL74:GO74)</f>
        <v/>
      </c>
      <c r="GQ74" s="61" t="n"/>
      <c r="GR74" s="57" t="n"/>
      <c r="GS74" s="66">
        <f>GI74</f>
        <v/>
      </c>
      <c r="GT74" s="59" t="n"/>
      <c r="GU74" s="57" t="n"/>
      <c r="GV74" s="57" t="n"/>
      <c r="GW74" s="57" t="n"/>
      <c r="GX74" s="57" t="n"/>
      <c r="GY74" s="67">
        <f>SUM(GU74:GX74)</f>
        <v/>
      </c>
      <c r="GZ74" s="61" t="n"/>
      <c r="HA74" s="57" t="n"/>
      <c r="HB74" s="66">
        <f>GR74</f>
        <v/>
      </c>
      <c r="HC74" s="59" t="n"/>
      <c r="HD74" s="57" t="n"/>
      <c r="HE74" s="57" t="n"/>
      <c r="HF74" s="57" t="n"/>
      <c r="HG74" s="57" t="n"/>
      <c r="HH74" s="67">
        <f>SUM(HD74:HG74)</f>
        <v/>
      </c>
      <c r="HI74" s="61" t="n"/>
      <c r="HJ74" s="57" t="n"/>
      <c r="HK74" s="66">
        <f>HA74</f>
        <v/>
      </c>
      <c r="HL74" s="59" t="n"/>
      <c r="HM74" s="57" t="n"/>
      <c r="HN74" s="57" t="n"/>
      <c r="HO74" s="57" t="n"/>
      <c r="HP74" s="57" t="n"/>
      <c r="HQ74" s="67">
        <f>SUM(HM74:HP74)</f>
        <v/>
      </c>
      <c r="HR74" s="61" t="n"/>
      <c r="HS74" s="57" t="n"/>
      <c r="HT74" s="66">
        <f>HJ74</f>
        <v/>
      </c>
      <c r="HU74" s="59" t="n"/>
      <c r="HV74" s="57" t="n"/>
      <c r="HW74" s="57" t="n"/>
      <c r="HX74" s="57" t="n"/>
      <c r="HY74" s="57" t="n"/>
      <c r="HZ74" s="67">
        <f>SUM(HV74:HY74)</f>
        <v/>
      </c>
      <c r="IA74" s="61" t="n"/>
      <c r="IB74" s="57" t="n"/>
      <c r="IC74" s="66">
        <f>HS74</f>
        <v/>
      </c>
      <c r="ID74" s="59" t="n"/>
      <c r="IE74" s="57" t="n"/>
      <c r="IF74" s="57" t="n"/>
      <c r="IG74" s="57" t="n"/>
      <c r="IH74" s="57" t="n"/>
      <c r="II74" s="67">
        <f>SUM(IE74:IH74)</f>
        <v/>
      </c>
      <c r="IJ74" s="61" t="n"/>
      <c r="IK74" s="57" t="n"/>
      <c r="IL74" s="66">
        <f>IB74</f>
        <v/>
      </c>
      <c r="IM74" s="59" t="n"/>
      <c r="IN74" s="57" t="n"/>
      <c r="IO74" s="57" t="n"/>
      <c r="IP74" s="57" t="n"/>
      <c r="IQ74" s="57" t="n"/>
      <c r="IR74" s="67">
        <f>SUM(IN74:IQ74)</f>
        <v/>
      </c>
      <c r="IS74" s="61" t="n"/>
      <c r="IT74" s="57" t="n"/>
      <c r="IU74" s="66">
        <f>IK74</f>
        <v/>
      </c>
      <c r="IV74" s="59" t="n"/>
      <c r="IW74" s="57" t="n"/>
      <c r="IX74" s="57" t="n"/>
      <c r="IY74" s="57" t="n"/>
      <c r="IZ74" s="57" t="n"/>
      <c r="JA74" s="67">
        <f>SUM(IW74:IZ74)</f>
        <v/>
      </c>
      <c r="JB74" s="61" t="n"/>
      <c r="JC74" s="57" t="n"/>
      <c r="JD74" s="66">
        <f>IT74</f>
        <v/>
      </c>
      <c r="JE74" s="59" t="n"/>
      <c r="JF74" s="57" t="n"/>
      <c r="JG74" s="57" t="n"/>
      <c r="JH74" s="57" t="n"/>
      <c r="JI74" s="57" t="n"/>
      <c r="JJ74" s="67">
        <f>SUM(JF74:JI74)</f>
        <v/>
      </c>
      <c r="JK74" s="61" t="n"/>
      <c r="JL74" s="57" t="n"/>
      <c r="JM74" s="66">
        <f>JC74</f>
        <v/>
      </c>
      <c r="JN74" s="59" t="n"/>
      <c r="JO74" s="57" t="n"/>
      <c r="JP74" s="57" t="n"/>
      <c r="JQ74" s="57" t="n"/>
      <c r="JR74" s="57" t="n"/>
      <c r="JS74" s="67">
        <f>SUM(JO74:JR74)</f>
        <v/>
      </c>
      <c r="JT74" s="61" t="n"/>
      <c r="JU74" s="62">
        <f>I74+R74+AA74+AJ74+AS74+BB74+BK74+BT74+CC74+CL74+CU74+DD74+DM74+DV74+EE74+EN74+EW74+FF74+FO74+FX74+GG74+GP74+GY74+HH74+HQ74+HZ74+II74+IR74+JA74+JJ74+JS74</f>
        <v/>
      </c>
      <c r="JV74" s="63">
        <f>D74+M74+V74+AE74+AN74+AW74+BF74+BO74+BX74+CG74+CP74+CY74+DH74+DQ74+DZ74+EI74+ER74+FA74+FJ74+FS74+GB74+GK74+GT74+HC74+HL74+HU74+ID74+IM74+IV74+JE74+JN74</f>
        <v/>
      </c>
      <c r="JW74" s="62">
        <f>CHOOSE($Z$3,B74, K74, T74, AC74, AL74, AU74, BD74, BM74, BV74, CE74, CN74, CW74, DF74, DO74, DX74, EG74, EP74, EY74, FH74, FQ74, FZ74, GI74, GR74, HA74, HJ74, HS74, IB74, IK74, IT74, JC74, JL74)</f>
        <v/>
      </c>
      <c r="JX74" s="62">
        <f>IFERROR(JU74/$Z$3,0)</f>
        <v/>
      </c>
      <c r="JY74" s="62">
        <f>Configurações!$C$14</f>
        <v/>
      </c>
      <c r="JZ74" s="64">
        <f>IF(JY74=0,"— Sem meta",IF(JU74&gt;=JY74,"✓ Atingida","Em andamento"))</f>
        <v/>
      </c>
      <c r="KA74" s="65">
        <f>JU74+(6*0.0000001)</f>
        <v/>
      </c>
    </row>
    <row r="75" ht="20" customHeight="1">
      <c r="A75" s="56">
        <f>IF(Configurações!$B$15="","Assessor 9",Configurações!$B$15)</f>
        <v/>
      </c>
      <c r="B75" s="57" t="n"/>
      <c r="C75" s="58">
        <f>'Agosto'!$JW75</f>
        <v/>
      </c>
      <c r="D75" s="59" t="n"/>
      <c r="E75" s="57" t="n"/>
      <c r="F75" s="57" t="n"/>
      <c r="G75" s="57" t="n"/>
      <c r="H75" s="57" t="n"/>
      <c r="I75" s="60">
        <f>SUM(E75:H75)</f>
        <v/>
      </c>
      <c r="J75" s="61" t="n"/>
      <c r="K75" s="57" t="n"/>
      <c r="L75" s="58">
        <f>B75</f>
        <v/>
      </c>
      <c r="M75" s="59" t="n"/>
      <c r="N75" s="57" t="n"/>
      <c r="O75" s="57" t="n"/>
      <c r="P75" s="57" t="n"/>
      <c r="Q75" s="57" t="n"/>
      <c r="R75" s="60">
        <f>SUM(N75:Q75)</f>
        <v/>
      </c>
      <c r="S75" s="61" t="n"/>
      <c r="T75" s="57" t="n"/>
      <c r="U75" s="58">
        <f>K75</f>
        <v/>
      </c>
      <c r="V75" s="59" t="n"/>
      <c r="W75" s="57" t="n"/>
      <c r="X75" s="57" t="n"/>
      <c r="Y75" s="57" t="n"/>
      <c r="Z75" s="57" t="n"/>
      <c r="AA75" s="60">
        <f>SUM(W75:Z75)</f>
        <v/>
      </c>
      <c r="AB75" s="61" t="n"/>
      <c r="AC75" s="57" t="n"/>
      <c r="AD75" s="58">
        <f>T75</f>
        <v/>
      </c>
      <c r="AE75" s="59" t="n"/>
      <c r="AF75" s="57" t="n"/>
      <c r="AG75" s="57" t="n"/>
      <c r="AH75" s="57" t="n"/>
      <c r="AI75" s="57" t="n"/>
      <c r="AJ75" s="60">
        <f>SUM(AF75:AI75)</f>
        <v/>
      </c>
      <c r="AK75" s="61" t="n"/>
      <c r="AL75" s="57" t="n"/>
      <c r="AM75" s="58">
        <f>AC75</f>
        <v/>
      </c>
      <c r="AN75" s="59" t="n"/>
      <c r="AO75" s="57" t="n"/>
      <c r="AP75" s="57" t="n"/>
      <c r="AQ75" s="57" t="n"/>
      <c r="AR75" s="57" t="n"/>
      <c r="AS75" s="60">
        <f>SUM(AO75:AR75)</f>
        <v/>
      </c>
      <c r="AT75" s="61" t="n"/>
      <c r="AU75" s="57" t="n"/>
      <c r="AV75" s="58">
        <f>AL75</f>
        <v/>
      </c>
      <c r="AW75" s="59" t="n"/>
      <c r="AX75" s="57" t="n"/>
      <c r="AY75" s="57" t="n"/>
      <c r="AZ75" s="57" t="n"/>
      <c r="BA75" s="57" t="n"/>
      <c r="BB75" s="60">
        <f>SUM(AX75:BA75)</f>
        <v/>
      </c>
      <c r="BC75" s="61" t="n"/>
      <c r="BD75" s="57" t="n"/>
      <c r="BE75" s="58">
        <f>AU75</f>
        <v/>
      </c>
      <c r="BF75" s="59" t="n"/>
      <c r="BG75" s="57" t="n"/>
      <c r="BH75" s="57" t="n"/>
      <c r="BI75" s="57" t="n"/>
      <c r="BJ75" s="57" t="n"/>
      <c r="BK75" s="60">
        <f>SUM(BG75:BJ75)</f>
        <v/>
      </c>
      <c r="BL75" s="61" t="n"/>
      <c r="BM75" s="57" t="n"/>
      <c r="BN75" s="58">
        <f>BD75</f>
        <v/>
      </c>
      <c r="BO75" s="59" t="n"/>
      <c r="BP75" s="57" t="n"/>
      <c r="BQ75" s="57" t="n"/>
      <c r="BR75" s="57" t="n"/>
      <c r="BS75" s="57" t="n"/>
      <c r="BT75" s="60">
        <f>SUM(BP75:BS75)</f>
        <v/>
      </c>
      <c r="BU75" s="61" t="n"/>
      <c r="BV75" s="57" t="n"/>
      <c r="BW75" s="58">
        <f>BM75</f>
        <v/>
      </c>
      <c r="BX75" s="59" t="n"/>
      <c r="BY75" s="57" t="n"/>
      <c r="BZ75" s="57" t="n"/>
      <c r="CA75" s="57" t="n"/>
      <c r="CB75" s="57" t="n"/>
      <c r="CC75" s="60">
        <f>SUM(BY75:CB75)</f>
        <v/>
      </c>
      <c r="CD75" s="61" t="n"/>
      <c r="CE75" s="57" t="n"/>
      <c r="CF75" s="58">
        <f>BV75</f>
        <v/>
      </c>
      <c r="CG75" s="59" t="n"/>
      <c r="CH75" s="57" t="n"/>
      <c r="CI75" s="57" t="n"/>
      <c r="CJ75" s="57" t="n"/>
      <c r="CK75" s="57" t="n"/>
      <c r="CL75" s="60">
        <f>SUM(CH75:CK75)</f>
        <v/>
      </c>
      <c r="CM75" s="61" t="n"/>
      <c r="CN75" s="57" t="n"/>
      <c r="CO75" s="58">
        <f>CE75</f>
        <v/>
      </c>
      <c r="CP75" s="59" t="n"/>
      <c r="CQ75" s="57" t="n"/>
      <c r="CR75" s="57" t="n"/>
      <c r="CS75" s="57" t="n"/>
      <c r="CT75" s="57" t="n"/>
      <c r="CU75" s="60">
        <f>SUM(CQ75:CT75)</f>
        <v/>
      </c>
      <c r="CV75" s="61" t="n"/>
      <c r="CW75" s="57" t="n"/>
      <c r="CX75" s="58">
        <f>CN75</f>
        <v/>
      </c>
      <c r="CY75" s="59" t="n"/>
      <c r="CZ75" s="57" t="n"/>
      <c r="DA75" s="57" t="n"/>
      <c r="DB75" s="57" t="n"/>
      <c r="DC75" s="57" t="n"/>
      <c r="DD75" s="60">
        <f>SUM(CZ75:DC75)</f>
        <v/>
      </c>
      <c r="DE75" s="61" t="n"/>
      <c r="DF75" s="57" t="n"/>
      <c r="DG75" s="58">
        <f>CW75</f>
        <v/>
      </c>
      <c r="DH75" s="59" t="n"/>
      <c r="DI75" s="57" t="n"/>
      <c r="DJ75" s="57" t="n"/>
      <c r="DK75" s="57" t="n"/>
      <c r="DL75" s="57" t="n"/>
      <c r="DM75" s="60">
        <f>SUM(DI75:DL75)</f>
        <v/>
      </c>
      <c r="DN75" s="61" t="n"/>
      <c r="DO75" s="57" t="n"/>
      <c r="DP75" s="58">
        <f>DF75</f>
        <v/>
      </c>
      <c r="DQ75" s="59" t="n"/>
      <c r="DR75" s="57" t="n"/>
      <c r="DS75" s="57" t="n"/>
      <c r="DT75" s="57" t="n"/>
      <c r="DU75" s="57" t="n"/>
      <c r="DV75" s="60">
        <f>SUM(DR75:DU75)</f>
        <v/>
      </c>
      <c r="DW75" s="61" t="n"/>
      <c r="DX75" s="57" t="n"/>
      <c r="DY75" s="58">
        <f>DO75</f>
        <v/>
      </c>
      <c r="DZ75" s="59" t="n"/>
      <c r="EA75" s="57" t="n"/>
      <c r="EB75" s="57" t="n"/>
      <c r="EC75" s="57" t="n"/>
      <c r="ED75" s="57" t="n"/>
      <c r="EE75" s="60">
        <f>SUM(EA75:ED75)</f>
        <v/>
      </c>
      <c r="EF75" s="61" t="n"/>
      <c r="EG75" s="57" t="n"/>
      <c r="EH75" s="58">
        <f>DX75</f>
        <v/>
      </c>
      <c r="EI75" s="59" t="n"/>
      <c r="EJ75" s="57" t="n"/>
      <c r="EK75" s="57" t="n"/>
      <c r="EL75" s="57" t="n"/>
      <c r="EM75" s="57" t="n"/>
      <c r="EN75" s="60">
        <f>SUM(EJ75:EM75)</f>
        <v/>
      </c>
      <c r="EO75" s="61" t="n"/>
      <c r="EP75" s="57" t="n"/>
      <c r="EQ75" s="58">
        <f>EG75</f>
        <v/>
      </c>
      <c r="ER75" s="59" t="n"/>
      <c r="ES75" s="57" t="n"/>
      <c r="ET75" s="57" t="n"/>
      <c r="EU75" s="57" t="n"/>
      <c r="EV75" s="57" t="n"/>
      <c r="EW75" s="60">
        <f>SUM(ES75:EV75)</f>
        <v/>
      </c>
      <c r="EX75" s="61" t="n"/>
      <c r="EY75" s="57" t="n"/>
      <c r="EZ75" s="58">
        <f>EP75</f>
        <v/>
      </c>
      <c r="FA75" s="59" t="n"/>
      <c r="FB75" s="57" t="n"/>
      <c r="FC75" s="57" t="n"/>
      <c r="FD75" s="57" t="n"/>
      <c r="FE75" s="57" t="n"/>
      <c r="FF75" s="60">
        <f>SUM(FB75:FE75)</f>
        <v/>
      </c>
      <c r="FG75" s="61" t="n"/>
      <c r="FH75" s="57" t="n"/>
      <c r="FI75" s="58">
        <f>EY75</f>
        <v/>
      </c>
      <c r="FJ75" s="59" t="n"/>
      <c r="FK75" s="57" t="n"/>
      <c r="FL75" s="57" t="n"/>
      <c r="FM75" s="57" t="n"/>
      <c r="FN75" s="57" t="n"/>
      <c r="FO75" s="60">
        <f>SUM(FK75:FN75)</f>
        <v/>
      </c>
      <c r="FP75" s="61" t="n"/>
      <c r="FQ75" s="57" t="n"/>
      <c r="FR75" s="58">
        <f>FH75</f>
        <v/>
      </c>
      <c r="FS75" s="59" t="n"/>
      <c r="FT75" s="57" t="n"/>
      <c r="FU75" s="57" t="n"/>
      <c r="FV75" s="57" t="n"/>
      <c r="FW75" s="57" t="n"/>
      <c r="FX75" s="60">
        <f>SUM(FT75:FW75)</f>
        <v/>
      </c>
      <c r="FY75" s="61" t="n"/>
      <c r="FZ75" s="57" t="n"/>
      <c r="GA75" s="58">
        <f>FQ75</f>
        <v/>
      </c>
      <c r="GB75" s="59" t="n"/>
      <c r="GC75" s="57" t="n"/>
      <c r="GD75" s="57" t="n"/>
      <c r="GE75" s="57" t="n"/>
      <c r="GF75" s="57" t="n"/>
      <c r="GG75" s="60">
        <f>SUM(GC75:GF75)</f>
        <v/>
      </c>
      <c r="GH75" s="61" t="n"/>
      <c r="GI75" s="57" t="n"/>
      <c r="GJ75" s="58">
        <f>FZ75</f>
        <v/>
      </c>
      <c r="GK75" s="59" t="n"/>
      <c r="GL75" s="57" t="n"/>
      <c r="GM75" s="57" t="n"/>
      <c r="GN75" s="57" t="n"/>
      <c r="GO75" s="57" t="n"/>
      <c r="GP75" s="60">
        <f>SUM(GL75:GO75)</f>
        <v/>
      </c>
      <c r="GQ75" s="61" t="n"/>
      <c r="GR75" s="57" t="n"/>
      <c r="GS75" s="58">
        <f>GI75</f>
        <v/>
      </c>
      <c r="GT75" s="59" t="n"/>
      <c r="GU75" s="57" t="n"/>
      <c r="GV75" s="57" t="n"/>
      <c r="GW75" s="57" t="n"/>
      <c r="GX75" s="57" t="n"/>
      <c r="GY75" s="60">
        <f>SUM(GU75:GX75)</f>
        <v/>
      </c>
      <c r="GZ75" s="61" t="n"/>
      <c r="HA75" s="57" t="n"/>
      <c r="HB75" s="58">
        <f>GR75</f>
        <v/>
      </c>
      <c r="HC75" s="59" t="n"/>
      <c r="HD75" s="57" t="n"/>
      <c r="HE75" s="57" t="n"/>
      <c r="HF75" s="57" t="n"/>
      <c r="HG75" s="57" t="n"/>
      <c r="HH75" s="60">
        <f>SUM(HD75:HG75)</f>
        <v/>
      </c>
      <c r="HI75" s="61" t="n"/>
      <c r="HJ75" s="57" t="n"/>
      <c r="HK75" s="58">
        <f>HA75</f>
        <v/>
      </c>
      <c r="HL75" s="59" t="n"/>
      <c r="HM75" s="57" t="n"/>
      <c r="HN75" s="57" t="n"/>
      <c r="HO75" s="57" t="n"/>
      <c r="HP75" s="57" t="n"/>
      <c r="HQ75" s="60">
        <f>SUM(HM75:HP75)</f>
        <v/>
      </c>
      <c r="HR75" s="61" t="n"/>
      <c r="HS75" s="57" t="n"/>
      <c r="HT75" s="58">
        <f>HJ75</f>
        <v/>
      </c>
      <c r="HU75" s="59" t="n"/>
      <c r="HV75" s="57" t="n"/>
      <c r="HW75" s="57" t="n"/>
      <c r="HX75" s="57" t="n"/>
      <c r="HY75" s="57" t="n"/>
      <c r="HZ75" s="60">
        <f>SUM(HV75:HY75)</f>
        <v/>
      </c>
      <c r="IA75" s="61" t="n"/>
      <c r="IB75" s="57" t="n"/>
      <c r="IC75" s="58">
        <f>HS75</f>
        <v/>
      </c>
      <c r="ID75" s="59" t="n"/>
      <c r="IE75" s="57" t="n"/>
      <c r="IF75" s="57" t="n"/>
      <c r="IG75" s="57" t="n"/>
      <c r="IH75" s="57" t="n"/>
      <c r="II75" s="60">
        <f>SUM(IE75:IH75)</f>
        <v/>
      </c>
      <c r="IJ75" s="61" t="n"/>
      <c r="IK75" s="57" t="n"/>
      <c r="IL75" s="58">
        <f>IB75</f>
        <v/>
      </c>
      <c r="IM75" s="59" t="n"/>
      <c r="IN75" s="57" t="n"/>
      <c r="IO75" s="57" t="n"/>
      <c r="IP75" s="57" t="n"/>
      <c r="IQ75" s="57" t="n"/>
      <c r="IR75" s="60">
        <f>SUM(IN75:IQ75)</f>
        <v/>
      </c>
      <c r="IS75" s="61" t="n"/>
      <c r="IT75" s="57" t="n"/>
      <c r="IU75" s="58">
        <f>IK75</f>
        <v/>
      </c>
      <c r="IV75" s="59" t="n"/>
      <c r="IW75" s="57" t="n"/>
      <c r="IX75" s="57" t="n"/>
      <c r="IY75" s="57" t="n"/>
      <c r="IZ75" s="57" t="n"/>
      <c r="JA75" s="60">
        <f>SUM(IW75:IZ75)</f>
        <v/>
      </c>
      <c r="JB75" s="61" t="n"/>
      <c r="JC75" s="57" t="n"/>
      <c r="JD75" s="58">
        <f>IT75</f>
        <v/>
      </c>
      <c r="JE75" s="59" t="n"/>
      <c r="JF75" s="57" t="n"/>
      <c r="JG75" s="57" t="n"/>
      <c r="JH75" s="57" t="n"/>
      <c r="JI75" s="57" t="n"/>
      <c r="JJ75" s="60">
        <f>SUM(JF75:JI75)</f>
        <v/>
      </c>
      <c r="JK75" s="61" t="n"/>
      <c r="JL75" s="57" t="n"/>
      <c r="JM75" s="58">
        <f>JC75</f>
        <v/>
      </c>
      <c r="JN75" s="59" t="n"/>
      <c r="JO75" s="57" t="n"/>
      <c r="JP75" s="57" t="n"/>
      <c r="JQ75" s="57" t="n"/>
      <c r="JR75" s="57" t="n"/>
      <c r="JS75" s="60">
        <f>SUM(JO75:JR75)</f>
        <v/>
      </c>
      <c r="JT75" s="61" t="n"/>
      <c r="JU75" s="62">
        <f>I75+R75+AA75+AJ75+AS75+BB75+BK75+BT75+CC75+CL75+CU75+DD75+DM75+DV75+EE75+EN75+EW75+FF75+FO75+FX75+GG75+GP75+GY75+HH75+HQ75+HZ75+II75+IR75+JA75+JJ75+JS75</f>
        <v/>
      </c>
      <c r="JV75" s="63">
        <f>D75+M75+V75+AE75+AN75+AW75+BF75+BO75+BX75+CG75+CP75+CY75+DH75+DQ75+DZ75+EI75+ER75+FA75+FJ75+FS75+GB75+GK75+GT75+HC75+HL75+HU75+ID75+IM75+IV75+JE75+JN75</f>
        <v/>
      </c>
      <c r="JW75" s="62">
        <f>CHOOSE($Z$3,B75, K75, T75, AC75, AL75, AU75, BD75, BM75, BV75, CE75, CN75, CW75, DF75, DO75, DX75, EG75, EP75, EY75, FH75, FQ75, FZ75, GI75, GR75, HA75, HJ75, HS75, IB75, IK75, IT75, JC75, JL75)</f>
        <v/>
      </c>
      <c r="JX75" s="62">
        <f>IFERROR(JU75/$Z$3,0)</f>
        <v/>
      </c>
      <c r="JY75" s="62">
        <f>Configurações!$C$15</f>
        <v/>
      </c>
      <c r="JZ75" s="64">
        <f>IF(JY75=0,"— Sem meta",IF(JU75&gt;=JY75,"✓ Atingida","Em andamento"))</f>
        <v/>
      </c>
      <c r="KA75" s="65">
        <f>JU75+(5*0.0000001)</f>
        <v/>
      </c>
    </row>
    <row r="76" ht="20" customHeight="1">
      <c r="A76" s="56">
        <f>IF(Configurações!$B$16="","Assessor 10",Configurações!$B$16)</f>
        <v/>
      </c>
      <c r="B76" s="57" t="n"/>
      <c r="C76" s="66">
        <f>'Agosto'!$JW76</f>
        <v/>
      </c>
      <c r="D76" s="59" t="n"/>
      <c r="E76" s="57" t="n"/>
      <c r="F76" s="57" t="n"/>
      <c r="G76" s="57" t="n"/>
      <c r="H76" s="57" t="n"/>
      <c r="I76" s="67">
        <f>SUM(E76:H76)</f>
        <v/>
      </c>
      <c r="J76" s="61" t="n"/>
      <c r="K76" s="57" t="n"/>
      <c r="L76" s="66">
        <f>B76</f>
        <v/>
      </c>
      <c r="M76" s="59" t="n"/>
      <c r="N76" s="57" t="n"/>
      <c r="O76" s="57" t="n"/>
      <c r="P76" s="57" t="n"/>
      <c r="Q76" s="57" t="n"/>
      <c r="R76" s="67">
        <f>SUM(N76:Q76)</f>
        <v/>
      </c>
      <c r="S76" s="61" t="n"/>
      <c r="T76" s="57" t="n"/>
      <c r="U76" s="66">
        <f>K76</f>
        <v/>
      </c>
      <c r="V76" s="59" t="n"/>
      <c r="W76" s="57" t="n"/>
      <c r="X76" s="57" t="n"/>
      <c r="Y76" s="57" t="n"/>
      <c r="Z76" s="57" t="n"/>
      <c r="AA76" s="67">
        <f>SUM(W76:Z76)</f>
        <v/>
      </c>
      <c r="AB76" s="61" t="n"/>
      <c r="AC76" s="57" t="n"/>
      <c r="AD76" s="66">
        <f>T76</f>
        <v/>
      </c>
      <c r="AE76" s="59" t="n"/>
      <c r="AF76" s="57" t="n"/>
      <c r="AG76" s="57" t="n"/>
      <c r="AH76" s="57" t="n"/>
      <c r="AI76" s="57" t="n"/>
      <c r="AJ76" s="67">
        <f>SUM(AF76:AI76)</f>
        <v/>
      </c>
      <c r="AK76" s="61" t="n"/>
      <c r="AL76" s="57" t="n"/>
      <c r="AM76" s="66">
        <f>AC76</f>
        <v/>
      </c>
      <c r="AN76" s="59" t="n"/>
      <c r="AO76" s="57" t="n"/>
      <c r="AP76" s="57" t="n"/>
      <c r="AQ76" s="57" t="n"/>
      <c r="AR76" s="57" t="n"/>
      <c r="AS76" s="67">
        <f>SUM(AO76:AR76)</f>
        <v/>
      </c>
      <c r="AT76" s="61" t="n"/>
      <c r="AU76" s="57" t="n"/>
      <c r="AV76" s="66">
        <f>AL76</f>
        <v/>
      </c>
      <c r="AW76" s="59" t="n"/>
      <c r="AX76" s="57" t="n"/>
      <c r="AY76" s="57" t="n"/>
      <c r="AZ76" s="57" t="n"/>
      <c r="BA76" s="57" t="n"/>
      <c r="BB76" s="67">
        <f>SUM(AX76:BA76)</f>
        <v/>
      </c>
      <c r="BC76" s="61" t="n"/>
      <c r="BD76" s="57" t="n"/>
      <c r="BE76" s="66">
        <f>AU76</f>
        <v/>
      </c>
      <c r="BF76" s="59" t="n"/>
      <c r="BG76" s="57" t="n"/>
      <c r="BH76" s="57" t="n"/>
      <c r="BI76" s="57" t="n"/>
      <c r="BJ76" s="57" t="n"/>
      <c r="BK76" s="67">
        <f>SUM(BG76:BJ76)</f>
        <v/>
      </c>
      <c r="BL76" s="61" t="n"/>
      <c r="BM76" s="57" t="n"/>
      <c r="BN76" s="66">
        <f>BD76</f>
        <v/>
      </c>
      <c r="BO76" s="59" t="n"/>
      <c r="BP76" s="57" t="n"/>
      <c r="BQ76" s="57" t="n"/>
      <c r="BR76" s="57" t="n"/>
      <c r="BS76" s="57" t="n"/>
      <c r="BT76" s="67">
        <f>SUM(BP76:BS76)</f>
        <v/>
      </c>
      <c r="BU76" s="61" t="n"/>
      <c r="BV76" s="57" t="n"/>
      <c r="BW76" s="66">
        <f>BM76</f>
        <v/>
      </c>
      <c r="BX76" s="59" t="n"/>
      <c r="BY76" s="57" t="n"/>
      <c r="BZ76" s="57" t="n"/>
      <c r="CA76" s="57" t="n"/>
      <c r="CB76" s="57" t="n"/>
      <c r="CC76" s="67">
        <f>SUM(BY76:CB76)</f>
        <v/>
      </c>
      <c r="CD76" s="61" t="n"/>
      <c r="CE76" s="57" t="n"/>
      <c r="CF76" s="66">
        <f>BV76</f>
        <v/>
      </c>
      <c r="CG76" s="59" t="n"/>
      <c r="CH76" s="57" t="n"/>
      <c r="CI76" s="57" t="n"/>
      <c r="CJ76" s="57" t="n"/>
      <c r="CK76" s="57" t="n"/>
      <c r="CL76" s="67">
        <f>SUM(CH76:CK76)</f>
        <v/>
      </c>
      <c r="CM76" s="61" t="n"/>
      <c r="CN76" s="57" t="n"/>
      <c r="CO76" s="66">
        <f>CE76</f>
        <v/>
      </c>
      <c r="CP76" s="59" t="n"/>
      <c r="CQ76" s="57" t="n"/>
      <c r="CR76" s="57" t="n"/>
      <c r="CS76" s="57" t="n"/>
      <c r="CT76" s="57" t="n"/>
      <c r="CU76" s="67">
        <f>SUM(CQ76:CT76)</f>
        <v/>
      </c>
      <c r="CV76" s="61" t="n"/>
      <c r="CW76" s="57" t="n"/>
      <c r="CX76" s="66">
        <f>CN76</f>
        <v/>
      </c>
      <c r="CY76" s="59" t="n"/>
      <c r="CZ76" s="57" t="n"/>
      <c r="DA76" s="57" t="n"/>
      <c r="DB76" s="57" t="n"/>
      <c r="DC76" s="57" t="n"/>
      <c r="DD76" s="67">
        <f>SUM(CZ76:DC76)</f>
        <v/>
      </c>
      <c r="DE76" s="61" t="n"/>
      <c r="DF76" s="57" t="n"/>
      <c r="DG76" s="66">
        <f>CW76</f>
        <v/>
      </c>
      <c r="DH76" s="59" t="n"/>
      <c r="DI76" s="57" t="n"/>
      <c r="DJ76" s="57" t="n"/>
      <c r="DK76" s="57" t="n"/>
      <c r="DL76" s="57" t="n"/>
      <c r="DM76" s="67">
        <f>SUM(DI76:DL76)</f>
        <v/>
      </c>
      <c r="DN76" s="61" t="n"/>
      <c r="DO76" s="57" t="n"/>
      <c r="DP76" s="66">
        <f>DF76</f>
        <v/>
      </c>
      <c r="DQ76" s="59" t="n"/>
      <c r="DR76" s="57" t="n"/>
      <c r="DS76" s="57" t="n"/>
      <c r="DT76" s="57" t="n"/>
      <c r="DU76" s="57" t="n"/>
      <c r="DV76" s="67">
        <f>SUM(DR76:DU76)</f>
        <v/>
      </c>
      <c r="DW76" s="61" t="n"/>
      <c r="DX76" s="57" t="n"/>
      <c r="DY76" s="66">
        <f>DO76</f>
        <v/>
      </c>
      <c r="DZ76" s="59" t="n"/>
      <c r="EA76" s="57" t="n"/>
      <c r="EB76" s="57" t="n"/>
      <c r="EC76" s="57" t="n"/>
      <c r="ED76" s="57" t="n"/>
      <c r="EE76" s="67">
        <f>SUM(EA76:ED76)</f>
        <v/>
      </c>
      <c r="EF76" s="61" t="n"/>
      <c r="EG76" s="57" t="n"/>
      <c r="EH76" s="66">
        <f>DX76</f>
        <v/>
      </c>
      <c r="EI76" s="59" t="n"/>
      <c r="EJ76" s="57" t="n"/>
      <c r="EK76" s="57" t="n"/>
      <c r="EL76" s="57" t="n"/>
      <c r="EM76" s="57" t="n"/>
      <c r="EN76" s="67">
        <f>SUM(EJ76:EM76)</f>
        <v/>
      </c>
      <c r="EO76" s="61" t="n"/>
      <c r="EP76" s="57" t="n"/>
      <c r="EQ76" s="66">
        <f>EG76</f>
        <v/>
      </c>
      <c r="ER76" s="59" t="n"/>
      <c r="ES76" s="57" t="n"/>
      <c r="ET76" s="57" t="n"/>
      <c r="EU76" s="57" t="n"/>
      <c r="EV76" s="57" t="n"/>
      <c r="EW76" s="67">
        <f>SUM(ES76:EV76)</f>
        <v/>
      </c>
      <c r="EX76" s="61" t="n"/>
      <c r="EY76" s="57" t="n"/>
      <c r="EZ76" s="66">
        <f>EP76</f>
        <v/>
      </c>
      <c r="FA76" s="59" t="n"/>
      <c r="FB76" s="57" t="n"/>
      <c r="FC76" s="57" t="n"/>
      <c r="FD76" s="57" t="n"/>
      <c r="FE76" s="57" t="n"/>
      <c r="FF76" s="67">
        <f>SUM(FB76:FE76)</f>
        <v/>
      </c>
      <c r="FG76" s="61" t="n"/>
      <c r="FH76" s="57" t="n"/>
      <c r="FI76" s="66">
        <f>EY76</f>
        <v/>
      </c>
      <c r="FJ76" s="59" t="n"/>
      <c r="FK76" s="57" t="n"/>
      <c r="FL76" s="57" t="n"/>
      <c r="FM76" s="57" t="n"/>
      <c r="FN76" s="57" t="n"/>
      <c r="FO76" s="67">
        <f>SUM(FK76:FN76)</f>
        <v/>
      </c>
      <c r="FP76" s="61" t="n"/>
      <c r="FQ76" s="57" t="n"/>
      <c r="FR76" s="66">
        <f>FH76</f>
        <v/>
      </c>
      <c r="FS76" s="59" t="n"/>
      <c r="FT76" s="57" t="n"/>
      <c r="FU76" s="57" t="n"/>
      <c r="FV76" s="57" t="n"/>
      <c r="FW76" s="57" t="n"/>
      <c r="FX76" s="67">
        <f>SUM(FT76:FW76)</f>
        <v/>
      </c>
      <c r="FY76" s="61" t="n"/>
      <c r="FZ76" s="57" t="n"/>
      <c r="GA76" s="66">
        <f>FQ76</f>
        <v/>
      </c>
      <c r="GB76" s="59" t="n"/>
      <c r="GC76" s="57" t="n"/>
      <c r="GD76" s="57" t="n"/>
      <c r="GE76" s="57" t="n"/>
      <c r="GF76" s="57" t="n"/>
      <c r="GG76" s="67">
        <f>SUM(GC76:GF76)</f>
        <v/>
      </c>
      <c r="GH76" s="61" t="n"/>
      <c r="GI76" s="57" t="n"/>
      <c r="GJ76" s="66">
        <f>FZ76</f>
        <v/>
      </c>
      <c r="GK76" s="59" t="n"/>
      <c r="GL76" s="57" t="n"/>
      <c r="GM76" s="57" t="n"/>
      <c r="GN76" s="57" t="n"/>
      <c r="GO76" s="57" t="n"/>
      <c r="GP76" s="67">
        <f>SUM(GL76:GO76)</f>
        <v/>
      </c>
      <c r="GQ76" s="61" t="n"/>
      <c r="GR76" s="57" t="n"/>
      <c r="GS76" s="66">
        <f>GI76</f>
        <v/>
      </c>
      <c r="GT76" s="59" t="n"/>
      <c r="GU76" s="57" t="n"/>
      <c r="GV76" s="57" t="n"/>
      <c r="GW76" s="57" t="n"/>
      <c r="GX76" s="57" t="n"/>
      <c r="GY76" s="67">
        <f>SUM(GU76:GX76)</f>
        <v/>
      </c>
      <c r="GZ76" s="61" t="n"/>
      <c r="HA76" s="57" t="n"/>
      <c r="HB76" s="66">
        <f>GR76</f>
        <v/>
      </c>
      <c r="HC76" s="59" t="n"/>
      <c r="HD76" s="57" t="n"/>
      <c r="HE76" s="57" t="n"/>
      <c r="HF76" s="57" t="n"/>
      <c r="HG76" s="57" t="n"/>
      <c r="HH76" s="67">
        <f>SUM(HD76:HG76)</f>
        <v/>
      </c>
      <c r="HI76" s="61" t="n"/>
      <c r="HJ76" s="57" t="n"/>
      <c r="HK76" s="66">
        <f>HA76</f>
        <v/>
      </c>
      <c r="HL76" s="59" t="n"/>
      <c r="HM76" s="57" t="n"/>
      <c r="HN76" s="57" t="n"/>
      <c r="HO76" s="57" t="n"/>
      <c r="HP76" s="57" t="n"/>
      <c r="HQ76" s="67">
        <f>SUM(HM76:HP76)</f>
        <v/>
      </c>
      <c r="HR76" s="61" t="n"/>
      <c r="HS76" s="57" t="n"/>
      <c r="HT76" s="66">
        <f>HJ76</f>
        <v/>
      </c>
      <c r="HU76" s="59" t="n"/>
      <c r="HV76" s="57" t="n"/>
      <c r="HW76" s="57" t="n"/>
      <c r="HX76" s="57" t="n"/>
      <c r="HY76" s="57" t="n"/>
      <c r="HZ76" s="67">
        <f>SUM(HV76:HY76)</f>
        <v/>
      </c>
      <c r="IA76" s="61" t="n"/>
      <c r="IB76" s="57" t="n"/>
      <c r="IC76" s="66">
        <f>HS76</f>
        <v/>
      </c>
      <c r="ID76" s="59" t="n"/>
      <c r="IE76" s="57" t="n"/>
      <c r="IF76" s="57" t="n"/>
      <c r="IG76" s="57" t="n"/>
      <c r="IH76" s="57" t="n"/>
      <c r="II76" s="67">
        <f>SUM(IE76:IH76)</f>
        <v/>
      </c>
      <c r="IJ76" s="61" t="n"/>
      <c r="IK76" s="57" t="n"/>
      <c r="IL76" s="66">
        <f>IB76</f>
        <v/>
      </c>
      <c r="IM76" s="59" t="n"/>
      <c r="IN76" s="57" t="n"/>
      <c r="IO76" s="57" t="n"/>
      <c r="IP76" s="57" t="n"/>
      <c r="IQ76" s="57" t="n"/>
      <c r="IR76" s="67">
        <f>SUM(IN76:IQ76)</f>
        <v/>
      </c>
      <c r="IS76" s="61" t="n"/>
      <c r="IT76" s="57" t="n"/>
      <c r="IU76" s="66">
        <f>IK76</f>
        <v/>
      </c>
      <c r="IV76" s="59" t="n"/>
      <c r="IW76" s="57" t="n"/>
      <c r="IX76" s="57" t="n"/>
      <c r="IY76" s="57" t="n"/>
      <c r="IZ76" s="57" t="n"/>
      <c r="JA76" s="67">
        <f>SUM(IW76:IZ76)</f>
        <v/>
      </c>
      <c r="JB76" s="61" t="n"/>
      <c r="JC76" s="57" t="n"/>
      <c r="JD76" s="66">
        <f>IT76</f>
        <v/>
      </c>
      <c r="JE76" s="59" t="n"/>
      <c r="JF76" s="57" t="n"/>
      <c r="JG76" s="57" t="n"/>
      <c r="JH76" s="57" t="n"/>
      <c r="JI76" s="57" t="n"/>
      <c r="JJ76" s="67">
        <f>SUM(JF76:JI76)</f>
        <v/>
      </c>
      <c r="JK76" s="61" t="n"/>
      <c r="JL76" s="57" t="n"/>
      <c r="JM76" s="66">
        <f>JC76</f>
        <v/>
      </c>
      <c r="JN76" s="59" t="n"/>
      <c r="JO76" s="57" t="n"/>
      <c r="JP76" s="57" t="n"/>
      <c r="JQ76" s="57" t="n"/>
      <c r="JR76" s="57" t="n"/>
      <c r="JS76" s="67">
        <f>SUM(JO76:JR76)</f>
        <v/>
      </c>
      <c r="JT76" s="61" t="n"/>
      <c r="JU76" s="62">
        <f>I76+R76+AA76+AJ76+AS76+BB76+BK76+BT76+CC76+CL76+CU76+DD76+DM76+DV76+EE76+EN76+EW76+FF76+FO76+FX76+GG76+GP76+GY76+HH76+HQ76+HZ76+II76+IR76+JA76+JJ76+JS76</f>
        <v/>
      </c>
      <c r="JV76" s="63">
        <f>D76+M76+V76+AE76+AN76+AW76+BF76+BO76+BX76+CG76+CP76+CY76+DH76+DQ76+DZ76+EI76+ER76+FA76+FJ76+FS76+GB76+GK76+GT76+HC76+HL76+HU76+ID76+IM76+IV76+JE76+JN76</f>
        <v/>
      </c>
      <c r="JW76" s="62">
        <f>CHOOSE($Z$3,B76, K76, T76, AC76, AL76, AU76, BD76, BM76, BV76, CE76, CN76, CW76, DF76, DO76, DX76, EG76, EP76, EY76, FH76, FQ76, FZ76, GI76, GR76, HA76, HJ76, HS76, IB76, IK76, IT76, JC76, JL76)</f>
        <v/>
      </c>
      <c r="JX76" s="62">
        <f>IFERROR(JU76/$Z$3,0)</f>
        <v/>
      </c>
      <c r="JY76" s="62">
        <f>Configurações!$C$16</f>
        <v/>
      </c>
      <c r="JZ76" s="64">
        <f>IF(JY76=0,"— Sem meta",IF(JU76&gt;=JY76,"✓ Atingida","Em andamento"))</f>
        <v/>
      </c>
      <c r="KA76" s="65">
        <f>JU76+(4*0.0000001)</f>
        <v/>
      </c>
    </row>
    <row r="77" ht="20" customHeight="1">
      <c r="A77" s="56">
        <f>IF(Configurações!$B$17="","Assessor 11",Configurações!$B$17)</f>
        <v/>
      </c>
      <c r="B77" s="57" t="n"/>
      <c r="C77" s="58">
        <f>'Agosto'!$JW77</f>
        <v/>
      </c>
      <c r="D77" s="59" t="n"/>
      <c r="E77" s="57" t="n"/>
      <c r="F77" s="57" t="n"/>
      <c r="G77" s="57" t="n"/>
      <c r="H77" s="57" t="n"/>
      <c r="I77" s="60">
        <f>SUM(E77:H77)</f>
        <v/>
      </c>
      <c r="J77" s="61" t="n"/>
      <c r="K77" s="57" t="n"/>
      <c r="L77" s="58">
        <f>B77</f>
        <v/>
      </c>
      <c r="M77" s="59" t="n"/>
      <c r="N77" s="57" t="n"/>
      <c r="O77" s="57" t="n"/>
      <c r="P77" s="57" t="n"/>
      <c r="Q77" s="57" t="n"/>
      <c r="R77" s="60">
        <f>SUM(N77:Q77)</f>
        <v/>
      </c>
      <c r="S77" s="61" t="n"/>
      <c r="T77" s="57" t="n"/>
      <c r="U77" s="58">
        <f>K77</f>
        <v/>
      </c>
      <c r="V77" s="59" t="n"/>
      <c r="W77" s="57" t="n"/>
      <c r="X77" s="57" t="n"/>
      <c r="Y77" s="57" t="n"/>
      <c r="Z77" s="57" t="n"/>
      <c r="AA77" s="60">
        <f>SUM(W77:Z77)</f>
        <v/>
      </c>
      <c r="AB77" s="61" t="n"/>
      <c r="AC77" s="57" t="n"/>
      <c r="AD77" s="58">
        <f>T77</f>
        <v/>
      </c>
      <c r="AE77" s="59" t="n"/>
      <c r="AF77" s="57" t="n"/>
      <c r="AG77" s="57" t="n"/>
      <c r="AH77" s="57" t="n"/>
      <c r="AI77" s="57" t="n"/>
      <c r="AJ77" s="60">
        <f>SUM(AF77:AI77)</f>
        <v/>
      </c>
      <c r="AK77" s="61" t="n"/>
      <c r="AL77" s="57" t="n"/>
      <c r="AM77" s="58">
        <f>AC77</f>
        <v/>
      </c>
      <c r="AN77" s="59" t="n"/>
      <c r="AO77" s="57" t="n"/>
      <c r="AP77" s="57" t="n"/>
      <c r="AQ77" s="57" t="n"/>
      <c r="AR77" s="57" t="n"/>
      <c r="AS77" s="60">
        <f>SUM(AO77:AR77)</f>
        <v/>
      </c>
      <c r="AT77" s="61" t="n"/>
      <c r="AU77" s="57" t="n"/>
      <c r="AV77" s="58">
        <f>AL77</f>
        <v/>
      </c>
      <c r="AW77" s="59" t="n"/>
      <c r="AX77" s="57" t="n"/>
      <c r="AY77" s="57" t="n"/>
      <c r="AZ77" s="57" t="n"/>
      <c r="BA77" s="57" t="n"/>
      <c r="BB77" s="60">
        <f>SUM(AX77:BA77)</f>
        <v/>
      </c>
      <c r="BC77" s="61" t="n"/>
      <c r="BD77" s="57" t="n"/>
      <c r="BE77" s="58">
        <f>AU77</f>
        <v/>
      </c>
      <c r="BF77" s="59" t="n"/>
      <c r="BG77" s="57" t="n"/>
      <c r="BH77" s="57" t="n"/>
      <c r="BI77" s="57" t="n"/>
      <c r="BJ77" s="57" t="n"/>
      <c r="BK77" s="60">
        <f>SUM(BG77:BJ77)</f>
        <v/>
      </c>
      <c r="BL77" s="61" t="n"/>
      <c r="BM77" s="57" t="n"/>
      <c r="BN77" s="58">
        <f>BD77</f>
        <v/>
      </c>
      <c r="BO77" s="59" t="n"/>
      <c r="BP77" s="57" t="n"/>
      <c r="BQ77" s="57" t="n"/>
      <c r="BR77" s="57" t="n"/>
      <c r="BS77" s="57" t="n"/>
      <c r="BT77" s="60">
        <f>SUM(BP77:BS77)</f>
        <v/>
      </c>
      <c r="BU77" s="61" t="n"/>
      <c r="BV77" s="57" t="n"/>
      <c r="BW77" s="58">
        <f>BM77</f>
        <v/>
      </c>
      <c r="BX77" s="59" t="n"/>
      <c r="BY77" s="57" t="n"/>
      <c r="BZ77" s="57" t="n"/>
      <c r="CA77" s="57" t="n"/>
      <c r="CB77" s="57" t="n"/>
      <c r="CC77" s="60">
        <f>SUM(BY77:CB77)</f>
        <v/>
      </c>
      <c r="CD77" s="61" t="n"/>
      <c r="CE77" s="57" t="n"/>
      <c r="CF77" s="58">
        <f>BV77</f>
        <v/>
      </c>
      <c r="CG77" s="59" t="n"/>
      <c r="CH77" s="57" t="n"/>
      <c r="CI77" s="57" t="n"/>
      <c r="CJ77" s="57" t="n"/>
      <c r="CK77" s="57" t="n"/>
      <c r="CL77" s="60">
        <f>SUM(CH77:CK77)</f>
        <v/>
      </c>
      <c r="CM77" s="61" t="n"/>
      <c r="CN77" s="57" t="n"/>
      <c r="CO77" s="58">
        <f>CE77</f>
        <v/>
      </c>
      <c r="CP77" s="59" t="n"/>
      <c r="CQ77" s="57" t="n"/>
      <c r="CR77" s="57" t="n"/>
      <c r="CS77" s="57" t="n"/>
      <c r="CT77" s="57" t="n"/>
      <c r="CU77" s="60">
        <f>SUM(CQ77:CT77)</f>
        <v/>
      </c>
      <c r="CV77" s="61" t="n"/>
      <c r="CW77" s="57" t="n"/>
      <c r="CX77" s="58">
        <f>CN77</f>
        <v/>
      </c>
      <c r="CY77" s="59" t="n"/>
      <c r="CZ77" s="57" t="n"/>
      <c r="DA77" s="57" t="n"/>
      <c r="DB77" s="57" t="n"/>
      <c r="DC77" s="57" t="n"/>
      <c r="DD77" s="60">
        <f>SUM(CZ77:DC77)</f>
        <v/>
      </c>
      <c r="DE77" s="61" t="n"/>
      <c r="DF77" s="57" t="n"/>
      <c r="DG77" s="58">
        <f>CW77</f>
        <v/>
      </c>
      <c r="DH77" s="59" t="n"/>
      <c r="DI77" s="57" t="n"/>
      <c r="DJ77" s="57" t="n"/>
      <c r="DK77" s="57" t="n"/>
      <c r="DL77" s="57" t="n"/>
      <c r="DM77" s="60">
        <f>SUM(DI77:DL77)</f>
        <v/>
      </c>
      <c r="DN77" s="61" t="n"/>
      <c r="DO77" s="57" t="n"/>
      <c r="DP77" s="58">
        <f>DF77</f>
        <v/>
      </c>
      <c r="DQ77" s="59" t="n"/>
      <c r="DR77" s="57" t="n"/>
      <c r="DS77" s="57" t="n"/>
      <c r="DT77" s="57" t="n"/>
      <c r="DU77" s="57" t="n"/>
      <c r="DV77" s="60">
        <f>SUM(DR77:DU77)</f>
        <v/>
      </c>
      <c r="DW77" s="61" t="n"/>
      <c r="DX77" s="57" t="n"/>
      <c r="DY77" s="58">
        <f>DO77</f>
        <v/>
      </c>
      <c r="DZ77" s="59" t="n"/>
      <c r="EA77" s="57" t="n"/>
      <c r="EB77" s="57" t="n"/>
      <c r="EC77" s="57" t="n"/>
      <c r="ED77" s="57" t="n"/>
      <c r="EE77" s="60">
        <f>SUM(EA77:ED77)</f>
        <v/>
      </c>
      <c r="EF77" s="61" t="n"/>
      <c r="EG77" s="57" t="n"/>
      <c r="EH77" s="58">
        <f>DX77</f>
        <v/>
      </c>
      <c r="EI77" s="59" t="n"/>
      <c r="EJ77" s="57" t="n"/>
      <c r="EK77" s="57" t="n"/>
      <c r="EL77" s="57" t="n"/>
      <c r="EM77" s="57" t="n"/>
      <c r="EN77" s="60">
        <f>SUM(EJ77:EM77)</f>
        <v/>
      </c>
      <c r="EO77" s="61" t="n"/>
      <c r="EP77" s="57" t="n"/>
      <c r="EQ77" s="58">
        <f>EG77</f>
        <v/>
      </c>
      <c r="ER77" s="59" t="n"/>
      <c r="ES77" s="57" t="n"/>
      <c r="ET77" s="57" t="n"/>
      <c r="EU77" s="57" t="n"/>
      <c r="EV77" s="57" t="n"/>
      <c r="EW77" s="60">
        <f>SUM(ES77:EV77)</f>
        <v/>
      </c>
      <c r="EX77" s="61" t="n"/>
      <c r="EY77" s="57" t="n"/>
      <c r="EZ77" s="58">
        <f>EP77</f>
        <v/>
      </c>
      <c r="FA77" s="59" t="n"/>
      <c r="FB77" s="57" t="n"/>
      <c r="FC77" s="57" t="n"/>
      <c r="FD77" s="57" t="n"/>
      <c r="FE77" s="57" t="n"/>
      <c r="FF77" s="60">
        <f>SUM(FB77:FE77)</f>
        <v/>
      </c>
      <c r="FG77" s="61" t="n"/>
      <c r="FH77" s="57" t="n"/>
      <c r="FI77" s="58">
        <f>EY77</f>
        <v/>
      </c>
      <c r="FJ77" s="59" t="n"/>
      <c r="FK77" s="57" t="n"/>
      <c r="FL77" s="57" t="n"/>
      <c r="FM77" s="57" t="n"/>
      <c r="FN77" s="57" t="n"/>
      <c r="FO77" s="60">
        <f>SUM(FK77:FN77)</f>
        <v/>
      </c>
      <c r="FP77" s="61" t="n"/>
      <c r="FQ77" s="57" t="n"/>
      <c r="FR77" s="58">
        <f>FH77</f>
        <v/>
      </c>
      <c r="FS77" s="59" t="n"/>
      <c r="FT77" s="57" t="n"/>
      <c r="FU77" s="57" t="n"/>
      <c r="FV77" s="57" t="n"/>
      <c r="FW77" s="57" t="n"/>
      <c r="FX77" s="60">
        <f>SUM(FT77:FW77)</f>
        <v/>
      </c>
      <c r="FY77" s="61" t="n"/>
      <c r="FZ77" s="57" t="n"/>
      <c r="GA77" s="58">
        <f>FQ77</f>
        <v/>
      </c>
      <c r="GB77" s="59" t="n"/>
      <c r="GC77" s="57" t="n"/>
      <c r="GD77" s="57" t="n"/>
      <c r="GE77" s="57" t="n"/>
      <c r="GF77" s="57" t="n"/>
      <c r="GG77" s="60">
        <f>SUM(GC77:GF77)</f>
        <v/>
      </c>
      <c r="GH77" s="61" t="n"/>
      <c r="GI77" s="57" t="n"/>
      <c r="GJ77" s="58">
        <f>FZ77</f>
        <v/>
      </c>
      <c r="GK77" s="59" t="n"/>
      <c r="GL77" s="57" t="n"/>
      <c r="GM77" s="57" t="n"/>
      <c r="GN77" s="57" t="n"/>
      <c r="GO77" s="57" t="n"/>
      <c r="GP77" s="60">
        <f>SUM(GL77:GO77)</f>
        <v/>
      </c>
      <c r="GQ77" s="61" t="n"/>
      <c r="GR77" s="57" t="n"/>
      <c r="GS77" s="58">
        <f>GI77</f>
        <v/>
      </c>
      <c r="GT77" s="59" t="n"/>
      <c r="GU77" s="57" t="n"/>
      <c r="GV77" s="57" t="n"/>
      <c r="GW77" s="57" t="n"/>
      <c r="GX77" s="57" t="n"/>
      <c r="GY77" s="60">
        <f>SUM(GU77:GX77)</f>
        <v/>
      </c>
      <c r="GZ77" s="61" t="n"/>
      <c r="HA77" s="57" t="n"/>
      <c r="HB77" s="58">
        <f>GR77</f>
        <v/>
      </c>
      <c r="HC77" s="59" t="n"/>
      <c r="HD77" s="57" t="n"/>
      <c r="HE77" s="57" t="n"/>
      <c r="HF77" s="57" t="n"/>
      <c r="HG77" s="57" t="n"/>
      <c r="HH77" s="60">
        <f>SUM(HD77:HG77)</f>
        <v/>
      </c>
      <c r="HI77" s="61" t="n"/>
      <c r="HJ77" s="57" t="n"/>
      <c r="HK77" s="58">
        <f>HA77</f>
        <v/>
      </c>
      <c r="HL77" s="59" t="n"/>
      <c r="HM77" s="57" t="n"/>
      <c r="HN77" s="57" t="n"/>
      <c r="HO77" s="57" t="n"/>
      <c r="HP77" s="57" t="n"/>
      <c r="HQ77" s="60">
        <f>SUM(HM77:HP77)</f>
        <v/>
      </c>
      <c r="HR77" s="61" t="n"/>
      <c r="HS77" s="57" t="n"/>
      <c r="HT77" s="58">
        <f>HJ77</f>
        <v/>
      </c>
      <c r="HU77" s="59" t="n"/>
      <c r="HV77" s="57" t="n"/>
      <c r="HW77" s="57" t="n"/>
      <c r="HX77" s="57" t="n"/>
      <c r="HY77" s="57" t="n"/>
      <c r="HZ77" s="60">
        <f>SUM(HV77:HY77)</f>
        <v/>
      </c>
      <c r="IA77" s="61" t="n"/>
      <c r="IB77" s="57" t="n"/>
      <c r="IC77" s="58">
        <f>HS77</f>
        <v/>
      </c>
      <c r="ID77" s="59" t="n"/>
      <c r="IE77" s="57" t="n"/>
      <c r="IF77" s="57" t="n"/>
      <c r="IG77" s="57" t="n"/>
      <c r="IH77" s="57" t="n"/>
      <c r="II77" s="60">
        <f>SUM(IE77:IH77)</f>
        <v/>
      </c>
      <c r="IJ77" s="61" t="n"/>
      <c r="IK77" s="57" t="n"/>
      <c r="IL77" s="58">
        <f>IB77</f>
        <v/>
      </c>
      <c r="IM77" s="59" t="n"/>
      <c r="IN77" s="57" t="n"/>
      <c r="IO77" s="57" t="n"/>
      <c r="IP77" s="57" t="n"/>
      <c r="IQ77" s="57" t="n"/>
      <c r="IR77" s="60">
        <f>SUM(IN77:IQ77)</f>
        <v/>
      </c>
      <c r="IS77" s="61" t="n"/>
      <c r="IT77" s="57" t="n"/>
      <c r="IU77" s="58">
        <f>IK77</f>
        <v/>
      </c>
      <c r="IV77" s="59" t="n"/>
      <c r="IW77" s="57" t="n"/>
      <c r="IX77" s="57" t="n"/>
      <c r="IY77" s="57" t="n"/>
      <c r="IZ77" s="57" t="n"/>
      <c r="JA77" s="60">
        <f>SUM(IW77:IZ77)</f>
        <v/>
      </c>
      <c r="JB77" s="61" t="n"/>
      <c r="JC77" s="57" t="n"/>
      <c r="JD77" s="58">
        <f>IT77</f>
        <v/>
      </c>
      <c r="JE77" s="59" t="n"/>
      <c r="JF77" s="57" t="n"/>
      <c r="JG77" s="57" t="n"/>
      <c r="JH77" s="57" t="n"/>
      <c r="JI77" s="57" t="n"/>
      <c r="JJ77" s="60">
        <f>SUM(JF77:JI77)</f>
        <v/>
      </c>
      <c r="JK77" s="61" t="n"/>
      <c r="JL77" s="57" t="n"/>
      <c r="JM77" s="58">
        <f>JC77</f>
        <v/>
      </c>
      <c r="JN77" s="59" t="n"/>
      <c r="JO77" s="57" t="n"/>
      <c r="JP77" s="57" t="n"/>
      <c r="JQ77" s="57" t="n"/>
      <c r="JR77" s="57" t="n"/>
      <c r="JS77" s="60">
        <f>SUM(JO77:JR77)</f>
        <v/>
      </c>
      <c r="JT77" s="61" t="n"/>
      <c r="JU77" s="62">
        <f>I77+R77+AA77+AJ77+AS77+BB77+BK77+BT77+CC77+CL77+CU77+DD77+DM77+DV77+EE77+EN77+EW77+FF77+FO77+FX77+GG77+GP77+GY77+HH77+HQ77+HZ77+II77+IR77+JA77+JJ77+JS77</f>
        <v/>
      </c>
      <c r="JV77" s="63">
        <f>D77+M77+V77+AE77+AN77+AW77+BF77+BO77+BX77+CG77+CP77+CY77+DH77+DQ77+DZ77+EI77+ER77+FA77+FJ77+FS77+GB77+GK77+GT77+HC77+HL77+HU77+ID77+IM77+IV77+JE77+JN77</f>
        <v/>
      </c>
      <c r="JW77" s="62">
        <f>CHOOSE($Z$3,B77, K77, T77, AC77, AL77, AU77, BD77, BM77, BV77, CE77, CN77, CW77, DF77, DO77, DX77, EG77, EP77, EY77, FH77, FQ77, FZ77, GI77, GR77, HA77, HJ77, HS77, IB77, IK77, IT77, JC77, JL77)</f>
        <v/>
      </c>
      <c r="JX77" s="62">
        <f>IFERROR(JU77/$Z$3,0)</f>
        <v/>
      </c>
      <c r="JY77" s="62">
        <f>Configurações!$C$17</f>
        <v/>
      </c>
      <c r="JZ77" s="64">
        <f>IF(JY77=0,"— Sem meta",IF(JU77&gt;=JY77,"✓ Atingida","Em andamento"))</f>
        <v/>
      </c>
      <c r="KA77" s="65">
        <f>JU77+(3*0.0000001)</f>
        <v/>
      </c>
    </row>
    <row r="78" ht="20" customHeight="1">
      <c r="A78" s="56">
        <f>IF(Configurações!$B$18="","Assessor 12",Configurações!$B$18)</f>
        <v/>
      </c>
      <c r="B78" s="57" t="n"/>
      <c r="C78" s="66">
        <f>'Agosto'!$JW78</f>
        <v/>
      </c>
      <c r="D78" s="59" t="n"/>
      <c r="E78" s="57" t="n"/>
      <c r="F78" s="57" t="n"/>
      <c r="G78" s="57" t="n"/>
      <c r="H78" s="57" t="n"/>
      <c r="I78" s="67">
        <f>SUM(E78:H78)</f>
        <v/>
      </c>
      <c r="J78" s="61" t="n"/>
      <c r="K78" s="57" t="n"/>
      <c r="L78" s="66">
        <f>B78</f>
        <v/>
      </c>
      <c r="M78" s="59" t="n"/>
      <c r="N78" s="57" t="n"/>
      <c r="O78" s="57" t="n"/>
      <c r="P78" s="57" t="n"/>
      <c r="Q78" s="57" t="n"/>
      <c r="R78" s="67">
        <f>SUM(N78:Q78)</f>
        <v/>
      </c>
      <c r="S78" s="61" t="n"/>
      <c r="T78" s="57" t="n"/>
      <c r="U78" s="66">
        <f>K78</f>
        <v/>
      </c>
      <c r="V78" s="59" t="n"/>
      <c r="W78" s="57" t="n"/>
      <c r="X78" s="57" t="n"/>
      <c r="Y78" s="57" t="n"/>
      <c r="Z78" s="57" t="n"/>
      <c r="AA78" s="67">
        <f>SUM(W78:Z78)</f>
        <v/>
      </c>
      <c r="AB78" s="61" t="n"/>
      <c r="AC78" s="57" t="n"/>
      <c r="AD78" s="66">
        <f>T78</f>
        <v/>
      </c>
      <c r="AE78" s="59" t="n"/>
      <c r="AF78" s="57" t="n"/>
      <c r="AG78" s="57" t="n"/>
      <c r="AH78" s="57" t="n"/>
      <c r="AI78" s="57" t="n"/>
      <c r="AJ78" s="67">
        <f>SUM(AF78:AI78)</f>
        <v/>
      </c>
      <c r="AK78" s="61" t="n"/>
      <c r="AL78" s="57" t="n"/>
      <c r="AM78" s="66">
        <f>AC78</f>
        <v/>
      </c>
      <c r="AN78" s="59" t="n"/>
      <c r="AO78" s="57" t="n"/>
      <c r="AP78" s="57" t="n"/>
      <c r="AQ78" s="57" t="n"/>
      <c r="AR78" s="57" t="n"/>
      <c r="AS78" s="67">
        <f>SUM(AO78:AR78)</f>
        <v/>
      </c>
      <c r="AT78" s="61" t="n"/>
      <c r="AU78" s="57" t="n"/>
      <c r="AV78" s="66">
        <f>AL78</f>
        <v/>
      </c>
      <c r="AW78" s="59" t="n"/>
      <c r="AX78" s="57" t="n"/>
      <c r="AY78" s="57" t="n"/>
      <c r="AZ78" s="57" t="n"/>
      <c r="BA78" s="57" t="n"/>
      <c r="BB78" s="67">
        <f>SUM(AX78:BA78)</f>
        <v/>
      </c>
      <c r="BC78" s="61" t="n"/>
      <c r="BD78" s="57" t="n"/>
      <c r="BE78" s="66">
        <f>AU78</f>
        <v/>
      </c>
      <c r="BF78" s="59" t="n"/>
      <c r="BG78" s="57" t="n"/>
      <c r="BH78" s="57" t="n"/>
      <c r="BI78" s="57" t="n"/>
      <c r="BJ78" s="57" t="n"/>
      <c r="BK78" s="67">
        <f>SUM(BG78:BJ78)</f>
        <v/>
      </c>
      <c r="BL78" s="61" t="n"/>
      <c r="BM78" s="57" t="n"/>
      <c r="BN78" s="66">
        <f>BD78</f>
        <v/>
      </c>
      <c r="BO78" s="59" t="n"/>
      <c r="BP78" s="57" t="n"/>
      <c r="BQ78" s="57" t="n"/>
      <c r="BR78" s="57" t="n"/>
      <c r="BS78" s="57" t="n"/>
      <c r="BT78" s="67">
        <f>SUM(BP78:BS78)</f>
        <v/>
      </c>
      <c r="BU78" s="61" t="n"/>
      <c r="BV78" s="57" t="n"/>
      <c r="BW78" s="66">
        <f>BM78</f>
        <v/>
      </c>
      <c r="BX78" s="59" t="n"/>
      <c r="BY78" s="57" t="n"/>
      <c r="BZ78" s="57" t="n"/>
      <c r="CA78" s="57" t="n"/>
      <c r="CB78" s="57" t="n"/>
      <c r="CC78" s="67">
        <f>SUM(BY78:CB78)</f>
        <v/>
      </c>
      <c r="CD78" s="61" t="n"/>
      <c r="CE78" s="57" t="n"/>
      <c r="CF78" s="66">
        <f>BV78</f>
        <v/>
      </c>
      <c r="CG78" s="59" t="n"/>
      <c r="CH78" s="57" t="n"/>
      <c r="CI78" s="57" t="n"/>
      <c r="CJ78" s="57" t="n"/>
      <c r="CK78" s="57" t="n"/>
      <c r="CL78" s="67">
        <f>SUM(CH78:CK78)</f>
        <v/>
      </c>
      <c r="CM78" s="61" t="n"/>
      <c r="CN78" s="57" t="n"/>
      <c r="CO78" s="66">
        <f>CE78</f>
        <v/>
      </c>
      <c r="CP78" s="59" t="n"/>
      <c r="CQ78" s="57" t="n"/>
      <c r="CR78" s="57" t="n"/>
      <c r="CS78" s="57" t="n"/>
      <c r="CT78" s="57" t="n"/>
      <c r="CU78" s="67">
        <f>SUM(CQ78:CT78)</f>
        <v/>
      </c>
      <c r="CV78" s="61" t="n"/>
      <c r="CW78" s="57" t="n"/>
      <c r="CX78" s="66">
        <f>CN78</f>
        <v/>
      </c>
      <c r="CY78" s="59" t="n"/>
      <c r="CZ78" s="57" t="n"/>
      <c r="DA78" s="57" t="n"/>
      <c r="DB78" s="57" t="n"/>
      <c r="DC78" s="57" t="n"/>
      <c r="DD78" s="67">
        <f>SUM(CZ78:DC78)</f>
        <v/>
      </c>
      <c r="DE78" s="61" t="n"/>
      <c r="DF78" s="57" t="n"/>
      <c r="DG78" s="66">
        <f>CW78</f>
        <v/>
      </c>
      <c r="DH78" s="59" t="n"/>
      <c r="DI78" s="57" t="n"/>
      <c r="DJ78" s="57" t="n"/>
      <c r="DK78" s="57" t="n"/>
      <c r="DL78" s="57" t="n"/>
      <c r="DM78" s="67">
        <f>SUM(DI78:DL78)</f>
        <v/>
      </c>
      <c r="DN78" s="61" t="n"/>
      <c r="DO78" s="57" t="n"/>
      <c r="DP78" s="66">
        <f>DF78</f>
        <v/>
      </c>
      <c r="DQ78" s="59" t="n"/>
      <c r="DR78" s="57" t="n"/>
      <c r="DS78" s="57" t="n"/>
      <c r="DT78" s="57" t="n"/>
      <c r="DU78" s="57" t="n"/>
      <c r="DV78" s="67">
        <f>SUM(DR78:DU78)</f>
        <v/>
      </c>
      <c r="DW78" s="61" t="n"/>
      <c r="DX78" s="57" t="n"/>
      <c r="DY78" s="66">
        <f>DO78</f>
        <v/>
      </c>
      <c r="DZ78" s="59" t="n"/>
      <c r="EA78" s="57" t="n"/>
      <c r="EB78" s="57" t="n"/>
      <c r="EC78" s="57" t="n"/>
      <c r="ED78" s="57" t="n"/>
      <c r="EE78" s="67">
        <f>SUM(EA78:ED78)</f>
        <v/>
      </c>
      <c r="EF78" s="61" t="n"/>
      <c r="EG78" s="57" t="n"/>
      <c r="EH78" s="66">
        <f>DX78</f>
        <v/>
      </c>
      <c r="EI78" s="59" t="n"/>
      <c r="EJ78" s="57" t="n"/>
      <c r="EK78" s="57" t="n"/>
      <c r="EL78" s="57" t="n"/>
      <c r="EM78" s="57" t="n"/>
      <c r="EN78" s="67">
        <f>SUM(EJ78:EM78)</f>
        <v/>
      </c>
      <c r="EO78" s="61" t="n"/>
      <c r="EP78" s="57" t="n"/>
      <c r="EQ78" s="66">
        <f>EG78</f>
        <v/>
      </c>
      <c r="ER78" s="59" t="n"/>
      <c r="ES78" s="57" t="n"/>
      <c r="ET78" s="57" t="n"/>
      <c r="EU78" s="57" t="n"/>
      <c r="EV78" s="57" t="n"/>
      <c r="EW78" s="67">
        <f>SUM(ES78:EV78)</f>
        <v/>
      </c>
      <c r="EX78" s="61" t="n"/>
      <c r="EY78" s="57" t="n"/>
      <c r="EZ78" s="66">
        <f>EP78</f>
        <v/>
      </c>
      <c r="FA78" s="59" t="n"/>
      <c r="FB78" s="57" t="n"/>
      <c r="FC78" s="57" t="n"/>
      <c r="FD78" s="57" t="n"/>
      <c r="FE78" s="57" t="n"/>
      <c r="FF78" s="67">
        <f>SUM(FB78:FE78)</f>
        <v/>
      </c>
      <c r="FG78" s="61" t="n"/>
      <c r="FH78" s="57" t="n"/>
      <c r="FI78" s="66">
        <f>EY78</f>
        <v/>
      </c>
      <c r="FJ78" s="59" t="n"/>
      <c r="FK78" s="57" t="n"/>
      <c r="FL78" s="57" t="n"/>
      <c r="FM78" s="57" t="n"/>
      <c r="FN78" s="57" t="n"/>
      <c r="FO78" s="67">
        <f>SUM(FK78:FN78)</f>
        <v/>
      </c>
      <c r="FP78" s="61" t="n"/>
      <c r="FQ78" s="57" t="n"/>
      <c r="FR78" s="66">
        <f>FH78</f>
        <v/>
      </c>
      <c r="FS78" s="59" t="n"/>
      <c r="FT78" s="57" t="n"/>
      <c r="FU78" s="57" t="n"/>
      <c r="FV78" s="57" t="n"/>
      <c r="FW78" s="57" t="n"/>
      <c r="FX78" s="67">
        <f>SUM(FT78:FW78)</f>
        <v/>
      </c>
      <c r="FY78" s="61" t="n"/>
      <c r="FZ78" s="57" t="n"/>
      <c r="GA78" s="66">
        <f>FQ78</f>
        <v/>
      </c>
      <c r="GB78" s="59" t="n"/>
      <c r="GC78" s="57" t="n"/>
      <c r="GD78" s="57" t="n"/>
      <c r="GE78" s="57" t="n"/>
      <c r="GF78" s="57" t="n"/>
      <c r="GG78" s="67">
        <f>SUM(GC78:GF78)</f>
        <v/>
      </c>
      <c r="GH78" s="61" t="n"/>
      <c r="GI78" s="57" t="n"/>
      <c r="GJ78" s="66">
        <f>FZ78</f>
        <v/>
      </c>
      <c r="GK78" s="59" t="n"/>
      <c r="GL78" s="57" t="n"/>
      <c r="GM78" s="57" t="n"/>
      <c r="GN78" s="57" t="n"/>
      <c r="GO78" s="57" t="n"/>
      <c r="GP78" s="67">
        <f>SUM(GL78:GO78)</f>
        <v/>
      </c>
      <c r="GQ78" s="61" t="n"/>
      <c r="GR78" s="57" t="n"/>
      <c r="GS78" s="66">
        <f>GI78</f>
        <v/>
      </c>
      <c r="GT78" s="59" t="n"/>
      <c r="GU78" s="57" t="n"/>
      <c r="GV78" s="57" t="n"/>
      <c r="GW78" s="57" t="n"/>
      <c r="GX78" s="57" t="n"/>
      <c r="GY78" s="67">
        <f>SUM(GU78:GX78)</f>
        <v/>
      </c>
      <c r="GZ78" s="61" t="n"/>
      <c r="HA78" s="57" t="n"/>
      <c r="HB78" s="66">
        <f>GR78</f>
        <v/>
      </c>
      <c r="HC78" s="59" t="n"/>
      <c r="HD78" s="57" t="n"/>
      <c r="HE78" s="57" t="n"/>
      <c r="HF78" s="57" t="n"/>
      <c r="HG78" s="57" t="n"/>
      <c r="HH78" s="67">
        <f>SUM(HD78:HG78)</f>
        <v/>
      </c>
      <c r="HI78" s="61" t="n"/>
      <c r="HJ78" s="57" t="n"/>
      <c r="HK78" s="66">
        <f>HA78</f>
        <v/>
      </c>
      <c r="HL78" s="59" t="n"/>
      <c r="HM78" s="57" t="n"/>
      <c r="HN78" s="57" t="n"/>
      <c r="HO78" s="57" t="n"/>
      <c r="HP78" s="57" t="n"/>
      <c r="HQ78" s="67">
        <f>SUM(HM78:HP78)</f>
        <v/>
      </c>
      <c r="HR78" s="61" t="n"/>
      <c r="HS78" s="57" t="n"/>
      <c r="HT78" s="66">
        <f>HJ78</f>
        <v/>
      </c>
      <c r="HU78" s="59" t="n"/>
      <c r="HV78" s="57" t="n"/>
      <c r="HW78" s="57" t="n"/>
      <c r="HX78" s="57" t="n"/>
      <c r="HY78" s="57" t="n"/>
      <c r="HZ78" s="67">
        <f>SUM(HV78:HY78)</f>
        <v/>
      </c>
      <c r="IA78" s="61" t="n"/>
      <c r="IB78" s="57" t="n"/>
      <c r="IC78" s="66">
        <f>HS78</f>
        <v/>
      </c>
      <c r="ID78" s="59" t="n"/>
      <c r="IE78" s="57" t="n"/>
      <c r="IF78" s="57" t="n"/>
      <c r="IG78" s="57" t="n"/>
      <c r="IH78" s="57" t="n"/>
      <c r="II78" s="67">
        <f>SUM(IE78:IH78)</f>
        <v/>
      </c>
      <c r="IJ78" s="61" t="n"/>
      <c r="IK78" s="57" t="n"/>
      <c r="IL78" s="66">
        <f>IB78</f>
        <v/>
      </c>
      <c r="IM78" s="59" t="n"/>
      <c r="IN78" s="57" t="n"/>
      <c r="IO78" s="57" t="n"/>
      <c r="IP78" s="57" t="n"/>
      <c r="IQ78" s="57" t="n"/>
      <c r="IR78" s="67">
        <f>SUM(IN78:IQ78)</f>
        <v/>
      </c>
      <c r="IS78" s="61" t="n"/>
      <c r="IT78" s="57" t="n"/>
      <c r="IU78" s="66">
        <f>IK78</f>
        <v/>
      </c>
      <c r="IV78" s="59" t="n"/>
      <c r="IW78" s="57" t="n"/>
      <c r="IX78" s="57" t="n"/>
      <c r="IY78" s="57" t="n"/>
      <c r="IZ78" s="57" t="n"/>
      <c r="JA78" s="67">
        <f>SUM(IW78:IZ78)</f>
        <v/>
      </c>
      <c r="JB78" s="61" t="n"/>
      <c r="JC78" s="57" t="n"/>
      <c r="JD78" s="66">
        <f>IT78</f>
        <v/>
      </c>
      <c r="JE78" s="59" t="n"/>
      <c r="JF78" s="57" t="n"/>
      <c r="JG78" s="57" t="n"/>
      <c r="JH78" s="57" t="n"/>
      <c r="JI78" s="57" t="n"/>
      <c r="JJ78" s="67">
        <f>SUM(JF78:JI78)</f>
        <v/>
      </c>
      <c r="JK78" s="61" t="n"/>
      <c r="JL78" s="57" t="n"/>
      <c r="JM78" s="66">
        <f>JC78</f>
        <v/>
      </c>
      <c r="JN78" s="59" t="n"/>
      <c r="JO78" s="57" t="n"/>
      <c r="JP78" s="57" t="n"/>
      <c r="JQ78" s="57" t="n"/>
      <c r="JR78" s="57" t="n"/>
      <c r="JS78" s="67">
        <f>SUM(JO78:JR78)</f>
        <v/>
      </c>
      <c r="JT78" s="61" t="n"/>
      <c r="JU78" s="62">
        <f>I78+R78+AA78+AJ78+AS78+BB78+BK78+BT78+CC78+CL78+CU78+DD78+DM78+DV78+EE78+EN78+EW78+FF78+FO78+FX78+GG78+GP78+GY78+HH78+HQ78+HZ78+II78+IR78+JA78+JJ78+JS78</f>
        <v/>
      </c>
      <c r="JV78" s="63">
        <f>D78+M78+V78+AE78+AN78+AW78+BF78+BO78+BX78+CG78+CP78+CY78+DH78+DQ78+DZ78+EI78+ER78+FA78+FJ78+FS78+GB78+GK78+GT78+HC78+HL78+HU78+ID78+IM78+IV78+JE78+JN78</f>
        <v/>
      </c>
      <c r="JW78" s="62">
        <f>CHOOSE($Z$3,B78, K78, T78, AC78, AL78, AU78, BD78, BM78, BV78, CE78, CN78, CW78, DF78, DO78, DX78, EG78, EP78, EY78, FH78, FQ78, FZ78, GI78, GR78, HA78, HJ78, HS78, IB78, IK78, IT78, JC78, JL78)</f>
        <v/>
      </c>
      <c r="JX78" s="62">
        <f>IFERROR(JU78/$Z$3,0)</f>
        <v/>
      </c>
      <c r="JY78" s="62">
        <f>Configurações!$C$18</f>
        <v/>
      </c>
      <c r="JZ78" s="64">
        <f>IF(JY78=0,"— Sem meta",IF(JU78&gt;=JY78,"✓ Atingida","Em andamento"))</f>
        <v/>
      </c>
      <c r="KA78" s="65">
        <f>JU78+(2*0.0000001)</f>
        <v/>
      </c>
    </row>
    <row r="79" ht="20" customHeight="1">
      <c r="A79" s="56">
        <f>IF(Configurações!$B$19="","Assessor 13",Configurações!$B$19)</f>
        <v/>
      </c>
      <c r="B79" s="57" t="n"/>
      <c r="C79" s="58">
        <f>'Agosto'!$JW79</f>
        <v/>
      </c>
      <c r="D79" s="59" t="n"/>
      <c r="E79" s="57" t="n"/>
      <c r="F79" s="57" t="n"/>
      <c r="G79" s="57" t="n"/>
      <c r="H79" s="57" t="n"/>
      <c r="I79" s="60">
        <f>SUM(E79:H79)</f>
        <v/>
      </c>
      <c r="J79" s="61" t="n"/>
      <c r="K79" s="57" t="n"/>
      <c r="L79" s="58">
        <f>B79</f>
        <v/>
      </c>
      <c r="M79" s="59" t="n"/>
      <c r="N79" s="57" t="n"/>
      <c r="O79" s="57" t="n"/>
      <c r="P79" s="57" t="n"/>
      <c r="Q79" s="57" t="n"/>
      <c r="R79" s="60">
        <f>SUM(N79:Q79)</f>
        <v/>
      </c>
      <c r="S79" s="61" t="n"/>
      <c r="T79" s="57" t="n"/>
      <c r="U79" s="58">
        <f>K79</f>
        <v/>
      </c>
      <c r="V79" s="59" t="n"/>
      <c r="W79" s="57" t="n"/>
      <c r="X79" s="57" t="n"/>
      <c r="Y79" s="57" t="n"/>
      <c r="Z79" s="57" t="n"/>
      <c r="AA79" s="60">
        <f>SUM(W79:Z79)</f>
        <v/>
      </c>
      <c r="AB79" s="61" t="n"/>
      <c r="AC79" s="57" t="n"/>
      <c r="AD79" s="58">
        <f>T79</f>
        <v/>
      </c>
      <c r="AE79" s="59" t="n"/>
      <c r="AF79" s="57" t="n"/>
      <c r="AG79" s="57" t="n"/>
      <c r="AH79" s="57" t="n"/>
      <c r="AI79" s="57" t="n"/>
      <c r="AJ79" s="60">
        <f>SUM(AF79:AI79)</f>
        <v/>
      </c>
      <c r="AK79" s="61" t="n"/>
      <c r="AL79" s="57" t="n"/>
      <c r="AM79" s="58">
        <f>AC79</f>
        <v/>
      </c>
      <c r="AN79" s="59" t="n"/>
      <c r="AO79" s="57" t="n"/>
      <c r="AP79" s="57" t="n"/>
      <c r="AQ79" s="57" t="n"/>
      <c r="AR79" s="57" t="n"/>
      <c r="AS79" s="60">
        <f>SUM(AO79:AR79)</f>
        <v/>
      </c>
      <c r="AT79" s="61" t="n"/>
      <c r="AU79" s="57" t="n"/>
      <c r="AV79" s="58">
        <f>AL79</f>
        <v/>
      </c>
      <c r="AW79" s="59" t="n"/>
      <c r="AX79" s="57" t="n"/>
      <c r="AY79" s="57" t="n"/>
      <c r="AZ79" s="57" t="n"/>
      <c r="BA79" s="57" t="n"/>
      <c r="BB79" s="60">
        <f>SUM(AX79:BA79)</f>
        <v/>
      </c>
      <c r="BC79" s="61" t="n"/>
      <c r="BD79" s="57" t="n"/>
      <c r="BE79" s="58">
        <f>AU79</f>
        <v/>
      </c>
      <c r="BF79" s="59" t="n"/>
      <c r="BG79" s="57" t="n"/>
      <c r="BH79" s="57" t="n"/>
      <c r="BI79" s="57" t="n"/>
      <c r="BJ79" s="57" t="n"/>
      <c r="BK79" s="60">
        <f>SUM(BG79:BJ79)</f>
        <v/>
      </c>
      <c r="BL79" s="61" t="n"/>
      <c r="BM79" s="57" t="n"/>
      <c r="BN79" s="58">
        <f>BD79</f>
        <v/>
      </c>
      <c r="BO79" s="59" t="n"/>
      <c r="BP79" s="57" t="n"/>
      <c r="BQ79" s="57" t="n"/>
      <c r="BR79" s="57" t="n"/>
      <c r="BS79" s="57" t="n"/>
      <c r="BT79" s="60">
        <f>SUM(BP79:BS79)</f>
        <v/>
      </c>
      <c r="BU79" s="61" t="n"/>
      <c r="BV79" s="57" t="n"/>
      <c r="BW79" s="58">
        <f>BM79</f>
        <v/>
      </c>
      <c r="BX79" s="59" t="n"/>
      <c r="BY79" s="57" t="n"/>
      <c r="BZ79" s="57" t="n"/>
      <c r="CA79" s="57" t="n"/>
      <c r="CB79" s="57" t="n"/>
      <c r="CC79" s="60">
        <f>SUM(BY79:CB79)</f>
        <v/>
      </c>
      <c r="CD79" s="61" t="n"/>
      <c r="CE79" s="57" t="n"/>
      <c r="CF79" s="58">
        <f>BV79</f>
        <v/>
      </c>
      <c r="CG79" s="59" t="n"/>
      <c r="CH79" s="57" t="n"/>
      <c r="CI79" s="57" t="n"/>
      <c r="CJ79" s="57" t="n"/>
      <c r="CK79" s="57" t="n"/>
      <c r="CL79" s="60">
        <f>SUM(CH79:CK79)</f>
        <v/>
      </c>
      <c r="CM79" s="61" t="n"/>
      <c r="CN79" s="57" t="n"/>
      <c r="CO79" s="58">
        <f>CE79</f>
        <v/>
      </c>
      <c r="CP79" s="59" t="n"/>
      <c r="CQ79" s="57" t="n"/>
      <c r="CR79" s="57" t="n"/>
      <c r="CS79" s="57" t="n"/>
      <c r="CT79" s="57" t="n"/>
      <c r="CU79" s="60">
        <f>SUM(CQ79:CT79)</f>
        <v/>
      </c>
      <c r="CV79" s="61" t="n"/>
      <c r="CW79" s="57" t="n"/>
      <c r="CX79" s="58">
        <f>CN79</f>
        <v/>
      </c>
      <c r="CY79" s="59" t="n"/>
      <c r="CZ79" s="57" t="n"/>
      <c r="DA79" s="57" t="n"/>
      <c r="DB79" s="57" t="n"/>
      <c r="DC79" s="57" t="n"/>
      <c r="DD79" s="60">
        <f>SUM(CZ79:DC79)</f>
        <v/>
      </c>
      <c r="DE79" s="61" t="n"/>
      <c r="DF79" s="57" t="n"/>
      <c r="DG79" s="58">
        <f>CW79</f>
        <v/>
      </c>
      <c r="DH79" s="59" t="n"/>
      <c r="DI79" s="57" t="n"/>
      <c r="DJ79" s="57" t="n"/>
      <c r="DK79" s="57" t="n"/>
      <c r="DL79" s="57" t="n"/>
      <c r="DM79" s="60">
        <f>SUM(DI79:DL79)</f>
        <v/>
      </c>
      <c r="DN79" s="61" t="n"/>
      <c r="DO79" s="57" t="n"/>
      <c r="DP79" s="58">
        <f>DF79</f>
        <v/>
      </c>
      <c r="DQ79" s="59" t="n"/>
      <c r="DR79" s="57" t="n"/>
      <c r="DS79" s="57" t="n"/>
      <c r="DT79" s="57" t="n"/>
      <c r="DU79" s="57" t="n"/>
      <c r="DV79" s="60">
        <f>SUM(DR79:DU79)</f>
        <v/>
      </c>
      <c r="DW79" s="61" t="n"/>
      <c r="DX79" s="57" t="n"/>
      <c r="DY79" s="58">
        <f>DO79</f>
        <v/>
      </c>
      <c r="DZ79" s="59" t="n"/>
      <c r="EA79" s="57" t="n"/>
      <c r="EB79" s="57" t="n"/>
      <c r="EC79" s="57" t="n"/>
      <c r="ED79" s="57" t="n"/>
      <c r="EE79" s="60">
        <f>SUM(EA79:ED79)</f>
        <v/>
      </c>
      <c r="EF79" s="61" t="n"/>
      <c r="EG79" s="57" t="n"/>
      <c r="EH79" s="58">
        <f>DX79</f>
        <v/>
      </c>
      <c r="EI79" s="59" t="n"/>
      <c r="EJ79" s="57" t="n"/>
      <c r="EK79" s="57" t="n"/>
      <c r="EL79" s="57" t="n"/>
      <c r="EM79" s="57" t="n"/>
      <c r="EN79" s="60">
        <f>SUM(EJ79:EM79)</f>
        <v/>
      </c>
      <c r="EO79" s="61" t="n"/>
      <c r="EP79" s="57" t="n"/>
      <c r="EQ79" s="58">
        <f>EG79</f>
        <v/>
      </c>
      <c r="ER79" s="59" t="n"/>
      <c r="ES79" s="57" t="n"/>
      <c r="ET79" s="57" t="n"/>
      <c r="EU79" s="57" t="n"/>
      <c r="EV79" s="57" t="n"/>
      <c r="EW79" s="60">
        <f>SUM(ES79:EV79)</f>
        <v/>
      </c>
      <c r="EX79" s="61" t="n"/>
      <c r="EY79" s="57" t="n"/>
      <c r="EZ79" s="58">
        <f>EP79</f>
        <v/>
      </c>
      <c r="FA79" s="59" t="n"/>
      <c r="FB79" s="57" t="n"/>
      <c r="FC79" s="57" t="n"/>
      <c r="FD79" s="57" t="n"/>
      <c r="FE79" s="57" t="n"/>
      <c r="FF79" s="60">
        <f>SUM(FB79:FE79)</f>
        <v/>
      </c>
      <c r="FG79" s="61" t="n"/>
      <c r="FH79" s="57" t="n"/>
      <c r="FI79" s="58">
        <f>EY79</f>
        <v/>
      </c>
      <c r="FJ79" s="59" t="n"/>
      <c r="FK79" s="57" t="n"/>
      <c r="FL79" s="57" t="n"/>
      <c r="FM79" s="57" t="n"/>
      <c r="FN79" s="57" t="n"/>
      <c r="FO79" s="60">
        <f>SUM(FK79:FN79)</f>
        <v/>
      </c>
      <c r="FP79" s="61" t="n"/>
      <c r="FQ79" s="57" t="n"/>
      <c r="FR79" s="58">
        <f>FH79</f>
        <v/>
      </c>
      <c r="FS79" s="59" t="n"/>
      <c r="FT79" s="57" t="n"/>
      <c r="FU79" s="57" t="n"/>
      <c r="FV79" s="57" t="n"/>
      <c r="FW79" s="57" t="n"/>
      <c r="FX79" s="60">
        <f>SUM(FT79:FW79)</f>
        <v/>
      </c>
      <c r="FY79" s="61" t="n"/>
      <c r="FZ79" s="57" t="n"/>
      <c r="GA79" s="58">
        <f>FQ79</f>
        <v/>
      </c>
      <c r="GB79" s="59" t="n"/>
      <c r="GC79" s="57" t="n"/>
      <c r="GD79" s="57" t="n"/>
      <c r="GE79" s="57" t="n"/>
      <c r="GF79" s="57" t="n"/>
      <c r="GG79" s="60">
        <f>SUM(GC79:GF79)</f>
        <v/>
      </c>
      <c r="GH79" s="61" t="n"/>
      <c r="GI79" s="57" t="n"/>
      <c r="GJ79" s="58">
        <f>FZ79</f>
        <v/>
      </c>
      <c r="GK79" s="59" t="n"/>
      <c r="GL79" s="57" t="n"/>
      <c r="GM79" s="57" t="n"/>
      <c r="GN79" s="57" t="n"/>
      <c r="GO79" s="57" t="n"/>
      <c r="GP79" s="60">
        <f>SUM(GL79:GO79)</f>
        <v/>
      </c>
      <c r="GQ79" s="61" t="n"/>
      <c r="GR79" s="57" t="n"/>
      <c r="GS79" s="58">
        <f>GI79</f>
        <v/>
      </c>
      <c r="GT79" s="59" t="n"/>
      <c r="GU79" s="57" t="n"/>
      <c r="GV79" s="57" t="n"/>
      <c r="GW79" s="57" t="n"/>
      <c r="GX79" s="57" t="n"/>
      <c r="GY79" s="60">
        <f>SUM(GU79:GX79)</f>
        <v/>
      </c>
      <c r="GZ79" s="61" t="n"/>
      <c r="HA79" s="57" t="n"/>
      <c r="HB79" s="58">
        <f>GR79</f>
        <v/>
      </c>
      <c r="HC79" s="59" t="n"/>
      <c r="HD79" s="57" t="n"/>
      <c r="HE79" s="57" t="n"/>
      <c r="HF79" s="57" t="n"/>
      <c r="HG79" s="57" t="n"/>
      <c r="HH79" s="60">
        <f>SUM(HD79:HG79)</f>
        <v/>
      </c>
      <c r="HI79" s="61" t="n"/>
      <c r="HJ79" s="57" t="n"/>
      <c r="HK79" s="58">
        <f>HA79</f>
        <v/>
      </c>
      <c r="HL79" s="59" t="n"/>
      <c r="HM79" s="57" t="n"/>
      <c r="HN79" s="57" t="n"/>
      <c r="HO79" s="57" t="n"/>
      <c r="HP79" s="57" t="n"/>
      <c r="HQ79" s="60">
        <f>SUM(HM79:HP79)</f>
        <v/>
      </c>
      <c r="HR79" s="61" t="n"/>
      <c r="HS79" s="57" t="n"/>
      <c r="HT79" s="58">
        <f>HJ79</f>
        <v/>
      </c>
      <c r="HU79" s="59" t="n"/>
      <c r="HV79" s="57" t="n"/>
      <c r="HW79" s="57" t="n"/>
      <c r="HX79" s="57" t="n"/>
      <c r="HY79" s="57" t="n"/>
      <c r="HZ79" s="60">
        <f>SUM(HV79:HY79)</f>
        <v/>
      </c>
      <c r="IA79" s="61" t="n"/>
      <c r="IB79" s="57" t="n"/>
      <c r="IC79" s="58">
        <f>HS79</f>
        <v/>
      </c>
      <c r="ID79" s="59" t="n"/>
      <c r="IE79" s="57" t="n"/>
      <c r="IF79" s="57" t="n"/>
      <c r="IG79" s="57" t="n"/>
      <c r="IH79" s="57" t="n"/>
      <c r="II79" s="60">
        <f>SUM(IE79:IH79)</f>
        <v/>
      </c>
      <c r="IJ79" s="61" t="n"/>
      <c r="IK79" s="57" t="n"/>
      <c r="IL79" s="58">
        <f>IB79</f>
        <v/>
      </c>
      <c r="IM79" s="59" t="n"/>
      <c r="IN79" s="57" t="n"/>
      <c r="IO79" s="57" t="n"/>
      <c r="IP79" s="57" t="n"/>
      <c r="IQ79" s="57" t="n"/>
      <c r="IR79" s="60">
        <f>SUM(IN79:IQ79)</f>
        <v/>
      </c>
      <c r="IS79" s="61" t="n"/>
      <c r="IT79" s="57" t="n"/>
      <c r="IU79" s="58">
        <f>IK79</f>
        <v/>
      </c>
      <c r="IV79" s="59" t="n"/>
      <c r="IW79" s="57" t="n"/>
      <c r="IX79" s="57" t="n"/>
      <c r="IY79" s="57" t="n"/>
      <c r="IZ79" s="57" t="n"/>
      <c r="JA79" s="60">
        <f>SUM(IW79:IZ79)</f>
        <v/>
      </c>
      <c r="JB79" s="61" t="n"/>
      <c r="JC79" s="57" t="n"/>
      <c r="JD79" s="58">
        <f>IT79</f>
        <v/>
      </c>
      <c r="JE79" s="59" t="n"/>
      <c r="JF79" s="57" t="n"/>
      <c r="JG79" s="57" t="n"/>
      <c r="JH79" s="57" t="n"/>
      <c r="JI79" s="57" t="n"/>
      <c r="JJ79" s="60">
        <f>SUM(JF79:JI79)</f>
        <v/>
      </c>
      <c r="JK79" s="61" t="n"/>
      <c r="JL79" s="57" t="n"/>
      <c r="JM79" s="58">
        <f>JC79</f>
        <v/>
      </c>
      <c r="JN79" s="59" t="n"/>
      <c r="JO79" s="57" t="n"/>
      <c r="JP79" s="57" t="n"/>
      <c r="JQ79" s="57" t="n"/>
      <c r="JR79" s="57" t="n"/>
      <c r="JS79" s="60">
        <f>SUM(JO79:JR79)</f>
        <v/>
      </c>
      <c r="JT79" s="61" t="n"/>
      <c r="JU79" s="62">
        <f>I79+R79+AA79+AJ79+AS79+BB79+BK79+BT79+CC79+CL79+CU79+DD79+DM79+DV79+EE79+EN79+EW79+FF79+FO79+FX79+GG79+GP79+GY79+HH79+HQ79+HZ79+II79+IR79+JA79+JJ79+JS79</f>
        <v/>
      </c>
      <c r="JV79" s="63">
        <f>D79+M79+V79+AE79+AN79+AW79+BF79+BO79+BX79+CG79+CP79+CY79+DH79+DQ79+DZ79+EI79+ER79+FA79+FJ79+FS79+GB79+GK79+GT79+HC79+HL79+HU79+ID79+IM79+IV79+JE79+JN79</f>
        <v/>
      </c>
      <c r="JW79" s="62">
        <f>CHOOSE($Z$3,B79, K79, T79, AC79, AL79, AU79, BD79, BM79, BV79, CE79, CN79, CW79, DF79, DO79, DX79, EG79, EP79, EY79, FH79, FQ79, FZ79, GI79, GR79, HA79, HJ79, HS79, IB79, IK79, IT79, JC79, JL79)</f>
        <v/>
      </c>
      <c r="JX79" s="62">
        <f>IFERROR(JU79/$Z$3,0)</f>
        <v/>
      </c>
      <c r="JY79" s="62">
        <f>Configurações!$C$19</f>
        <v/>
      </c>
      <c r="JZ79" s="64">
        <f>IF(JY79=0,"— Sem meta",IF(JU79&gt;=JY79,"✓ Atingida","Em andamento"))</f>
        <v/>
      </c>
      <c r="KA79" s="65">
        <f>JU79+(1*0.0000001)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66:JZ79"/>
  <mergeCells count="65">
    <mergeCell ref="C6:D6"/>
    <mergeCell ref="I6:J6"/>
    <mergeCell ref="G10:I10"/>
    <mergeCell ref="T65:AB65"/>
    <mergeCell ref="CW65:DE65"/>
    <mergeCell ref="IK65:IS65"/>
    <mergeCell ref="FH65:FP65"/>
    <mergeCell ref="JV65:JV66"/>
    <mergeCell ref="C5:D5"/>
    <mergeCell ref="EY65:FG65"/>
    <mergeCell ref="JY65:JY66"/>
    <mergeCell ref="A2:KA2"/>
    <mergeCell ref="E5:F5"/>
    <mergeCell ref="K5:L5"/>
    <mergeCell ref="J9:L9"/>
    <mergeCell ref="AU65:BC65"/>
    <mergeCell ref="GI65:GQ65"/>
    <mergeCell ref="HJ65:HR65"/>
    <mergeCell ref="A6:B6"/>
    <mergeCell ref="A12:L12"/>
    <mergeCell ref="A65:A66"/>
    <mergeCell ref="JL65:JT65"/>
    <mergeCell ref="A8:L8"/>
    <mergeCell ref="FQ65:FY65"/>
    <mergeCell ref="D9:F9"/>
    <mergeCell ref="G6:H6"/>
    <mergeCell ref="B65:J65"/>
    <mergeCell ref="HS65:IA65"/>
    <mergeCell ref="AC65:AK65"/>
    <mergeCell ref="BD65:BL65"/>
    <mergeCell ref="A4:L4"/>
    <mergeCell ref="DO65:DW65"/>
    <mergeCell ref="A10:C10"/>
    <mergeCell ref="CE65:CM65"/>
    <mergeCell ref="DF65:DN65"/>
    <mergeCell ref="E6:F6"/>
    <mergeCell ref="EG65:EO65"/>
    <mergeCell ref="JX65:JX66"/>
    <mergeCell ref="JZ65:JZ66"/>
    <mergeCell ref="K65:S65"/>
    <mergeCell ref="A5:B5"/>
    <mergeCell ref="G5:H5"/>
    <mergeCell ref="A9:C9"/>
    <mergeCell ref="G9:I9"/>
    <mergeCell ref="I5:J5"/>
    <mergeCell ref="A64:KA64"/>
    <mergeCell ref="IT65:JB65"/>
    <mergeCell ref="A1:KA1"/>
    <mergeCell ref="D10:F10"/>
    <mergeCell ref="BV65:CD65"/>
    <mergeCell ref="IB65:IJ65"/>
    <mergeCell ref="CN65:CV65"/>
    <mergeCell ref="BM65:BU65"/>
    <mergeCell ref="DX65:EF65"/>
    <mergeCell ref="JU65:JU66"/>
    <mergeCell ref="J10:L10"/>
    <mergeCell ref="EP65:EX65"/>
    <mergeCell ref="JW65:JW66"/>
    <mergeCell ref="FZ65:GH65"/>
    <mergeCell ref="KA65:KA66"/>
    <mergeCell ref="HA65:HI65"/>
    <mergeCell ref="AL65:AT65"/>
    <mergeCell ref="GR65:GZ65"/>
    <mergeCell ref="JC65:JK65"/>
    <mergeCell ref="K6:L6"/>
  </mergeCells>
  <conditionalFormatting sqref="H14:H26">
    <cfRule type="expression" priority="1" dxfId="0">
      <formula>ISNUMBER(SEARCH("Atingida",H14))</formula>
    </cfRule>
  </conditionalFormatting>
  <conditionalFormatting sqref="B65:JT79">
    <cfRule type="expression" priority="2" dxfId="1">
      <formula>$Z$3&lt;INT((COLUMN()-2)/9)+1</formula>
    </cfRule>
  </conditionalFormatting>
  <conditionalFormatting sqref="D67:D79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I67:I79">
    <cfRule type="colorScale" priority="5">
      <colorScale>
        <cfvo type="min"/>
        <cfvo type="max"/>
        <color rgb="00FFFFFF"/>
        <color rgb="0063BE7B"/>
      </colorScale>
    </cfRule>
  </conditionalFormatting>
  <conditionalFormatting sqref="M67:M79">
    <cfRule type="cellIs" priority="6" operator="greaterThan" dxfId="2">
      <formula>0</formula>
    </cfRule>
    <cfRule type="cellIs" priority="7" operator="lessThan" dxfId="3">
      <formula>0</formula>
    </cfRule>
  </conditionalFormatting>
  <conditionalFormatting sqref="R67:R79">
    <cfRule type="colorScale" priority="8">
      <colorScale>
        <cfvo type="min"/>
        <cfvo type="max"/>
        <color rgb="00FFFFFF"/>
        <color rgb="0063BE7B"/>
      </colorScale>
    </cfRule>
  </conditionalFormatting>
  <conditionalFormatting sqref="V67:V79">
    <cfRule type="cellIs" priority="9" operator="greaterThan" dxfId="2">
      <formula>0</formula>
    </cfRule>
    <cfRule type="cellIs" priority="10" operator="lessThan" dxfId="3">
      <formula>0</formula>
    </cfRule>
  </conditionalFormatting>
  <conditionalFormatting sqref="AA67:AA79">
    <cfRule type="colorScale" priority="11">
      <colorScale>
        <cfvo type="min"/>
        <cfvo type="max"/>
        <color rgb="00FFFFFF"/>
        <color rgb="0063BE7B"/>
      </colorScale>
    </cfRule>
  </conditionalFormatting>
  <conditionalFormatting sqref="AE67:AE79">
    <cfRule type="cellIs" priority="12" operator="greaterThan" dxfId="2">
      <formula>0</formula>
    </cfRule>
    <cfRule type="cellIs" priority="13" operator="lessThan" dxfId="3">
      <formula>0</formula>
    </cfRule>
  </conditionalFormatting>
  <conditionalFormatting sqref="AJ67:AJ79">
    <cfRule type="colorScale" priority="14">
      <colorScale>
        <cfvo type="min"/>
        <cfvo type="max"/>
        <color rgb="00FFFFFF"/>
        <color rgb="0063BE7B"/>
      </colorScale>
    </cfRule>
  </conditionalFormatting>
  <conditionalFormatting sqref="AN67:AN79">
    <cfRule type="cellIs" priority="15" operator="greaterThan" dxfId="2">
      <formula>0</formula>
    </cfRule>
    <cfRule type="cellIs" priority="16" operator="lessThan" dxfId="3">
      <formula>0</formula>
    </cfRule>
  </conditionalFormatting>
  <conditionalFormatting sqref="AS67:AS79">
    <cfRule type="colorScale" priority="17">
      <colorScale>
        <cfvo type="min"/>
        <cfvo type="max"/>
        <color rgb="00FFFFFF"/>
        <color rgb="0063BE7B"/>
      </colorScale>
    </cfRule>
  </conditionalFormatting>
  <conditionalFormatting sqref="AW67:AW79">
    <cfRule type="cellIs" priority="18" operator="greaterThan" dxfId="2">
      <formula>0</formula>
    </cfRule>
    <cfRule type="cellIs" priority="19" operator="lessThan" dxfId="3">
      <formula>0</formula>
    </cfRule>
  </conditionalFormatting>
  <conditionalFormatting sqref="BB67:BB79">
    <cfRule type="colorScale" priority="20">
      <colorScale>
        <cfvo type="min"/>
        <cfvo type="max"/>
        <color rgb="00FFFFFF"/>
        <color rgb="0063BE7B"/>
      </colorScale>
    </cfRule>
  </conditionalFormatting>
  <conditionalFormatting sqref="BF67:BF79">
    <cfRule type="cellIs" priority="21" operator="greaterThan" dxfId="2">
      <formula>0</formula>
    </cfRule>
    <cfRule type="cellIs" priority="22" operator="lessThan" dxfId="3">
      <formula>0</formula>
    </cfRule>
  </conditionalFormatting>
  <conditionalFormatting sqref="BK67:BK79">
    <cfRule type="colorScale" priority="23">
      <colorScale>
        <cfvo type="min"/>
        <cfvo type="max"/>
        <color rgb="00FFFFFF"/>
        <color rgb="0063BE7B"/>
      </colorScale>
    </cfRule>
  </conditionalFormatting>
  <conditionalFormatting sqref="BO67:BO79">
    <cfRule type="cellIs" priority="24" operator="greaterThan" dxfId="2">
      <formula>0</formula>
    </cfRule>
    <cfRule type="cellIs" priority="25" operator="lessThan" dxfId="3">
      <formula>0</formula>
    </cfRule>
  </conditionalFormatting>
  <conditionalFormatting sqref="BT67:BT79">
    <cfRule type="colorScale" priority="26">
      <colorScale>
        <cfvo type="min"/>
        <cfvo type="max"/>
        <color rgb="00FFFFFF"/>
        <color rgb="0063BE7B"/>
      </colorScale>
    </cfRule>
  </conditionalFormatting>
  <conditionalFormatting sqref="BX67:BX79">
    <cfRule type="cellIs" priority="27" operator="greaterThan" dxfId="2">
      <formula>0</formula>
    </cfRule>
    <cfRule type="cellIs" priority="28" operator="lessThan" dxfId="3">
      <formula>0</formula>
    </cfRule>
  </conditionalFormatting>
  <conditionalFormatting sqref="CC67:CC79">
    <cfRule type="colorScale" priority="29">
      <colorScale>
        <cfvo type="min"/>
        <cfvo type="max"/>
        <color rgb="00FFFFFF"/>
        <color rgb="0063BE7B"/>
      </colorScale>
    </cfRule>
  </conditionalFormatting>
  <conditionalFormatting sqref="CG67:CG79">
    <cfRule type="cellIs" priority="30" operator="greaterThan" dxfId="2">
      <formula>0</formula>
    </cfRule>
    <cfRule type="cellIs" priority="31" operator="lessThan" dxfId="3">
      <formula>0</formula>
    </cfRule>
  </conditionalFormatting>
  <conditionalFormatting sqref="CL67:CL79">
    <cfRule type="colorScale" priority="32">
      <colorScale>
        <cfvo type="min"/>
        <cfvo type="max"/>
        <color rgb="00FFFFFF"/>
        <color rgb="0063BE7B"/>
      </colorScale>
    </cfRule>
  </conditionalFormatting>
  <conditionalFormatting sqref="CP67:CP79">
    <cfRule type="cellIs" priority="33" operator="greaterThan" dxfId="2">
      <formula>0</formula>
    </cfRule>
    <cfRule type="cellIs" priority="34" operator="lessThan" dxfId="3">
      <formula>0</formula>
    </cfRule>
  </conditionalFormatting>
  <conditionalFormatting sqref="CU67:CU79">
    <cfRule type="colorScale" priority="35">
      <colorScale>
        <cfvo type="min"/>
        <cfvo type="max"/>
        <color rgb="00FFFFFF"/>
        <color rgb="0063BE7B"/>
      </colorScale>
    </cfRule>
  </conditionalFormatting>
  <conditionalFormatting sqref="CY67:CY79">
    <cfRule type="cellIs" priority="36" operator="greaterThan" dxfId="2">
      <formula>0</formula>
    </cfRule>
    <cfRule type="cellIs" priority="37" operator="lessThan" dxfId="3">
      <formula>0</formula>
    </cfRule>
  </conditionalFormatting>
  <conditionalFormatting sqref="DD67:DD79">
    <cfRule type="colorScale" priority="38">
      <colorScale>
        <cfvo type="min"/>
        <cfvo type="max"/>
        <color rgb="00FFFFFF"/>
        <color rgb="0063BE7B"/>
      </colorScale>
    </cfRule>
  </conditionalFormatting>
  <conditionalFormatting sqref="DH67:DH79">
    <cfRule type="cellIs" priority="39" operator="greaterThan" dxfId="2">
      <formula>0</formula>
    </cfRule>
    <cfRule type="cellIs" priority="40" operator="lessThan" dxfId="3">
      <formula>0</formula>
    </cfRule>
  </conditionalFormatting>
  <conditionalFormatting sqref="DM67:DM79">
    <cfRule type="colorScale" priority="41">
      <colorScale>
        <cfvo type="min"/>
        <cfvo type="max"/>
        <color rgb="00FFFFFF"/>
        <color rgb="0063BE7B"/>
      </colorScale>
    </cfRule>
  </conditionalFormatting>
  <conditionalFormatting sqref="DQ67:DQ79">
    <cfRule type="cellIs" priority="42" operator="greaterThan" dxfId="2">
      <formula>0</formula>
    </cfRule>
    <cfRule type="cellIs" priority="43" operator="lessThan" dxfId="3">
      <formula>0</formula>
    </cfRule>
  </conditionalFormatting>
  <conditionalFormatting sqref="DV67:DV79">
    <cfRule type="colorScale" priority="44">
      <colorScale>
        <cfvo type="min"/>
        <cfvo type="max"/>
        <color rgb="00FFFFFF"/>
        <color rgb="0063BE7B"/>
      </colorScale>
    </cfRule>
  </conditionalFormatting>
  <conditionalFormatting sqref="DZ67:DZ79">
    <cfRule type="cellIs" priority="45" operator="greaterThan" dxfId="2">
      <formula>0</formula>
    </cfRule>
    <cfRule type="cellIs" priority="46" operator="lessThan" dxfId="3">
      <formula>0</formula>
    </cfRule>
  </conditionalFormatting>
  <conditionalFormatting sqref="EE67:EE79">
    <cfRule type="colorScale" priority="47">
      <colorScale>
        <cfvo type="min"/>
        <cfvo type="max"/>
        <color rgb="00FFFFFF"/>
        <color rgb="0063BE7B"/>
      </colorScale>
    </cfRule>
  </conditionalFormatting>
  <conditionalFormatting sqref="EI67:EI79">
    <cfRule type="cellIs" priority="48" operator="greaterThan" dxfId="2">
      <formula>0</formula>
    </cfRule>
    <cfRule type="cellIs" priority="49" operator="lessThan" dxfId="3">
      <formula>0</formula>
    </cfRule>
  </conditionalFormatting>
  <conditionalFormatting sqref="EN67:EN79">
    <cfRule type="colorScale" priority="50">
      <colorScale>
        <cfvo type="min"/>
        <cfvo type="max"/>
        <color rgb="00FFFFFF"/>
        <color rgb="0063BE7B"/>
      </colorScale>
    </cfRule>
  </conditionalFormatting>
  <conditionalFormatting sqref="ER67:ER79">
    <cfRule type="cellIs" priority="51" operator="greaterThan" dxfId="2">
      <formula>0</formula>
    </cfRule>
    <cfRule type="cellIs" priority="52" operator="lessThan" dxfId="3">
      <formula>0</formula>
    </cfRule>
  </conditionalFormatting>
  <conditionalFormatting sqref="EW67:EW79">
    <cfRule type="colorScale" priority="53">
      <colorScale>
        <cfvo type="min"/>
        <cfvo type="max"/>
        <color rgb="00FFFFFF"/>
        <color rgb="0063BE7B"/>
      </colorScale>
    </cfRule>
  </conditionalFormatting>
  <conditionalFormatting sqref="FA67:FA79">
    <cfRule type="cellIs" priority="54" operator="greaterThan" dxfId="2">
      <formula>0</formula>
    </cfRule>
    <cfRule type="cellIs" priority="55" operator="lessThan" dxfId="3">
      <formula>0</formula>
    </cfRule>
  </conditionalFormatting>
  <conditionalFormatting sqref="FF67:FF79">
    <cfRule type="colorScale" priority="56">
      <colorScale>
        <cfvo type="min"/>
        <cfvo type="max"/>
        <color rgb="00FFFFFF"/>
        <color rgb="0063BE7B"/>
      </colorScale>
    </cfRule>
  </conditionalFormatting>
  <conditionalFormatting sqref="FJ67:FJ79">
    <cfRule type="cellIs" priority="57" operator="greaterThan" dxfId="2">
      <formula>0</formula>
    </cfRule>
    <cfRule type="cellIs" priority="58" operator="lessThan" dxfId="3">
      <formula>0</formula>
    </cfRule>
  </conditionalFormatting>
  <conditionalFormatting sqref="FO67:FO79">
    <cfRule type="colorScale" priority="59">
      <colorScale>
        <cfvo type="min"/>
        <cfvo type="max"/>
        <color rgb="00FFFFFF"/>
        <color rgb="0063BE7B"/>
      </colorScale>
    </cfRule>
  </conditionalFormatting>
  <conditionalFormatting sqref="FS67:FS79">
    <cfRule type="cellIs" priority="60" operator="greaterThan" dxfId="2">
      <formula>0</formula>
    </cfRule>
    <cfRule type="cellIs" priority="61" operator="lessThan" dxfId="3">
      <formula>0</formula>
    </cfRule>
  </conditionalFormatting>
  <conditionalFormatting sqref="FX67:FX79">
    <cfRule type="colorScale" priority="62">
      <colorScale>
        <cfvo type="min"/>
        <cfvo type="max"/>
        <color rgb="00FFFFFF"/>
        <color rgb="0063BE7B"/>
      </colorScale>
    </cfRule>
  </conditionalFormatting>
  <conditionalFormatting sqref="GB67:GB79">
    <cfRule type="cellIs" priority="63" operator="greaterThan" dxfId="2">
      <formula>0</formula>
    </cfRule>
    <cfRule type="cellIs" priority="64" operator="lessThan" dxfId="3">
      <formula>0</formula>
    </cfRule>
  </conditionalFormatting>
  <conditionalFormatting sqref="GG67:GG79">
    <cfRule type="colorScale" priority="65">
      <colorScale>
        <cfvo type="min"/>
        <cfvo type="max"/>
        <color rgb="00FFFFFF"/>
        <color rgb="0063BE7B"/>
      </colorScale>
    </cfRule>
  </conditionalFormatting>
  <conditionalFormatting sqref="GK67:GK79">
    <cfRule type="cellIs" priority="66" operator="greaterThan" dxfId="2">
      <formula>0</formula>
    </cfRule>
    <cfRule type="cellIs" priority="67" operator="lessThan" dxfId="3">
      <formula>0</formula>
    </cfRule>
  </conditionalFormatting>
  <conditionalFormatting sqref="GP67:GP79">
    <cfRule type="colorScale" priority="68">
      <colorScale>
        <cfvo type="min"/>
        <cfvo type="max"/>
        <color rgb="00FFFFFF"/>
        <color rgb="0063BE7B"/>
      </colorScale>
    </cfRule>
  </conditionalFormatting>
  <conditionalFormatting sqref="GT67:GT79">
    <cfRule type="cellIs" priority="69" operator="greaterThan" dxfId="2">
      <formula>0</formula>
    </cfRule>
    <cfRule type="cellIs" priority="70" operator="lessThan" dxfId="3">
      <formula>0</formula>
    </cfRule>
  </conditionalFormatting>
  <conditionalFormatting sqref="GY67:GY79">
    <cfRule type="colorScale" priority="71">
      <colorScale>
        <cfvo type="min"/>
        <cfvo type="max"/>
        <color rgb="00FFFFFF"/>
        <color rgb="0063BE7B"/>
      </colorScale>
    </cfRule>
  </conditionalFormatting>
  <conditionalFormatting sqref="HC67:HC79">
    <cfRule type="cellIs" priority="72" operator="greaterThan" dxfId="2">
      <formula>0</formula>
    </cfRule>
    <cfRule type="cellIs" priority="73" operator="lessThan" dxfId="3">
      <formula>0</formula>
    </cfRule>
  </conditionalFormatting>
  <conditionalFormatting sqref="HH67:HH79">
    <cfRule type="colorScale" priority="74">
      <colorScale>
        <cfvo type="min"/>
        <cfvo type="max"/>
        <color rgb="00FFFFFF"/>
        <color rgb="0063BE7B"/>
      </colorScale>
    </cfRule>
  </conditionalFormatting>
  <conditionalFormatting sqref="HL67:HL79">
    <cfRule type="cellIs" priority="75" operator="greaterThan" dxfId="2">
      <formula>0</formula>
    </cfRule>
    <cfRule type="cellIs" priority="76" operator="lessThan" dxfId="3">
      <formula>0</formula>
    </cfRule>
  </conditionalFormatting>
  <conditionalFormatting sqref="HQ67:HQ79">
    <cfRule type="colorScale" priority="77">
      <colorScale>
        <cfvo type="min"/>
        <cfvo type="max"/>
        <color rgb="00FFFFFF"/>
        <color rgb="0063BE7B"/>
      </colorScale>
    </cfRule>
  </conditionalFormatting>
  <conditionalFormatting sqref="HU67:HU79">
    <cfRule type="cellIs" priority="78" operator="greaterThan" dxfId="2">
      <formula>0</formula>
    </cfRule>
    <cfRule type="cellIs" priority="79" operator="lessThan" dxfId="3">
      <formula>0</formula>
    </cfRule>
  </conditionalFormatting>
  <conditionalFormatting sqref="HZ67:HZ79">
    <cfRule type="colorScale" priority="80">
      <colorScale>
        <cfvo type="min"/>
        <cfvo type="max"/>
        <color rgb="00FFFFFF"/>
        <color rgb="0063BE7B"/>
      </colorScale>
    </cfRule>
  </conditionalFormatting>
  <conditionalFormatting sqref="ID67:ID79">
    <cfRule type="cellIs" priority="81" operator="greaterThan" dxfId="2">
      <formula>0</formula>
    </cfRule>
    <cfRule type="cellIs" priority="82" operator="lessThan" dxfId="3">
      <formula>0</formula>
    </cfRule>
  </conditionalFormatting>
  <conditionalFormatting sqref="II67:II79">
    <cfRule type="colorScale" priority="83">
      <colorScale>
        <cfvo type="min"/>
        <cfvo type="max"/>
        <color rgb="00FFFFFF"/>
        <color rgb="0063BE7B"/>
      </colorScale>
    </cfRule>
  </conditionalFormatting>
  <conditionalFormatting sqref="IM67:IM79">
    <cfRule type="cellIs" priority="84" operator="greaterThan" dxfId="2">
      <formula>0</formula>
    </cfRule>
    <cfRule type="cellIs" priority="85" operator="lessThan" dxfId="3">
      <formula>0</formula>
    </cfRule>
  </conditionalFormatting>
  <conditionalFormatting sqref="IR67:IR79">
    <cfRule type="colorScale" priority="86">
      <colorScale>
        <cfvo type="min"/>
        <cfvo type="max"/>
        <color rgb="00FFFFFF"/>
        <color rgb="0063BE7B"/>
      </colorScale>
    </cfRule>
  </conditionalFormatting>
  <conditionalFormatting sqref="IV67:IV79">
    <cfRule type="cellIs" priority="87" operator="greaterThan" dxfId="2">
      <formula>0</formula>
    </cfRule>
    <cfRule type="cellIs" priority="88" operator="lessThan" dxfId="3">
      <formula>0</formula>
    </cfRule>
  </conditionalFormatting>
  <conditionalFormatting sqref="JA67:JA79">
    <cfRule type="colorScale" priority="89">
      <colorScale>
        <cfvo type="min"/>
        <cfvo type="max"/>
        <color rgb="00FFFFFF"/>
        <color rgb="0063BE7B"/>
      </colorScale>
    </cfRule>
  </conditionalFormatting>
  <conditionalFormatting sqref="JE67:JE79">
    <cfRule type="cellIs" priority="90" operator="greaterThan" dxfId="2">
      <formula>0</formula>
    </cfRule>
    <cfRule type="cellIs" priority="91" operator="lessThan" dxfId="3">
      <formula>0</formula>
    </cfRule>
  </conditionalFormatting>
  <conditionalFormatting sqref="JJ67:JJ79">
    <cfRule type="colorScale" priority="92">
      <colorScale>
        <cfvo type="min"/>
        <cfvo type="max"/>
        <color rgb="00FFFFFF"/>
        <color rgb="0063BE7B"/>
      </colorScale>
    </cfRule>
  </conditionalFormatting>
  <conditionalFormatting sqref="JN67:JN79">
    <cfRule type="cellIs" priority="93" operator="greaterThan" dxfId="2">
      <formula>0</formula>
    </cfRule>
    <cfRule type="cellIs" priority="94" operator="lessThan" dxfId="3">
      <formula>0</formula>
    </cfRule>
  </conditionalFormatting>
  <conditionalFormatting sqref="JS67:JS79">
    <cfRule type="colorScale" priority="95">
      <colorScale>
        <cfvo type="min"/>
        <cfvo type="max"/>
        <color rgb="00FFFFFF"/>
        <color rgb="0063BE7B"/>
      </colorScale>
    </cfRule>
  </conditionalFormatting>
  <conditionalFormatting sqref="JZ67:JZ79">
    <cfRule type="expression" priority="96" dxfId="0">
      <formula>ISNUMBER(SEARCH("Atingida",JZ67))</formula>
    </cfRule>
  </conditionalFormatting>
  <dataValidations count="4">
    <dataValidation sqref="B67:B79 K67:K79 T67:T79 AC67:AC79 AL67:AL79 AU67:AU79 BD67:BD79 BM67:BM79 BV67:BV79 CE67:CE79 CN67:CN79 CW67:CW79 DF67:DF79 DO67:DO79 DX67:DX79 EG67:EG79 EP67:EP79 EY67:EY79 FH67:FH79 FQ67:FQ79 FZ67:FZ79 GI67:GI79 GR67:GR79 HA67:HA79 HJ67:HJ79 HS67:HS79 IB67:IB79 IK67:IK79 IT67:IT79 JC67:JC79 JL67:JL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D67:D79 M67:M79 V67:V79 AE67:AE79 AN67:AN79 AW67:AW79 BF67:BF79 BO67:BO79 BX67:BX79 CG67:CG79 CP67:CP79 CY67:CY79 DH67:DH79 DQ67:DQ79 DZ67:DZ79 EI67:EI79 ER67:ER79 FA67:FA79 FJ67:FJ79 FS67:FS79 GB67:GB79 GK67:GK79 GT67:GT79 HC67:HC79 HL67:HL79 HU67:HU79 ID67:ID79 IM67:IM79 IV67:IV79 JE67:JE79 JN67:JN79" showDropDown="0" showInputMessage="0" showErrorMessage="1" allowBlank="1" errorTitle="Valor inválido" error="Informe um valor numérico (positivo ou negativo)." type="decimal" operator="between">
      <formula1>-999999999</formula1>
      <formula2>999999999</formula2>
    </dataValidation>
    <dataValidation sqref="E67:E79 F67:F79 G67:G79 H67:H79 N67:N79 O67:O79 P67:P79 Q67:Q79 W67:W79 X67:X79 Y67:Y79 Z67:Z79 AF67:AF79 AG67:AG79 AH67:AH79 AI67:AI79 AO67:AO79 AP67:AP79 AQ67:AQ79 AR67:AR79 AX67:AX79 AY67:AY79 AZ67:AZ79 BA67:BA79 BG67:BG79 BH67:BH79 BI67:BI79 BJ67:BJ79 BP67:BP79 BQ67:BQ79 BR67:BR79 BS67:BS79 BY67:BY79 BZ67:BZ79 CA67:CA79 CB67:CB79 CH67:CH79 CI67:CI79 CJ67:CJ79 CK67:CK79 CQ67:CQ79 CR67:CR79 CS67:CS79 CT67:CT79 CZ67:CZ79 DA67:DA79 DB67:DB79 DC67:DC79 DI67:DI79 DJ67:DJ79 DK67:DK79 DL67:DL79 DR67:DR79 DS67:DS79 DT67:DT79 DU67:DU79 EA67:EA79 EB67:EB79 EC67:EC79 ED67:ED79 EJ67:EJ79 EK67:EK79 EL67:EL79 EM67:EM79 ES67:ES79 ET67:ET79 EU67:EU79 EV67:EV79 FB67:FB79 FC67:FC79 FD67:FD79 FE67:FE79 FK67:FK79 FL67:FL79 FM67:FM79 FN67:FN79 FT67:FT79 FU67:FU79 FV67:FV79 FW67:FW79 GC67:GC79 GD67:GD79 GE67:GE79 GF67:GF79 GL67:GL79 GM67:GM79 GN67:GN79 GO67:GO79 GU67:GU79 GV67:GV79 GW67:GW79 GX67:GX79 HD67:HD79 HE67:HE79 HF67:HF79 HG67:HG79 HM67:HM79 HN67:HN79 HO67:HO79 HP67:HP79 HV67:HV79 HW67:HW79 HX67:HX79 HY67:HY79 IE67:IE79 IF67:IF79 IG67:IG79 IH67:IH79 IN67:IN79 IO67:IO79 IP67:IP79 IQ67:IQ79 IW67:IW79 IX67:IX79 IY67:IY79 IZ67:IZ79 JF67:JF79 JG67:JG79 JH67:JH79 JI67:JI79 JO67:JO79 JP67:JP79 JQ67:JQ79 JR67:JR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J67:J79 S67:S79 AB67:AB79 AK67:AK79 AT67:AT79 BC67:BC79 BL67:BL79 BU67:BU79 CD67:CD79 CM67:CM79 CV67:CV79 DE67:DE79 DN67:DN79 DW67:DW79 EF67:EF79 EO67:EO79 EX67:EX79 FG67:FG79 FP67:FP79 FY67:FY79 GH67:GH79 GQ67:GQ79 GZ67:GZ79 HI67:HI79 HR67:HR79 IA67:IA79 IJ67:IJ79 IS67:IS79 JB67:JB79 JK67:JK79 JT67:JT79" showDropDown="0" showInputMessage="0" showErrorMessage="1" allowBlank="1" errorTitle="Texto muito longo" error="Limite de 300 caracteres." type="textLength" operator="lessThanOrEqual">
      <formula1>300</formula1>
    </dataValidation>
  </dataValidations>
  <pageMargins left="0.75" right="0.75" top="1" bottom="1" header="0.5" footer="0.5"/>
  <pageSetup orientation="landscape" fitToHeight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I79"/>
  <sheetViews>
    <sheetView showGridLines="0" zoomScale="90" workbookViewId="0">
      <pane xSplit="1" ySplit="66" topLeftCell="B6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11" customWidth="1" min="5" max="5"/>
    <col width="12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4" customWidth="1" min="13" max="13"/>
    <col width="11" customWidth="1" min="14" max="14"/>
    <col width="12" customWidth="1" min="15" max="15"/>
    <col width="13" customWidth="1" min="16" max="16"/>
    <col width="13" customWidth="1" min="17" max="17"/>
    <col width="13" customWidth="1" min="18" max="18"/>
    <col width="20" customWidth="1" min="19" max="19"/>
    <col width="13" customWidth="1" min="20" max="20"/>
    <col width="13" customWidth="1" min="21" max="21"/>
    <col width="14" customWidth="1" min="22" max="22"/>
    <col width="11" customWidth="1" min="23" max="23"/>
    <col width="12" customWidth="1" min="24" max="24"/>
    <col width="13" customWidth="1" min="25" max="25"/>
    <col width="13" customWidth="1" min="26" max="26"/>
    <col width="13" customWidth="1" min="27" max="27"/>
    <col width="20" customWidth="1" min="28" max="28"/>
    <col width="13" customWidth="1" min="29" max="29"/>
    <col width="13" customWidth="1" min="30" max="30"/>
    <col width="14" customWidth="1" min="31" max="31"/>
    <col width="11" customWidth="1" min="32" max="32"/>
    <col width="12" customWidth="1" min="33" max="33"/>
    <col width="13" customWidth="1" min="34" max="34"/>
    <col width="13" customWidth="1" min="35" max="35"/>
    <col width="13" customWidth="1" min="36" max="36"/>
    <col width="20" customWidth="1" min="37" max="37"/>
    <col width="13" customWidth="1" min="38" max="38"/>
    <col width="13" customWidth="1" min="39" max="39"/>
    <col width="14" customWidth="1" min="40" max="40"/>
    <col width="11" customWidth="1" min="41" max="41"/>
    <col width="12" customWidth="1" min="42" max="42"/>
    <col width="13" customWidth="1" min="43" max="43"/>
    <col width="13" customWidth="1" min="44" max="44"/>
    <col width="13" customWidth="1" min="45" max="45"/>
    <col width="20" customWidth="1" min="46" max="46"/>
    <col width="13" customWidth="1" min="47" max="47"/>
    <col width="13" customWidth="1" min="48" max="48"/>
    <col width="14" customWidth="1" min="49" max="49"/>
    <col width="11" customWidth="1" min="50" max="50"/>
    <col width="12" customWidth="1" min="51" max="51"/>
    <col width="13" customWidth="1" min="52" max="52"/>
    <col width="13" customWidth="1" min="53" max="53"/>
    <col width="13" customWidth="1" min="54" max="54"/>
    <col width="20" customWidth="1" min="55" max="55"/>
    <col width="13" customWidth="1" min="56" max="56"/>
    <col width="13" customWidth="1" min="57" max="57"/>
    <col width="14" customWidth="1" min="58" max="58"/>
    <col width="11" customWidth="1" min="59" max="59"/>
    <col width="12" customWidth="1" min="60" max="60"/>
    <col width="13" customWidth="1" min="61" max="61"/>
    <col width="13" customWidth="1" min="62" max="62"/>
    <col width="13" customWidth="1" min="63" max="63"/>
    <col width="20" customWidth="1" min="64" max="64"/>
    <col width="13" customWidth="1" min="65" max="65"/>
    <col width="13" customWidth="1" min="66" max="66"/>
    <col width="14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20" customWidth="1" min="73" max="73"/>
    <col width="13" customWidth="1" min="74" max="74"/>
    <col width="13" customWidth="1" min="75" max="75"/>
    <col width="14" customWidth="1" min="76" max="76"/>
    <col width="11" customWidth="1" min="77" max="77"/>
    <col width="12" customWidth="1" min="78" max="78"/>
    <col width="13" customWidth="1" min="79" max="79"/>
    <col width="13" customWidth="1" min="80" max="80"/>
    <col width="13" customWidth="1" min="81" max="81"/>
    <col width="20" customWidth="1" min="82" max="82"/>
    <col width="13" customWidth="1" min="83" max="83"/>
    <col width="13" customWidth="1" min="84" max="84"/>
    <col width="14" customWidth="1" min="85" max="85"/>
    <col width="11" customWidth="1" min="86" max="86"/>
    <col width="12" customWidth="1" min="87" max="87"/>
    <col width="13" customWidth="1" min="88" max="88"/>
    <col width="13" customWidth="1" min="89" max="89"/>
    <col width="13" customWidth="1" min="90" max="90"/>
    <col width="20" customWidth="1" min="91" max="91"/>
    <col width="13" customWidth="1" min="92" max="92"/>
    <col width="13" customWidth="1" min="93" max="93"/>
    <col width="14" customWidth="1" min="94" max="94"/>
    <col width="11" customWidth="1" min="95" max="95"/>
    <col width="12" customWidth="1" min="96" max="96"/>
    <col width="13" customWidth="1" min="97" max="97"/>
    <col width="13" customWidth="1" min="98" max="98"/>
    <col width="13" customWidth="1" min="99" max="99"/>
    <col width="20" customWidth="1" min="100" max="100"/>
    <col width="13" customWidth="1" min="101" max="101"/>
    <col width="13" customWidth="1" min="102" max="102"/>
    <col width="14" customWidth="1" min="103" max="103"/>
    <col width="11" customWidth="1" min="104" max="104"/>
    <col width="12" customWidth="1" min="105" max="105"/>
    <col width="13" customWidth="1" min="106" max="106"/>
    <col width="13" customWidth="1" min="107" max="107"/>
    <col width="13" customWidth="1" min="108" max="108"/>
    <col width="20" customWidth="1" min="109" max="109"/>
    <col width="13" customWidth="1" min="110" max="110"/>
    <col width="13" customWidth="1" min="111" max="111"/>
    <col width="14" customWidth="1" min="112" max="112"/>
    <col width="11" customWidth="1" min="113" max="113"/>
    <col width="12" customWidth="1" min="114" max="114"/>
    <col width="13" customWidth="1" min="115" max="115"/>
    <col width="13" customWidth="1" min="116" max="116"/>
    <col width="13" customWidth="1" min="117" max="117"/>
    <col width="20" customWidth="1" min="118" max="118"/>
    <col width="13" customWidth="1" min="119" max="119"/>
    <col width="13" customWidth="1" min="120" max="120"/>
    <col width="14" customWidth="1" min="121" max="121"/>
    <col width="11" customWidth="1" min="122" max="122"/>
    <col width="12" customWidth="1" min="123" max="123"/>
    <col width="13" customWidth="1" min="124" max="124"/>
    <col width="13" customWidth="1" min="125" max="125"/>
    <col width="13" customWidth="1" min="126" max="126"/>
    <col width="20" customWidth="1" min="127" max="127"/>
    <col width="13" customWidth="1" min="128" max="128"/>
    <col width="13" customWidth="1" min="129" max="129"/>
    <col width="14" customWidth="1" min="130" max="130"/>
    <col width="11" customWidth="1" min="131" max="131"/>
    <col width="12" customWidth="1" min="132" max="132"/>
    <col width="13" customWidth="1" min="133" max="133"/>
    <col width="13" customWidth="1" min="134" max="134"/>
    <col width="13" customWidth="1" min="135" max="135"/>
    <col width="20" customWidth="1" min="136" max="136"/>
    <col width="13" customWidth="1" min="137" max="137"/>
    <col width="13" customWidth="1" min="138" max="138"/>
    <col width="14" customWidth="1" min="139" max="139"/>
    <col width="11" customWidth="1" min="140" max="140"/>
    <col width="12" customWidth="1" min="141" max="141"/>
    <col width="13" customWidth="1" min="142" max="142"/>
    <col width="13" customWidth="1" min="143" max="143"/>
    <col width="13" customWidth="1" min="144" max="144"/>
    <col width="20" customWidth="1" min="145" max="145"/>
    <col width="13" customWidth="1" min="146" max="146"/>
    <col width="13" customWidth="1" min="147" max="147"/>
    <col width="14" customWidth="1" min="148" max="148"/>
    <col width="11" customWidth="1" min="149" max="149"/>
    <col width="12" customWidth="1" min="150" max="150"/>
    <col width="13" customWidth="1" min="151" max="151"/>
    <col width="13" customWidth="1" min="152" max="152"/>
    <col width="13" customWidth="1" min="153" max="153"/>
    <col width="20" customWidth="1" min="154" max="154"/>
    <col width="13" customWidth="1" min="155" max="155"/>
    <col width="13" customWidth="1" min="156" max="156"/>
    <col width="14" customWidth="1" min="157" max="157"/>
    <col width="11" customWidth="1" min="158" max="158"/>
    <col width="12" customWidth="1" min="159" max="159"/>
    <col width="13" customWidth="1" min="160" max="160"/>
    <col width="13" customWidth="1" min="161" max="161"/>
    <col width="13" customWidth="1" min="162" max="162"/>
    <col width="20" customWidth="1" min="163" max="163"/>
    <col width="13" customWidth="1" min="164" max="164"/>
    <col width="13" customWidth="1" min="165" max="165"/>
    <col width="14" customWidth="1" min="166" max="166"/>
    <col width="11" customWidth="1" min="167" max="167"/>
    <col width="12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13" customWidth="1" min="173" max="173"/>
    <col width="13" customWidth="1" min="174" max="174"/>
    <col width="14" customWidth="1" min="175" max="175"/>
    <col width="11" customWidth="1" min="176" max="176"/>
    <col width="12" customWidth="1" min="177" max="177"/>
    <col width="13" customWidth="1" min="178" max="178"/>
    <col width="13" customWidth="1" min="179" max="179"/>
    <col width="13" customWidth="1" min="180" max="180"/>
    <col width="20" customWidth="1" min="181" max="181"/>
    <col width="13" customWidth="1" min="182" max="182"/>
    <col width="13" customWidth="1" min="183" max="183"/>
    <col width="14" customWidth="1" min="184" max="184"/>
    <col width="11" customWidth="1" min="185" max="185"/>
    <col width="12" customWidth="1" min="186" max="186"/>
    <col width="13" customWidth="1" min="187" max="187"/>
    <col width="13" customWidth="1" min="188" max="188"/>
    <col width="13" customWidth="1" min="189" max="189"/>
    <col width="20" customWidth="1" min="190" max="190"/>
    <col width="13" customWidth="1" min="191" max="191"/>
    <col width="13" customWidth="1" min="192" max="192"/>
    <col width="14" customWidth="1" min="193" max="193"/>
    <col width="11" customWidth="1" min="194" max="194"/>
    <col width="12" customWidth="1" min="195" max="195"/>
    <col width="13" customWidth="1" min="196" max="196"/>
    <col width="13" customWidth="1" min="197" max="197"/>
    <col width="13" customWidth="1" min="198" max="198"/>
    <col width="20" customWidth="1" min="199" max="199"/>
    <col width="13" customWidth="1" min="200" max="200"/>
    <col width="13" customWidth="1" min="201" max="201"/>
    <col width="14" customWidth="1" min="202" max="202"/>
    <col width="11" customWidth="1" min="203" max="203"/>
    <col width="12" customWidth="1" min="204" max="204"/>
    <col width="13" customWidth="1" min="205" max="205"/>
    <col width="13" customWidth="1" min="206" max="206"/>
    <col width="13" customWidth="1" min="207" max="207"/>
    <col width="20" customWidth="1" min="208" max="208"/>
    <col width="13" customWidth="1" min="209" max="209"/>
    <col width="13" customWidth="1" min="210" max="210"/>
    <col width="14" customWidth="1" min="211" max="211"/>
    <col width="11" customWidth="1" min="212" max="212"/>
    <col width="12" customWidth="1" min="213" max="213"/>
    <col width="13" customWidth="1" min="214" max="214"/>
    <col width="13" customWidth="1" min="215" max="215"/>
    <col width="13" customWidth="1" min="216" max="216"/>
    <col width="20" customWidth="1" min="217" max="217"/>
    <col width="13" customWidth="1" min="218" max="218"/>
    <col width="13" customWidth="1" min="219" max="219"/>
    <col width="14" customWidth="1" min="220" max="220"/>
    <col width="11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20" customWidth="1" min="226" max="226"/>
    <col width="13" customWidth="1" min="227" max="227"/>
    <col width="13" customWidth="1" min="228" max="228"/>
    <col width="14" customWidth="1" min="229" max="229"/>
    <col width="11" customWidth="1" min="230" max="230"/>
    <col width="12" customWidth="1" min="231" max="231"/>
    <col width="13" customWidth="1" min="232" max="232"/>
    <col width="13" customWidth="1" min="233" max="233"/>
    <col width="13" customWidth="1" min="234" max="234"/>
    <col width="20" customWidth="1" min="235" max="235"/>
    <col width="13" customWidth="1" min="236" max="236"/>
    <col width="13" customWidth="1" min="237" max="237"/>
    <col width="14" customWidth="1" min="238" max="238"/>
    <col width="11" customWidth="1" min="239" max="239"/>
    <col width="12" customWidth="1" min="240" max="240"/>
    <col width="13" customWidth="1" min="241" max="241"/>
    <col width="13" customWidth="1" min="242" max="242"/>
    <col width="13" customWidth="1" min="243" max="243"/>
    <col width="20" customWidth="1" min="244" max="244"/>
    <col width="13" customWidth="1" min="245" max="245"/>
    <col width="13" customWidth="1" min="246" max="246"/>
    <col width="14" customWidth="1" min="247" max="247"/>
    <col width="11" customWidth="1" min="248" max="248"/>
    <col width="12" customWidth="1" min="249" max="249"/>
    <col width="13" customWidth="1" min="250" max="250"/>
    <col width="13" customWidth="1" min="251" max="251"/>
    <col width="13" customWidth="1" min="252" max="252"/>
    <col width="20" customWidth="1" min="253" max="253"/>
    <col width="13" customWidth="1" min="254" max="254"/>
    <col width="13" customWidth="1" min="255" max="255"/>
    <col width="14" customWidth="1" min="256" max="256"/>
    <col width="11" customWidth="1" min="257" max="257"/>
    <col width="12" customWidth="1" min="258" max="258"/>
    <col width="13" customWidth="1" min="259" max="259"/>
    <col width="13" customWidth="1" min="260" max="260"/>
    <col width="13" customWidth="1" min="261" max="261"/>
    <col width="20" customWidth="1" min="262" max="262"/>
    <col width="13" customWidth="1" min="263" max="263"/>
    <col width="13" customWidth="1" min="264" max="264"/>
    <col width="14" customWidth="1" min="265" max="265"/>
    <col width="11" customWidth="1" min="266" max="266"/>
    <col width="12" customWidth="1" min="267" max="267"/>
    <col width="13" customWidth="1" min="268" max="268"/>
    <col width="13" customWidth="1" min="269" max="269"/>
    <col width="13" customWidth="1" min="270" max="270"/>
    <col width="20" customWidth="1" min="271" max="271"/>
    <col width="13" customWidth="1" min="272" max="272"/>
    <col width="13" customWidth="1" min="273" max="273"/>
    <col width="14" customWidth="1" min="274" max="274"/>
    <col width="11" customWidth="1" min="275" max="275"/>
    <col width="12" customWidth="1" min="276" max="276"/>
    <col width="13" customWidth="1" min="277" max="277"/>
    <col width="13" customWidth="1" min="278" max="278"/>
    <col width="13" customWidth="1" min="279" max="279"/>
    <col width="20" customWidth="1" min="280" max="280"/>
    <col width="16" customWidth="1" min="281" max="281"/>
    <col width="16" customWidth="1" min="282" max="282"/>
    <col width="16" customWidth="1" min="283" max="283"/>
    <col width="14" customWidth="1" min="284" max="284"/>
    <col width="14" customWidth="1" min="285" max="285"/>
    <col width="14" customWidth="1" min="286" max="286"/>
    <col hidden="1" width="10" customWidth="1" min="287" max="287"/>
    <col hidden="1" width="16" customWidth="1" min="289" max="289"/>
    <col hidden="1" width="16" customWidth="1" min="290" max="290"/>
    <col hidden="1" width="16" customWidth="1" min="291" max="291"/>
    <col hidden="1" width="16" customWidth="1" min="292" max="292"/>
    <col hidden="1" width="16" customWidth="1" min="294" max="294"/>
    <col hidden="1" width="16" customWidth="1" min="295" max="295"/>
  </cols>
  <sheetData>
    <row r="1" ht="32" customHeight="1">
      <c r="A1" s="11">
        <f>"ACOMPANHAMENTO DIÁRIO DE ASSESSORES — OUTUBRO / "&amp;Configurações!$B$3</f>
        <v/>
      </c>
      <c r="KC1" t="inlineStr">
        <is>
          <t>Dia</t>
        </is>
      </c>
      <c r="KD1" t="inlineStr">
        <is>
          <t>Data</t>
        </is>
      </c>
      <c r="KE1" t="inlineStr">
        <is>
          <t>Produção do Dia</t>
        </is>
      </c>
      <c r="KF1" t="inlineStr">
        <is>
          <t>Captação do Dia</t>
        </is>
      </c>
    </row>
    <row r="2" ht="18" customHeight="1">
      <c r="A2" s="12">
        <f>"Dias no mês: "&amp;$Z$3&amp;"   |   Cada assessor ocupa 1 linha. Role para a direita para ver os dias. Apenas as células destacadas em amarelo são editáveis."</f>
        <v/>
      </c>
      <c r="KC2" s="13" t="n">
        <v>1</v>
      </c>
      <c r="KD2" s="14">
        <f>IF(1&lt;=$Z$3,DATE(Configurações!$B$3,10,1),"")</f>
        <v/>
      </c>
      <c r="KE2" s="13">
        <f>SUM($I$67:$I$79)</f>
        <v/>
      </c>
      <c r="KF2" s="13">
        <f>SUM($D$67:$D$79)</f>
        <v/>
      </c>
      <c r="KH2" t="inlineStr">
        <is>
          <t>COE</t>
        </is>
      </c>
      <c r="KI2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</row>
    <row r="3">
      <c r="Y3" s="15" t="inlineStr">
        <is>
          <t>Dias no mês</t>
        </is>
      </c>
      <c r="Z3" s="16">
        <f>DAY(EOMONTH(DATE(Configurações!$B$3,10,1),0))</f>
        <v/>
      </c>
      <c r="KC3" s="13" t="n">
        <v>2</v>
      </c>
      <c r="KD3" s="14">
        <f>IF(2&lt;=$Z$3,DATE(Configurações!$B$3,10,2),"")</f>
        <v/>
      </c>
      <c r="KE3" s="13">
        <f>SUM($R$67:$R$79)</f>
        <v/>
      </c>
      <c r="KF3" s="13">
        <f>SUM($M$67:$M$79)</f>
        <v/>
      </c>
      <c r="KH3" t="inlineStr">
        <is>
          <t>PREVIDÊNCIA</t>
        </is>
      </c>
      <c r="KI3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</row>
    <row r="4" ht="22" customHeight="1">
      <c r="A4" s="17" t="inlineStr">
        <is>
          <t>📊  INDICADORES DO MÊS</t>
        </is>
      </c>
      <c r="KC4" s="13" t="n">
        <v>3</v>
      </c>
      <c r="KD4" s="14">
        <f>IF(3&lt;=$Z$3,DATE(Configurações!$B$3,10,3),"")</f>
        <v/>
      </c>
      <c r="KE4" s="13">
        <f>SUM($AA$67:$AA$79)</f>
        <v/>
      </c>
      <c r="KF4" s="13">
        <f>SUM($V$67:$V$79)</f>
        <v/>
      </c>
      <c r="KH4" t="inlineStr">
        <is>
          <t>CRÉDITO PRIVADO</t>
        </is>
      </c>
      <c r="KI4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</row>
    <row r="5" ht="26" customHeight="1">
      <c r="A5" s="18" t="inlineStr">
        <is>
          <t>PRODUÇÃO TOTAL DO MÊS</t>
        </is>
      </c>
      <c r="C5" s="18" t="inlineStr">
        <is>
          <t>CAPTAÇÃO LÍQUIDA DO MÊS</t>
        </is>
      </c>
      <c r="E5" s="18" t="inlineStr">
        <is>
          <t>SALDO PULSO TOTAL (ATUAL)</t>
        </is>
      </c>
      <c r="G5" s="18" t="inlineStr">
        <is>
          <t>MÉDIA DIÁRIA DA EQUIPE</t>
        </is>
      </c>
      <c r="I5" s="18" t="inlineStr">
        <is>
          <t>MELHOR DIA DE PRODUÇÃO</t>
        </is>
      </c>
      <c r="K5" s="18" t="inlineStr">
        <is>
          <t>MELHOR ASSESSOR DO MÊS</t>
        </is>
      </c>
      <c r="KC5" s="13" t="n">
        <v>4</v>
      </c>
      <c r="KD5" s="14">
        <f>IF(4&lt;=$Z$3,DATE(Configurações!$B$3,10,4),"")</f>
        <v/>
      </c>
      <c r="KE5" s="13">
        <f>SUM($AJ$67:$AJ$79)</f>
        <v/>
      </c>
      <c r="KF5" s="13">
        <f>SUM($AE$67:$AE$79)</f>
        <v/>
      </c>
      <c r="KH5" t="inlineStr">
        <is>
          <t>TÍTULOS PÚBLICOS</t>
        </is>
      </c>
      <c r="KI5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</row>
    <row r="6" ht="30" customHeight="1">
      <c r="A6" s="19">
        <f>SUM($JU$67:$JU$79)</f>
        <v/>
      </c>
      <c r="C6" s="19">
        <f>SUM($JV$67:$JV$79)</f>
        <v/>
      </c>
      <c r="E6" s="19">
        <f>SUM($JW$67:$JW$79)</f>
        <v/>
      </c>
      <c r="G6" s="19">
        <f>IFERROR(SUM($JU$67:$JU$79)/$Z$3,0)</f>
        <v/>
      </c>
      <c r="I6" s="20">
        <f>IFERROR("Dia "&amp;TEXT(INDEX($KD$2:$KD$32,MATCH(MAX($KE$2:$KE$32),$KE$2:$KE$32,0)),"dd/mm")&amp;"  -  "&amp;TEXT(MAX($KE$2:$KE$32),"R$ #,##0"),"—")</f>
        <v/>
      </c>
      <c r="K6" s="20">
        <f>IFERROR($B$14&amp;"  -  "&amp;TEXT($C$14,"R$ #,##0"),"—")</f>
        <v/>
      </c>
      <c r="KC6" s="13" t="n">
        <v>5</v>
      </c>
      <c r="KD6" s="14">
        <f>IF(5&lt;=$Z$3,DATE(Configurações!$B$3,10,5),"")</f>
        <v/>
      </c>
      <c r="KE6" s="13">
        <f>SUM($AS$67:$AS$79)</f>
        <v/>
      </c>
      <c r="KF6" s="13">
        <f>SUM($AN$67:$AN$79)</f>
        <v/>
      </c>
    </row>
    <row r="7">
      <c r="KC7" s="13" t="n">
        <v>6</v>
      </c>
      <c r="KD7" s="14">
        <f>IF(6&lt;=$Z$3,DATE(Configurações!$B$3,10,6),"")</f>
        <v/>
      </c>
      <c r="KE7" s="13">
        <f>SUM($BB$67:$BB$79)</f>
        <v/>
      </c>
      <c r="KF7" s="13">
        <f>SUM($AW$67:$AW$79)</f>
        <v/>
      </c>
    </row>
    <row r="8" ht="22" customHeight="1">
      <c r="A8" s="17" t="inlineStr">
        <is>
          <t>💰  TOTAIS POR PRODUTO</t>
        </is>
      </c>
      <c r="KC8" s="13" t="n">
        <v>7</v>
      </c>
      <c r="KD8" s="14">
        <f>IF(7&lt;=$Z$3,DATE(Configurações!$B$3,10,7),"")</f>
        <v/>
      </c>
      <c r="KE8" s="13">
        <f>SUM($BK$67:$BK$79)</f>
        <v/>
      </c>
      <c r="KF8" s="13">
        <f>SUM($BF$67:$BF$79)</f>
        <v/>
      </c>
    </row>
    <row r="9" ht="20" customHeight="1">
      <c r="A9" s="18" t="inlineStr">
        <is>
          <t>COE</t>
        </is>
      </c>
      <c r="D9" s="18" t="inlineStr">
        <is>
          <t>PREVIDÊNCIA</t>
        </is>
      </c>
      <c r="G9" s="18" t="inlineStr">
        <is>
          <t>CRÉDITO PRIVADO</t>
        </is>
      </c>
      <c r="J9" s="18" t="inlineStr">
        <is>
          <t>TÍTULOS PÚBLICOS</t>
        </is>
      </c>
      <c r="KC9" s="13" t="n">
        <v>8</v>
      </c>
      <c r="KD9" s="14">
        <f>IF(8&lt;=$Z$3,DATE(Configurações!$B$3,10,8),"")</f>
        <v/>
      </c>
      <c r="KE9" s="13">
        <f>SUM($BT$67:$BT$79)</f>
        <v/>
      </c>
      <c r="KF9" s="13">
        <f>SUM($BO$67:$BO$79)</f>
        <v/>
      </c>
    </row>
    <row r="10" ht="26" customHeight="1">
      <c r="A10" s="19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  <c r="D10" s="19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  <c r="G10" s="19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  <c r="J10" s="19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  <c r="KC10" s="13" t="n">
        <v>9</v>
      </c>
      <c r="KD10" s="14">
        <f>IF(9&lt;=$Z$3,DATE(Configurações!$B$3,10,9),"")</f>
        <v/>
      </c>
      <c r="KE10" s="13">
        <f>SUM($CC$67:$CC$79)</f>
        <v/>
      </c>
      <c r="KF10" s="13">
        <f>SUM($BX$67:$BX$79)</f>
        <v/>
      </c>
    </row>
    <row r="11">
      <c r="KC11" s="13" t="n">
        <v>10</v>
      </c>
      <c r="KD11" s="14">
        <f>IF(10&lt;=$Z$3,DATE(Configurações!$B$3,10,10),"")</f>
        <v/>
      </c>
      <c r="KE11" s="13">
        <f>SUM($CL$67:$CL$79)</f>
        <v/>
      </c>
      <c r="KF11" s="13">
        <f>SUM($CG$67:$CG$79)</f>
        <v/>
      </c>
    </row>
    <row r="12" ht="22" customHeight="1">
      <c r="A12" s="17" t="inlineStr">
        <is>
          <t>🏆  RANKING DE ASSESSORES (TOP 5 EM DESTAQUE)</t>
        </is>
      </c>
      <c r="KC12" s="13" t="n">
        <v>11</v>
      </c>
      <c r="KD12" s="14">
        <f>IF(11&lt;=$Z$3,DATE(Configurações!$B$3,10,11),"")</f>
        <v/>
      </c>
      <c r="KE12" s="13">
        <f>SUM($CU$67:$CU$79)</f>
        <v/>
      </c>
      <c r="KF12" s="13">
        <f>SUM($CP$67:$CP$79)</f>
        <v/>
      </c>
    </row>
    <row r="13" ht="22" customHeight="1">
      <c r="A13" s="5" t="inlineStr">
        <is>
          <t>Pos.</t>
        </is>
      </c>
      <c r="B13" s="5" t="inlineStr">
        <is>
          <t>Assessor</t>
        </is>
      </c>
      <c r="C13" s="5" t="inlineStr">
        <is>
          <t>Produção Total</t>
        </is>
      </c>
      <c r="D13" s="5" t="inlineStr">
        <is>
          <t>Captação Líquida</t>
        </is>
      </c>
      <c r="E13" s="5" t="inlineStr">
        <is>
          <t>Saldo Pulso Atual</t>
        </is>
      </c>
      <c r="F13" s="5" t="inlineStr">
        <is>
          <t>Média Diária</t>
        </is>
      </c>
      <c r="G13" s="5" t="inlineStr">
        <is>
          <t>Meta Mensal</t>
        </is>
      </c>
      <c r="H13" s="5" t="inlineStr">
        <is>
          <t>Status</t>
        </is>
      </c>
      <c r="KC13" s="13" t="n">
        <v>12</v>
      </c>
      <c r="KD13" s="14">
        <f>IF(12&lt;=$Z$3,DATE(Configurações!$B$3,10,12),"")</f>
        <v/>
      </c>
      <c r="KE13" s="13">
        <f>SUM($DD$67:$DD$79)</f>
        <v/>
      </c>
      <c r="KF13" s="13">
        <f>SUM($CY$67:$CY$79)</f>
        <v/>
      </c>
    </row>
    <row r="14" ht="18" customHeight="1">
      <c r="A14" s="21" t="n">
        <v>1</v>
      </c>
      <c r="B14" s="22">
        <f>INDEX($A$67:$A$79,MATCH(LARGE($KA$67:$KA$79,1),$KA$67:$KA$79,0))</f>
        <v/>
      </c>
      <c r="C14" s="23">
        <f>INDEX($JU$67:$JU$79,MATCH(LARGE($KA$67:$KA$79,1),$KA$67:$KA$79,0))</f>
        <v/>
      </c>
      <c r="D14" s="24">
        <f>INDEX($JV$67:$JV$79,MATCH(LARGE($KA$67:$KA$79,1),$KA$67:$KA$79,0))</f>
        <v/>
      </c>
      <c r="E14" s="23">
        <f>INDEX($JW$67:$JW$79,MATCH(LARGE($KA$67:$KA$79,1),$KA$67:$KA$79,0))</f>
        <v/>
      </c>
      <c r="F14" s="23">
        <f>INDEX($JX$67:$JX$79,MATCH(LARGE($KA$67:$KA$79,1),$KA$67:$KA$79,0))</f>
        <v/>
      </c>
      <c r="G14" s="23">
        <f>INDEX($JY$67:$JY$79,MATCH(LARGE($KA$67:$KA$79,1),$KA$67:$KA$79,0))</f>
        <v/>
      </c>
      <c r="H14" s="25">
        <f>IF(G14=0,"— Sem meta",IF(C14&gt;=G14,"✓ Meta atingida","Em andamento"))</f>
        <v/>
      </c>
      <c r="KC14" s="13" t="n">
        <v>13</v>
      </c>
      <c r="KD14" s="14">
        <f>IF(13&lt;=$Z$3,DATE(Configurações!$B$3,10,13),"")</f>
        <v/>
      </c>
      <c r="KE14" s="13">
        <f>SUM($DM$67:$DM$79)</f>
        <v/>
      </c>
      <c r="KF14" s="13">
        <f>SUM($DH$67:$DH$79)</f>
        <v/>
      </c>
    </row>
    <row r="15" ht="18" customHeight="1">
      <c r="A15" s="26" t="n">
        <v>2</v>
      </c>
      <c r="B15" s="27">
        <f>INDEX($A$67:$A$79,MATCH(LARGE($KA$67:$KA$79,2),$KA$67:$KA$79,0))</f>
        <v/>
      </c>
      <c r="C15" s="28">
        <f>INDEX($JU$67:$JU$79,MATCH(LARGE($KA$67:$KA$79,2),$KA$67:$KA$79,0))</f>
        <v/>
      </c>
      <c r="D15" s="29">
        <f>INDEX($JV$67:$JV$79,MATCH(LARGE($KA$67:$KA$79,2),$KA$67:$KA$79,0))</f>
        <v/>
      </c>
      <c r="E15" s="28">
        <f>INDEX($JW$67:$JW$79,MATCH(LARGE($KA$67:$KA$79,2),$KA$67:$KA$79,0))</f>
        <v/>
      </c>
      <c r="F15" s="28">
        <f>INDEX($JX$67:$JX$79,MATCH(LARGE($KA$67:$KA$79,2),$KA$67:$KA$79,0))</f>
        <v/>
      </c>
      <c r="G15" s="28">
        <f>INDEX($JY$67:$JY$79,MATCH(LARGE($KA$67:$KA$79,2),$KA$67:$KA$79,0))</f>
        <v/>
      </c>
      <c r="H15" s="30">
        <f>IF(G15=0,"— Sem meta",IF(C15&gt;=G15,"✓ Meta atingida","Em andamento"))</f>
        <v/>
      </c>
      <c r="KC15" s="13" t="n">
        <v>14</v>
      </c>
      <c r="KD15" s="14">
        <f>IF(14&lt;=$Z$3,DATE(Configurações!$B$3,10,14),"")</f>
        <v/>
      </c>
      <c r="KE15" s="13">
        <f>SUM($DV$67:$DV$79)</f>
        <v/>
      </c>
      <c r="KF15" s="13">
        <f>SUM($DQ$67:$DQ$79)</f>
        <v/>
      </c>
    </row>
    <row r="16" ht="18" customHeight="1">
      <c r="A16" s="31" t="n">
        <v>3</v>
      </c>
      <c r="B16" s="32">
        <f>INDEX($A$67:$A$79,MATCH(LARGE($KA$67:$KA$79,3),$KA$67:$KA$79,0))</f>
        <v/>
      </c>
      <c r="C16" s="33">
        <f>INDEX($JU$67:$JU$79,MATCH(LARGE($KA$67:$KA$79,3),$KA$67:$KA$79,0))</f>
        <v/>
      </c>
      <c r="D16" s="34">
        <f>INDEX($JV$67:$JV$79,MATCH(LARGE($KA$67:$KA$79,3),$KA$67:$KA$79,0))</f>
        <v/>
      </c>
      <c r="E16" s="33">
        <f>INDEX($JW$67:$JW$79,MATCH(LARGE($KA$67:$KA$79,3),$KA$67:$KA$79,0))</f>
        <v/>
      </c>
      <c r="F16" s="33">
        <f>INDEX($JX$67:$JX$79,MATCH(LARGE($KA$67:$KA$79,3),$KA$67:$KA$79,0))</f>
        <v/>
      </c>
      <c r="G16" s="33">
        <f>INDEX($JY$67:$JY$79,MATCH(LARGE($KA$67:$KA$79,3),$KA$67:$KA$79,0))</f>
        <v/>
      </c>
      <c r="H16" s="35">
        <f>IF(G16=0,"— Sem meta",IF(C16&gt;=G16,"✓ Meta atingida","Em andamento"))</f>
        <v/>
      </c>
      <c r="KC16" s="13" t="n">
        <v>15</v>
      </c>
      <c r="KD16" s="14">
        <f>IF(15&lt;=$Z$3,DATE(Configurações!$B$3,10,15),"")</f>
        <v/>
      </c>
      <c r="KE16" s="13">
        <f>SUM($EE$67:$EE$79)</f>
        <v/>
      </c>
      <c r="KF16" s="13">
        <f>SUM($DZ$67:$DZ$79)</f>
        <v/>
      </c>
    </row>
    <row r="17" ht="18" customHeight="1">
      <c r="A17" s="36" t="n">
        <v>4</v>
      </c>
      <c r="B17" s="37">
        <f>INDEX($A$67:$A$79,MATCH(LARGE($KA$67:$KA$79,4),$KA$67:$KA$79,0))</f>
        <v/>
      </c>
      <c r="C17" s="38">
        <f>INDEX($JU$67:$JU$79,MATCH(LARGE($KA$67:$KA$79,4),$KA$67:$KA$79,0))</f>
        <v/>
      </c>
      <c r="D17" s="39">
        <f>INDEX($JV$67:$JV$79,MATCH(LARGE($KA$67:$KA$79,4),$KA$67:$KA$79,0))</f>
        <v/>
      </c>
      <c r="E17" s="38">
        <f>INDEX($JW$67:$JW$79,MATCH(LARGE($KA$67:$KA$79,4),$KA$67:$KA$79,0))</f>
        <v/>
      </c>
      <c r="F17" s="38">
        <f>INDEX($JX$67:$JX$79,MATCH(LARGE($KA$67:$KA$79,4),$KA$67:$KA$79,0))</f>
        <v/>
      </c>
      <c r="G17" s="38">
        <f>INDEX($JY$67:$JY$79,MATCH(LARGE($KA$67:$KA$79,4),$KA$67:$KA$79,0))</f>
        <v/>
      </c>
      <c r="H17" s="40">
        <f>IF(G17=0,"— Sem meta",IF(C17&gt;=G17,"✓ Meta atingida","Em andamento"))</f>
        <v/>
      </c>
      <c r="KC17" s="13" t="n">
        <v>16</v>
      </c>
      <c r="KD17" s="14">
        <f>IF(16&lt;=$Z$3,DATE(Configurações!$B$3,10,16),"")</f>
        <v/>
      </c>
      <c r="KE17" s="13">
        <f>SUM($EN$67:$EN$79)</f>
        <v/>
      </c>
      <c r="KF17" s="13">
        <f>SUM($EI$67:$EI$79)</f>
        <v/>
      </c>
    </row>
    <row r="18" ht="18" customHeight="1">
      <c r="A18" s="36" t="n">
        <v>5</v>
      </c>
      <c r="B18" s="37">
        <f>INDEX($A$67:$A$79,MATCH(LARGE($KA$67:$KA$79,5),$KA$67:$KA$79,0))</f>
        <v/>
      </c>
      <c r="C18" s="38">
        <f>INDEX($JU$67:$JU$79,MATCH(LARGE($KA$67:$KA$79,5),$KA$67:$KA$79,0))</f>
        <v/>
      </c>
      <c r="D18" s="39">
        <f>INDEX($JV$67:$JV$79,MATCH(LARGE($KA$67:$KA$79,5),$KA$67:$KA$79,0))</f>
        <v/>
      </c>
      <c r="E18" s="38">
        <f>INDEX($JW$67:$JW$79,MATCH(LARGE($KA$67:$KA$79,5),$KA$67:$KA$79,0))</f>
        <v/>
      </c>
      <c r="F18" s="38">
        <f>INDEX($JX$67:$JX$79,MATCH(LARGE($KA$67:$KA$79,5),$KA$67:$KA$79,0))</f>
        <v/>
      </c>
      <c r="G18" s="38">
        <f>INDEX($JY$67:$JY$79,MATCH(LARGE($KA$67:$KA$79,5),$KA$67:$KA$79,0))</f>
        <v/>
      </c>
      <c r="H18" s="40">
        <f>IF(G18=0,"— Sem meta",IF(C18&gt;=G18,"✓ Meta atingida","Em andamento"))</f>
        <v/>
      </c>
      <c r="KC18" s="13" t="n">
        <v>17</v>
      </c>
      <c r="KD18" s="14">
        <f>IF(17&lt;=$Z$3,DATE(Configurações!$B$3,10,17),"")</f>
        <v/>
      </c>
      <c r="KE18" s="13">
        <f>SUM($EW$67:$EW$79)</f>
        <v/>
      </c>
      <c r="KF18" s="13">
        <f>SUM($ER$67:$ER$79)</f>
        <v/>
      </c>
    </row>
    <row r="19" ht="18" customHeight="1">
      <c r="A19" s="41" t="n">
        <v>6</v>
      </c>
      <c r="B19" s="42">
        <f>INDEX($A$67:$A$79,MATCH(LARGE($KA$67:$KA$79,6),$KA$67:$KA$79,0))</f>
        <v/>
      </c>
      <c r="C19" s="43">
        <f>INDEX($JU$67:$JU$79,MATCH(LARGE($KA$67:$KA$79,6),$KA$67:$KA$79,0))</f>
        <v/>
      </c>
      <c r="D19" s="44">
        <f>INDEX($JV$67:$JV$79,MATCH(LARGE($KA$67:$KA$79,6),$KA$67:$KA$79,0))</f>
        <v/>
      </c>
      <c r="E19" s="43">
        <f>INDEX($JW$67:$JW$79,MATCH(LARGE($KA$67:$KA$79,6),$KA$67:$KA$79,0))</f>
        <v/>
      </c>
      <c r="F19" s="43">
        <f>INDEX($JX$67:$JX$79,MATCH(LARGE($KA$67:$KA$79,6),$KA$67:$KA$79,0))</f>
        <v/>
      </c>
      <c r="G19" s="43">
        <f>INDEX($JY$67:$JY$79,MATCH(LARGE($KA$67:$KA$79,6),$KA$67:$KA$79,0))</f>
        <v/>
      </c>
      <c r="H19" s="45">
        <f>IF(G19=0,"— Sem meta",IF(C19&gt;=G19,"✓ Meta atingida","Em andamento"))</f>
        <v/>
      </c>
      <c r="KC19" s="13" t="n">
        <v>18</v>
      </c>
      <c r="KD19" s="14">
        <f>IF(18&lt;=$Z$3,DATE(Configurações!$B$3,10,18),"")</f>
        <v/>
      </c>
      <c r="KE19" s="13">
        <f>SUM($FF$67:$FF$79)</f>
        <v/>
      </c>
      <c r="KF19" s="13">
        <f>SUM($FA$67:$FA$79)</f>
        <v/>
      </c>
    </row>
    <row r="20" ht="18" customHeight="1">
      <c r="A20" s="46" t="n">
        <v>7</v>
      </c>
      <c r="B20" s="47">
        <f>INDEX($A$67:$A$79,MATCH(LARGE($KA$67:$KA$79,7),$KA$67:$KA$79,0))</f>
        <v/>
      </c>
      <c r="C20" s="48">
        <f>INDEX($JU$67:$JU$79,MATCH(LARGE($KA$67:$KA$79,7),$KA$67:$KA$79,0))</f>
        <v/>
      </c>
      <c r="D20" s="49">
        <f>INDEX($JV$67:$JV$79,MATCH(LARGE($KA$67:$KA$79,7),$KA$67:$KA$79,0))</f>
        <v/>
      </c>
      <c r="E20" s="48">
        <f>INDEX($JW$67:$JW$79,MATCH(LARGE($KA$67:$KA$79,7),$KA$67:$KA$79,0))</f>
        <v/>
      </c>
      <c r="F20" s="48">
        <f>INDEX($JX$67:$JX$79,MATCH(LARGE($KA$67:$KA$79,7),$KA$67:$KA$79,0))</f>
        <v/>
      </c>
      <c r="G20" s="48">
        <f>INDEX($JY$67:$JY$79,MATCH(LARGE($KA$67:$KA$79,7),$KA$67:$KA$79,0))</f>
        <v/>
      </c>
      <c r="H20" s="50">
        <f>IF(G20=0,"— Sem meta",IF(C20&gt;=G20,"✓ Meta atingida","Em andamento"))</f>
        <v/>
      </c>
      <c r="KC20" s="13" t="n">
        <v>19</v>
      </c>
      <c r="KD20" s="14">
        <f>IF(19&lt;=$Z$3,DATE(Configurações!$B$3,10,19),"")</f>
        <v/>
      </c>
      <c r="KE20" s="13">
        <f>SUM($FO$67:$FO$79)</f>
        <v/>
      </c>
      <c r="KF20" s="13">
        <f>SUM($FJ$67:$FJ$79)</f>
        <v/>
      </c>
    </row>
    <row r="21" ht="18" customHeight="1">
      <c r="A21" s="41" t="n">
        <v>8</v>
      </c>
      <c r="B21" s="42">
        <f>INDEX($A$67:$A$79,MATCH(LARGE($KA$67:$KA$79,8),$KA$67:$KA$79,0))</f>
        <v/>
      </c>
      <c r="C21" s="43">
        <f>INDEX($JU$67:$JU$79,MATCH(LARGE($KA$67:$KA$79,8),$KA$67:$KA$79,0))</f>
        <v/>
      </c>
      <c r="D21" s="44">
        <f>INDEX($JV$67:$JV$79,MATCH(LARGE($KA$67:$KA$79,8),$KA$67:$KA$79,0))</f>
        <v/>
      </c>
      <c r="E21" s="43">
        <f>INDEX($JW$67:$JW$79,MATCH(LARGE($KA$67:$KA$79,8),$KA$67:$KA$79,0))</f>
        <v/>
      </c>
      <c r="F21" s="43">
        <f>INDEX($JX$67:$JX$79,MATCH(LARGE($KA$67:$KA$79,8),$KA$67:$KA$79,0))</f>
        <v/>
      </c>
      <c r="G21" s="43">
        <f>INDEX($JY$67:$JY$79,MATCH(LARGE($KA$67:$KA$79,8),$KA$67:$KA$79,0))</f>
        <v/>
      </c>
      <c r="H21" s="45">
        <f>IF(G21=0,"— Sem meta",IF(C21&gt;=G21,"✓ Meta atingida","Em andamento"))</f>
        <v/>
      </c>
      <c r="KC21" s="13" t="n">
        <v>20</v>
      </c>
      <c r="KD21" s="14">
        <f>IF(20&lt;=$Z$3,DATE(Configurações!$B$3,10,20),"")</f>
        <v/>
      </c>
      <c r="KE21" s="13">
        <f>SUM($FX$67:$FX$79)</f>
        <v/>
      </c>
      <c r="KF21" s="13">
        <f>SUM($FS$67:$FS$79)</f>
        <v/>
      </c>
    </row>
    <row r="22" ht="18" customHeight="1">
      <c r="A22" s="46" t="n">
        <v>9</v>
      </c>
      <c r="B22" s="47">
        <f>INDEX($A$67:$A$79,MATCH(LARGE($KA$67:$KA$79,9),$KA$67:$KA$79,0))</f>
        <v/>
      </c>
      <c r="C22" s="48">
        <f>INDEX($JU$67:$JU$79,MATCH(LARGE($KA$67:$KA$79,9),$KA$67:$KA$79,0))</f>
        <v/>
      </c>
      <c r="D22" s="49">
        <f>INDEX($JV$67:$JV$79,MATCH(LARGE($KA$67:$KA$79,9),$KA$67:$KA$79,0))</f>
        <v/>
      </c>
      <c r="E22" s="48">
        <f>INDEX($JW$67:$JW$79,MATCH(LARGE($KA$67:$KA$79,9),$KA$67:$KA$79,0))</f>
        <v/>
      </c>
      <c r="F22" s="48">
        <f>INDEX($JX$67:$JX$79,MATCH(LARGE($KA$67:$KA$79,9),$KA$67:$KA$79,0))</f>
        <v/>
      </c>
      <c r="G22" s="48">
        <f>INDEX($JY$67:$JY$79,MATCH(LARGE($KA$67:$KA$79,9),$KA$67:$KA$79,0))</f>
        <v/>
      </c>
      <c r="H22" s="50">
        <f>IF(G22=0,"— Sem meta",IF(C22&gt;=G22,"✓ Meta atingida","Em andamento"))</f>
        <v/>
      </c>
      <c r="KC22" s="13" t="n">
        <v>21</v>
      </c>
      <c r="KD22" s="14">
        <f>IF(21&lt;=$Z$3,DATE(Configurações!$B$3,10,21),"")</f>
        <v/>
      </c>
      <c r="KE22" s="13">
        <f>SUM($GG$67:$GG$79)</f>
        <v/>
      </c>
      <c r="KF22" s="13">
        <f>SUM($GB$67:$GB$79)</f>
        <v/>
      </c>
    </row>
    <row r="23" ht="18" customHeight="1">
      <c r="A23" s="41" t="n">
        <v>10</v>
      </c>
      <c r="B23" s="42">
        <f>INDEX($A$67:$A$79,MATCH(LARGE($KA$67:$KA$79,10),$KA$67:$KA$79,0))</f>
        <v/>
      </c>
      <c r="C23" s="43">
        <f>INDEX($JU$67:$JU$79,MATCH(LARGE($KA$67:$KA$79,10),$KA$67:$KA$79,0))</f>
        <v/>
      </c>
      <c r="D23" s="44">
        <f>INDEX($JV$67:$JV$79,MATCH(LARGE($KA$67:$KA$79,10),$KA$67:$KA$79,0))</f>
        <v/>
      </c>
      <c r="E23" s="43">
        <f>INDEX($JW$67:$JW$79,MATCH(LARGE($KA$67:$KA$79,10),$KA$67:$KA$79,0))</f>
        <v/>
      </c>
      <c r="F23" s="43">
        <f>INDEX($JX$67:$JX$79,MATCH(LARGE($KA$67:$KA$79,10),$KA$67:$KA$79,0))</f>
        <v/>
      </c>
      <c r="G23" s="43">
        <f>INDEX($JY$67:$JY$79,MATCH(LARGE($KA$67:$KA$79,10),$KA$67:$KA$79,0))</f>
        <v/>
      </c>
      <c r="H23" s="45">
        <f>IF(G23=0,"— Sem meta",IF(C23&gt;=G23,"✓ Meta atingida","Em andamento"))</f>
        <v/>
      </c>
      <c r="KC23" s="13" t="n">
        <v>22</v>
      </c>
      <c r="KD23" s="14">
        <f>IF(22&lt;=$Z$3,DATE(Configurações!$B$3,10,22),"")</f>
        <v/>
      </c>
      <c r="KE23" s="13">
        <f>SUM($GP$67:$GP$79)</f>
        <v/>
      </c>
      <c r="KF23" s="13">
        <f>SUM($GK$67:$GK$79)</f>
        <v/>
      </c>
    </row>
    <row r="24" ht="18" customHeight="1">
      <c r="A24" s="46" t="n">
        <v>11</v>
      </c>
      <c r="B24" s="47">
        <f>INDEX($A$67:$A$79,MATCH(LARGE($KA$67:$KA$79,11),$KA$67:$KA$79,0))</f>
        <v/>
      </c>
      <c r="C24" s="48">
        <f>INDEX($JU$67:$JU$79,MATCH(LARGE($KA$67:$KA$79,11),$KA$67:$KA$79,0))</f>
        <v/>
      </c>
      <c r="D24" s="49">
        <f>INDEX($JV$67:$JV$79,MATCH(LARGE($KA$67:$KA$79,11),$KA$67:$KA$79,0))</f>
        <v/>
      </c>
      <c r="E24" s="48">
        <f>INDEX($JW$67:$JW$79,MATCH(LARGE($KA$67:$KA$79,11),$KA$67:$KA$79,0))</f>
        <v/>
      </c>
      <c r="F24" s="48">
        <f>INDEX($JX$67:$JX$79,MATCH(LARGE($KA$67:$KA$79,11),$KA$67:$KA$79,0))</f>
        <v/>
      </c>
      <c r="G24" s="48">
        <f>INDEX($JY$67:$JY$79,MATCH(LARGE($KA$67:$KA$79,11),$KA$67:$KA$79,0))</f>
        <v/>
      </c>
      <c r="H24" s="50">
        <f>IF(G24=0,"— Sem meta",IF(C24&gt;=G24,"✓ Meta atingida","Em andamento"))</f>
        <v/>
      </c>
      <c r="KC24" s="13" t="n">
        <v>23</v>
      </c>
      <c r="KD24" s="14">
        <f>IF(23&lt;=$Z$3,DATE(Configurações!$B$3,10,23),"")</f>
        <v/>
      </c>
      <c r="KE24" s="13">
        <f>SUM($GY$67:$GY$79)</f>
        <v/>
      </c>
      <c r="KF24" s="13">
        <f>SUM($GT$67:$GT$79)</f>
        <v/>
      </c>
    </row>
    <row r="25" ht="18" customHeight="1">
      <c r="A25" s="41" t="n">
        <v>12</v>
      </c>
      <c r="B25" s="42">
        <f>INDEX($A$67:$A$79,MATCH(LARGE($KA$67:$KA$79,12),$KA$67:$KA$79,0))</f>
        <v/>
      </c>
      <c r="C25" s="43">
        <f>INDEX($JU$67:$JU$79,MATCH(LARGE($KA$67:$KA$79,12),$KA$67:$KA$79,0))</f>
        <v/>
      </c>
      <c r="D25" s="44">
        <f>INDEX($JV$67:$JV$79,MATCH(LARGE($KA$67:$KA$79,12),$KA$67:$KA$79,0))</f>
        <v/>
      </c>
      <c r="E25" s="43">
        <f>INDEX($JW$67:$JW$79,MATCH(LARGE($KA$67:$KA$79,12),$KA$67:$KA$79,0))</f>
        <v/>
      </c>
      <c r="F25" s="43">
        <f>INDEX($JX$67:$JX$79,MATCH(LARGE($KA$67:$KA$79,12),$KA$67:$KA$79,0))</f>
        <v/>
      </c>
      <c r="G25" s="43">
        <f>INDEX($JY$67:$JY$79,MATCH(LARGE($KA$67:$KA$79,12),$KA$67:$KA$79,0))</f>
        <v/>
      </c>
      <c r="H25" s="45">
        <f>IF(G25=0,"— Sem meta",IF(C25&gt;=G25,"✓ Meta atingida","Em andamento"))</f>
        <v/>
      </c>
      <c r="KC25" s="13" t="n">
        <v>24</v>
      </c>
      <c r="KD25" s="14">
        <f>IF(24&lt;=$Z$3,DATE(Configurações!$B$3,10,24),"")</f>
        <v/>
      </c>
      <c r="KE25" s="13">
        <f>SUM($HH$67:$HH$79)</f>
        <v/>
      </c>
      <c r="KF25" s="13">
        <f>SUM($HC$67:$HC$79)</f>
        <v/>
      </c>
    </row>
    <row r="26" ht="18" customHeight="1">
      <c r="A26" s="46" t="n">
        <v>13</v>
      </c>
      <c r="B26" s="47">
        <f>INDEX($A$67:$A$79,MATCH(LARGE($KA$67:$KA$79,13),$KA$67:$KA$79,0))</f>
        <v/>
      </c>
      <c r="C26" s="48">
        <f>INDEX($JU$67:$JU$79,MATCH(LARGE($KA$67:$KA$79,13),$KA$67:$KA$79,0))</f>
        <v/>
      </c>
      <c r="D26" s="49">
        <f>INDEX($JV$67:$JV$79,MATCH(LARGE($KA$67:$KA$79,13),$KA$67:$KA$79,0))</f>
        <v/>
      </c>
      <c r="E26" s="48">
        <f>INDEX($JW$67:$JW$79,MATCH(LARGE($KA$67:$KA$79,13),$KA$67:$KA$79,0))</f>
        <v/>
      </c>
      <c r="F26" s="48">
        <f>INDEX($JX$67:$JX$79,MATCH(LARGE($KA$67:$KA$79,13),$KA$67:$KA$79,0))</f>
        <v/>
      </c>
      <c r="G26" s="48">
        <f>INDEX($JY$67:$JY$79,MATCH(LARGE($KA$67:$KA$79,13),$KA$67:$KA$79,0))</f>
        <v/>
      </c>
      <c r="H26" s="50">
        <f>IF(G26=0,"— Sem meta",IF(C26&gt;=G26,"✓ Meta atingida","Em andamento"))</f>
        <v/>
      </c>
      <c r="KC26" s="13" t="n">
        <v>25</v>
      </c>
      <c r="KD26" s="14">
        <f>IF(25&lt;=$Z$3,DATE(Configurações!$B$3,10,25),"")</f>
        <v/>
      </c>
      <c r="KE26" s="13">
        <f>SUM($HQ$67:$HQ$79)</f>
        <v/>
      </c>
      <c r="KF26" s="13">
        <f>SUM($HL$67:$HL$79)</f>
        <v/>
      </c>
    </row>
    <row r="27">
      <c r="KC27" s="13" t="n">
        <v>26</v>
      </c>
      <c r="KD27" s="14">
        <f>IF(26&lt;=$Z$3,DATE(Configurações!$B$3,10,26),"")</f>
        <v/>
      </c>
      <c r="KE27" s="13">
        <f>SUM($HZ$67:$HZ$79)</f>
        <v/>
      </c>
      <c r="KF27" s="13">
        <f>SUM($HU$67:$HU$79)</f>
        <v/>
      </c>
    </row>
    <row r="28">
      <c r="KC28" s="13" t="n">
        <v>27</v>
      </c>
      <c r="KD28" s="14">
        <f>IF(27&lt;=$Z$3,DATE(Configurações!$B$3,10,27),"")</f>
        <v/>
      </c>
      <c r="KE28" s="13">
        <f>SUM($II$67:$II$79)</f>
        <v/>
      </c>
      <c r="KF28" s="13">
        <f>SUM($ID$67:$ID$79)</f>
        <v/>
      </c>
    </row>
    <row r="29">
      <c r="KC29" s="13" t="n">
        <v>28</v>
      </c>
      <c r="KD29" s="14">
        <f>IF(28&lt;=$Z$3,DATE(Configurações!$B$3,10,28),"")</f>
        <v/>
      </c>
      <c r="KE29" s="13">
        <f>SUM($IR$67:$IR$79)</f>
        <v/>
      </c>
      <c r="KF29" s="13">
        <f>SUM($IM$67:$IM$79)</f>
        <v/>
      </c>
    </row>
    <row r="30">
      <c r="KC30" s="13" t="n">
        <v>29</v>
      </c>
      <c r="KD30" s="14">
        <f>IF(29&lt;=$Z$3,DATE(Configurações!$B$3,10,29),"")</f>
        <v/>
      </c>
      <c r="KE30" s="13">
        <f>SUM($JA$67:$JA$79)</f>
        <v/>
      </c>
      <c r="KF30" s="13">
        <f>SUM($IV$67:$IV$79)</f>
        <v/>
      </c>
    </row>
    <row r="31">
      <c r="KC31" s="13" t="n">
        <v>30</v>
      </c>
      <c r="KD31" s="14">
        <f>IF(30&lt;=$Z$3,DATE(Configurações!$B$3,10,30),"")</f>
        <v/>
      </c>
      <c r="KE31" s="13">
        <f>SUM($JJ$67:$JJ$79)</f>
        <v/>
      </c>
      <c r="KF31" s="13">
        <f>SUM($JE$67:$JE$79)</f>
        <v/>
      </c>
    </row>
    <row r="32">
      <c r="KC32" s="13" t="n">
        <v>31</v>
      </c>
      <c r="KD32" s="14">
        <f>IF(31&lt;=$Z$3,DATE(Configurações!$B$3,10,31),"")</f>
        <v/>
      </c>
      <c r="KE32" s="13">
        <f>SUM($JS$67:$JS$79)</f>
        <v/>
      </c>
      <c r="KF32" s="13">
        <f>SUM($JN$67:$JN$79)</f>
        <v/>
      </c>
    </row>
    <row r="64" ht="22" customHeight="1">
      <c r="A64" s="51" t="inlineStr">
        <is>
          <t>📋  LANÇAMENTOS DIÁRIOS POR ASSESSOR (role para a direita)</t>
        </is>
      </c>
    </row>
    <row r="65" ht="20" customHeight="1">
      <c r="A65" s="52" t="inlineStr">
        <is>
          <t>Assessor</t>
        </is>
      </c>
      <c r="B65" s="18">
        <f>"Dia 1 — "&amp;IF(1&lt;=$Z$3,TEXT(DATE(Configurações!$B$3,10,1),"dd/mm")&amp;" ("&amp;CHOOSE(WEEKDAY(DATE(Configurações!$B$3,10,1)),"Dom","Seg","Ter","Qua","Qui","Sex","Sáb")&amp;")","—")</f>
        <v/>
      </c>
      <c r="K65" s="18">
        <f>"Dia 2 — "&amp;IF(2&lt;=$Z$3,TEXT(DATE(Configurações!$B$3,10,2),"dd/mm")&amp;" ("&amp;CHOOSE(WEEKDAY(DATE(Configurações!$B$3,10,2)),"Dom","Seg","Ter","Qua","Qui","Sex","Sáb")&amp;")","—")</f>
        <v/>
      </c>
      <c r="T65" s="18">
        <f>"Dia 3 — "&amp;IF(3&lt;=$Z$3,TEXT(DATE(Configurações!$B$3,10,3),"dd/mm")&amp;" ("&amp;CHOOSE(WEEKDAY(DATE(Configurações!$B$3,10,3)),"Dom","Seg","Ter","Qua","Qui","Sex","Sáb")&amp;")","—")</f>
        <v/>
      </c>
      <c r="AC65" s="18">
        <f>"Dia 4 — "&amp;IF(4&lt;=$Z$3,TEXT(DATE(Configurações!$B$3,10,4),"dd/mm")&amp;" ("&amp;CHOOSE(WEEKDAY(DATE(Configurações!$B$3,10,4)),"Dom","Seg","Ter","Qua","Qui","Sex","Sáb")&amp;")","—")</f>
        <v/>
      </c>
      <c r="AL65" s="18">
        <f>"Dia 5 — "&amp;IF(5&lt;=$Z$3,TEXT(DATE(Configurações!$B$3,10,5),"dd/mm")&amp;" ("&amp;CHOOSE(WEEKDAY(DATE(Configurações!$B$3,10,5)),"Dom","Seg","Ter","Qua","Qui","Sex","Sáb")&amp;")","—")</f>
        <v/>
      </c>
      <c r="AU65" s="18">
        <f>"Dia 6 — "&amp;IF(6&lt;=$Z$3,TEXT(DATE(Configurações!$B$3,10,6),"dd/mm")&amp;" ("&amp;CHOOSE(WEEKDAY(DATE(Configurações!$B$3,10,6)),"Dom","Seg","Ter","Qua","Qui","Sex","Sáb")&amp;")","—")</f>
        <v/>
      </c>
      <c r="BD65" s="18">
        <f>"Dia 7 — "&amp;IF(7&lt;=$Z$3,TEXT(DATE(Configurações!$B$3,10,7),"dd/mm")&amp;" ("&amp;CHOOSE(WEEKDAY(DATE(Configurações!$B$3,10,7)),"Dom","Seg","Ter","Qua","Qui","Sex","Sáb")&amp;")","—")</f>
        <v/>
      </c>
      <c r="BM65" s="18">
        <f>"Dia 8 — "&amp;IF(8&lt;=$Z$3,TEXT(DATE(Configurações!$B$3,10,8),"dd/mm")&amp;" ("&amp;CHOOSE(WEEKDAY(DATE(Configurações!$B$3,10,8)),"Dom","Seg","Ter","Qua","Qui","Sex","Sáb")&amp;")","—")</f>
        <v/>
      </c>
      <c r="BV65" s="18">
        <f>"Dia 9 — "&amp;IF(9&lt;=$Z$3,TEXT(DATE(Configurações!$B$3,10,9),"dd/mm")&amp;" ("&amp;CHOOSE(WEEKDAY(DATE(Configurações!$B$3,10,9)),"Dom","Seg","Ter","Qua","Qui","Sex","Sáb")&amp;")","—")</f>
        <v/>
      </c>
      <c r="CE65" s="18">
        <f>"Dia 10 — "&amp;IF(10&lt;=$Z$3,TEXT(DATE(Configurações!$B$3,10,10),"dd/mm")&amp;" ("&amp;CHOOSE(WEEKDAY(DATE(Configurações!$B$3,10,10)),"Dom","Seg","Ter","Qua","Qui","Sex","Sáb")&amp;")","—")</f>
        <v/>
      </c>
      <c r="CN65" s="18">
        <f>"Dia 11 — "&amp;IF(11&lt;=$Z$3,TEXT(DATE(Configurações!$B$3,10,11),"dd/mm")&amp;" ("&amp;CHOOSE(WEEKDAY(DATE(Configurações!$B$3,10,11)),"Dom","Seg","Ter","Qua","Qui","Sex","Sáb")&amp;")","—")</f>
        <v/>
      </c>
      <c r="CW65" s="18">
        <f>"Dia 12 — "&amp;IF(12&lt;=$Z$3,TEXT(DATE(Configurações!$B$3,10,12),"dd/mm")&amp;" ("&amp;CHOOSE(WEEKDAY(DATE(Configurações!$B$3,10,12)),"Dom","Seg","Ter","Qua","Qui","Sex","Sáb")&amp;")","—")</f>
        <v/>
      </c>
      <c r="DF65" s="18">
        <f>"Dia 13 — "&amp;IF(13&lt;=$Z$3,TEXT(DATE(Configurações!$B$3,10,13),"dd/mm")&amp;" ("&amp;CHOOSE(WEEKDAY(DATE(Configurações!$B$3,10,13)),"Dom","Seg","Ter","Qua","Qui","Sex","Sáb")&amp;")","—")</f>
        <v/>
      </c>
      <c r="DO65" s="18">
        <f>"Dia 14 — "&amp;IF(14&lt;=$Z$3,TEXT(DATE(Configurações!$B$3,10,14),"dd/mm")&amp;" ("&amp;CHOOSE(WEEKDAY(DATE(Configurações!$B$3,10,14)),"Dom","Seg","Ter","Qua","Qui","Sex","Sáb")&amp;")","—")</f>
        <v/>
      </c>
      <c r="DX65" s="18">
        <f>"Dia 15 — "&amp;IF(15&lt;=$Z$3,TEXT(DATE(Configurações!$B$3,10,15),"dd/mm")&amp;" ("&amp;CHOOSE(WEEKDAY(DATE(Configurações!$B$3,10,15)),"Dom","Seg","Ter","Qua","Qui","Sex","Sáb")&amp;")","—")</f>
        <v/>
      </c>
      <c r="EG65" s="18">
        <f>"Dia 16 — "&amp;IF(16&lt;=$Z$3,TEXT(DATE(Configurações!$B$3,10,16),"dd/mm")&amp;" ("&amp;CHOOSE(WEEKDAY(DATE(Configurações!$B$3,10,16)),"Dom","Seg","Ter","Qua","Qui","Sex","Sáb")&amp;")","—")</f>
        <v/>
      </c>
      <c r="EP65" s="18">
        <f>"Dia 17 — "&amp;IF(17&lt;=$Z$3,TEXT(DATE(Configurações!$B$3,10,17),"dd/mm")&amp;" ("&amp;CHOOSE(WEEKDAY(DATE(Configurações!$B$3,10,17)),"Dom","Seg","Ter","Qua","Qui","Sex","Sáb")&amp;")","—")</f>
        <v/>
      </c>
      <c r="EY65" s="18">
        <f>"Dia 18 — "&amp;IF(18&lt;=$Z$3,TEXT(DATE(Configurações!$B$3,10,18),"dd/mm")&amp;" ("&amp;CHOOSE(WEEKDAY(DATE(Configurações!$B$3,10,18)),"Dom","Seg","Ter","Qua","Qui","Sex","Sáb")&amp;")","—")</f>
        <v/>
      </c>
      <c r="FH65" s="18">
        <f>"Dia 19 — "&amp;IF(19&lt;=$Z$3,TEXT(DATE(Configurações!$B$3,10,19),"dd/mm")&amp;" ("&amp;CHOOSE(WEEKDAY(DATE(Configurações!$B$3,10,19)),"Dom","Seg","Ter","Qua","Qui","Sex","Sáb")&amp;")","—")</f>
        <v/>
      </c>
      <c r="FQ65" s="18">
        <f>"Dia 20 — "&amp;IF(20&lt;=$Z$3,TEXT(DATE(Configurações!$B$3,10,20),"dd/mm")&amp;" ("&amp;CHOOSE(WEEKDAY(DATE(Configurações!$B$3,10,20)),"Dom","Seg","Ter","Qua","Qui","Sex","Sáb")&amp;")","—")</f>
        <v/>
      </c>
      <c r="FZ65" s="18">
        <f>"Dia 21 — "&amp;IF(21&lt;=$Z$3,TEXT(DATE(Configurações!$B$3,10,21),"dd/mm")&amp;" ("&amp;CHOOSE(WEEKDAY(DATE(Configurações!$B$3,10,21)),"Dom","Seg","Ter","Qua","Qui","Sex","Sáb")&amp;")","—")</f>
        <v/>
      </c>
      <c r="GI65" s="18">
        <f>"Dia 22 — "&amp;IF(22&lt;=$Z$3,TEXT(DATE(Configurações!$B$3,10,22),"dd/mm")&amp;" ("&amp;CHOOSE(WEEKDAY(DATE(Configurações!$B$3,10,22)),"Dom","Seg","Ter","Qua","Qui","Sex","Sáb")&amp;")","—")</f>
        <v/>
      </c>
      <c r="GR65" s="18">
        <f>"Dia 23 — "&amp;IF(23&lt;=$Z$3,TEXT(DATE(Configurações!$B$3,10,23),"dd/mm")&amp;" ("&amp;CHOOSE(WEEKDAY(DATE(Configurações!$B$3,10,23)),"Dom","Seg","Ter","Qua","Qui","Sex","Sáb")&amp;")","—")</f>
        <v/>
      </c>
      <c r="HA65" s="18">
        <f>"Dia 24 — "&amp;IF(24&lt;=$Z$3,TEXT(DATE(Configurações!$B$3,10,24),"dd/mm")&amp;" ("&amp;CHOOSE(WEEKDAY(DATE(Configurações!$B$3,10,24)),"Dom","Seg","Ter","Qua","Qui","Sex","Sáb")&amp;")","—")</f>
        <v/>
      </c>
      <c r="HJ65" s="18">
        <f>"Dia 25 — "&amp;IF(25&lt;=$Z$3,TEXT(DATE(Configurações!$B$3,10,25),"dd/mm")&amp;" ("&amp;CHOOSE(WEEKDAY(DATE(Configurações!$B$3,10,25)),"Dom","Seg","Ter","Qua","Qui","Sex","Sáb")&amp;")","—")</f>
        <v/>
      </c>
      <c r="HS65" s="18">
        <f>"Dia 26 — "&amp;IF(26&lt;=$Z$3,TEXT(DATE(Configurações!$B$3,10,26),"dd/mm")&amp;" ("&amp;CHOOSE(WEEKDAY(DATE(Configurações!$B$3,10,26)),"Dom","Seg","Ter","Qua","Qui","Sex","Sáb")&amp;")","—")</f>
        <v/>
      </c>
      <c r="IB65" s="18">
        <f>"Dia 27 — "&amp;IF(27&lt;=$Z$3,TEXT(DATE(Configurações!$B$3,10,27),"dd/mm")&amp;" ("&amp;CHOOSE(WEEKDAY(DATE(Configurações!$B$3,10,27)),"Dom","Seg","Ter","Qua","Qui","Sex","Sáb")&amp;")","—")</f>
        <v/>
      </c>
      <c r="IK65" s="18">
        <f>"Dia 28 — "&amp;IF(28&lt;=$Z$3,TEXT(DATE(Configurações!$B$3,10,28),"dd/mm")&amp;" ("&amp;CHOOSE(WEEKDAY(DATE(Configurações!$B$3,10,28)),"Dom","Seg","Ter","Qua","Qui","Sex","Sáb")&amp;")","—")</f>
        <v/>
      </c>
      <c r="IT65" s="18">
        <f>"Dia 29 — "&amp;IF(29&lt;=$Z$3,TEXT(DATE(Configurações!$B$3,10,29),"dd/mm")&amp;" ("&amp;CHOOSE(WEEKDAY(DATE(Configurações!$B$3,10,29)),"Dom","Seg","Ter","Qua","Qui","Sex","Sáb")&amp;")","—")</f>
        <v/>
      </c>
      <c r="JC65" s="18">
        <f>"Dia 30 — "&amp;IF(30&lt;=$Z$3,TEXT(DATE(Configurações!$B$3,10,30),"dd/mm")&amp;" ("&amp;CHOOSE(WEEKDAY(DATE(Configurações!$B$3,10,30)),"Dom","Seg","Ter","Qua","Qui","Sex","Sáb")&amp;")","—")</f>
        <v/>
      </c>
      <c r="JL65" s="18">
        <f>"Dia 31 — "&amp;IF(31&lt;=$Z$3,TEXT(DATE(Configurações!$B$3,10,31),"dd/mm")&amp;" ("&amp;CHOOSE(WEEKDAY(DATE(Configurações!$B$3,10,31)),"Dom","Seg","Ter","Qua","Qui","Sex","Sáb")&amp;")","—")</f>
        <v/>
      </c>
      <c r="JU65" s="53" t="inlineStr">
        <is>
          <t>Produção Total (Mês)</t>
        </is>
      </c>
      <c r="JV65" s="53" t="inlineStr">
        <is>
          <t>Captação Líquida (Mês)</t>
        </is>
      </c>
      <c r="JW65" s="53" t="inlineStr">
        <is>
          <t>Saldo Pulso Atual</t>
        </is>
      </c>
      <c r="JX65" s="53" t="inlineStr">
        <is>
          <t>Média Diária</t>
        </is>
      </c>
      <c r="JY65" s="53" t="inlineStr">
        <is>
          <t>Meta Mensal</t>
        </is>
      </c>
      <c r="JZ65" s="53" t="inlineStr">
        <is>
          <t>Status Meta</t>
        </is>
      </c>
      <c r="KA65" s="53" t="inlineStr"/>
    </row>
    <row r="66" ht="26" customHeight="1">
      <c r="B66" s="54" t="inlineStr">
        <is>
          <t>Saldo Pulso</t>
        </is>
      </c>
      <c r="C66" s="54" t="inlineStr">
        <is>
          <t>Saldo Anterior</t>
        </is>
      </c>
      <c r="D66" s="54" t="inlineStr">
        <is>
          <t>Captação Líq.</t>
        </is>
      </c>
      <c r="E66" s="54" t="inlineStr">
        <is>
          <t>COE</t>
        </is>
      </c>
      <c r="F66" s="54" t="inlineStr">
        <is>
          <t>Previdência</t>
        </is>
      </c>
      <c r="G66" s="54" t="inlineStr">
        <is>
          <t>Créd. Privado</t>
        </is>
      </c>
      <c r="H66" s="54" t="inlineStr">
        <is>
          <t>Tít. Públicos</t>
        </is>
      </c>
      <c r="I66" s="54" t="inlineStr">
        <is>
          <t>Produção Tot.</t>
        </is>
      </c>
      <c r="J66" s="54" t="inlineStr">
        <is>
          <t>Obs.</t>
        </is>
      </c>
      <c r="K66" s="54" t="inlineStr">
        <is>
          <t>Saldo Pulso</t>
        </is>
      </c>
      <c r="L66" s="54" t="inlineStr">
        <is>
          <t>Saldo Anterior</t>
        </is>
      </c>
      <c r="M66" s="54" t="inlineStr">
        <is>
          <t>Captação Líq.</t>
        </is>
      </c>
      <c r="N66" s="54" t="inlineStr">
        <is>
          <t>COE</t>
        </is>
      </c>
      <c r="O66" s="54" t="inlineStr">
        <is>
          <t>Previdência</t>
        </is>
      </c>
      <c r="P66" s="54" t="inlineStr">
        <is>
          <t>Créd. Privado</t>
        </is>
      </c>
      <c r="Q66" s="54" t="inlineStr">
        <is>
          <t>Tít. Públicos</t>
        </is>
      </c>
      <c r="R66" s="54" t="inlineStr">
        <is>
          <t>Produção Tot.</t>
        </is>
      </c>
      <c r="S66" s="54" t="inlineStr">
        <is>
          <t>Obs.</t>
        </is>
      </c>
      <c r="T66" s="54" t="inlineStr">
        <is>
          <t>Saldo Pulso</t>
        </is>
      </c>
      <c r="U66" s="54" t="inlineStr">
        <is>
          <t>Saldo Anterior</t>
        </is>
      </c>
      <c r="V66" s="54" t="inlineStr">
        <is>
          <t>Captação Líq.</t>
        </is>
      </c>
      <c r="W66" s="54" t="inlineStr">
        <is>
          <t>COE</t>
        </is>
      </c>
      <c r="X66" s="54" t="inlineStr">
        <is>
          <t>Previdência</t>
        </is>
      </c>
      <c r="Y66" s="54" t="inlineStr">
        <is>
          <t>Créd. Privado</t>
        </is>
      </c>
      <c r="Z66" s="54" t="inlineStr">
        <is>
          <t>Tít. Públicos</t>
        </is>
      </c>
      <c r="AA66" s="54" t="inlineStr">
        <is>
          <t>Produção Tot.</t>
        </is>
      </c>
      <c r="AB66" s="54" t="inlineStr">
        <is>
          <t>Obs.</t>
        </is>
      </c>
      <c r="AC66" s="54" t="inlineStr">
        <is>
          <t>Saldo Pulso</t>
        </is>
      </c>
      <c r="AD66" s="54" t="inlineStr">
        <is>
          <t>Saldo Anterior</t>
        </is>
      </c>
      <c r="AE66" s="54" t="inlineStr">
        <is>
          <t>Captação Líq.</t>
        </is>
      </c>
      <c r="AF66" s="54" t="inlineStr">
        <is>
          <t>COE</t>
        </is>
      </c>
      <c r="AG66" s="54" t="inlineStr">
        <is>
          <t>Previdência</t>
        </is>
      </c>
      <c r="AH66" s="54" t="inlineStr">
        <is>
          <t>Créd. Privado</t>
        </is>
      </c>
      <c r="AI66" s="54" t="inlineStr">
        <is>
          <t>Tít. Públicos</t>
        </is>
      </c>
      <c r="AJ66" s="54" t="inlineStr">
        <is>
          <t>Produção Tot.</t>
        </is>
      </c>
      <c r="AK66" s="54" t="inlineStr">
        <is>
          <t>Obs.</t>
        </is>
      </c>
      <c r="AL66" s="54" t="inlineStr">
        <is>
          <t>Saldo Pulso</t>
        </is>
      </c>
      <c r="AM66" s="54" t="inlineStr">
        <is>
          <t>Saldo Anterior</t>
        </is>
      </c>
      <c r="AN66" s="54" t="inlineStr">
        <is>
          <t>Captação Líq.</t>
        </is>
      </c>
      <c r="AO66" s="54" t="inlineStr">
        <is>
          <t>COE</t>
        </is>
      </c>
      <c r="AP66" s="54" t="inlineStr">
        <is>
          <t>Previdência</t>
        </is>
      </c>
      <c r="AQ66" s="54" t="inlineStr">
        <is>
          <t>Créd. Privado</t>
        </is>
      </c>
      <c r="AR66" s="54" t="inlineStr">
        <is>
          <t>Tít. Públicos</t>
        </is>
      </c>
      <c r="AS66" s="54" t="inlineStr">
        <is>
          <t>Produção Tot.</t>
        </is>
      </c>
      <c r="AT66" s="54" t="inlineStr">
        <is>
          <t>Obs.</t>
        </is>
      </c>
      <c r="AU66" s="54" t="inlineStr">
        <is>
          <t>Saldo Pulso</t>
        </is>
      </c>
      <c r="AV66" s="54" t="inlineStr">
        <is>
          <t>Saldo Anterior</t>
        </is>
      </c>
      <c r="AW66" s="54" t="inlineStr">
        <is>
          <t>Captação Líq.</t>
        </is>
      </c>
      <c r="AX66" s="54" t="inlineStr">
        <is>
          <t>COE</t>
        </is>
      </c>
      <c r="AY66" s="54" t="inlineStr">
        <is>
          <t>Previdência</t>
        </is>
      </c>
      <c r="AZ66" s="54" t="inlineStr">
        <is>
          <t>Créd. Privado</t>
        </is>
      </c>
      <c r="BA66" s="54" t="inlineStr">
        <is>
          <t>Tít. Públicos</t>
        </is>
      </c>
      <c r="BB66" s="54" t="inlineStr">
        <is>
          <t>Produção Tot.</t>
        </is>
      </c>
      <c r="BC66" s="54" t="inlineStr">
        <is>
          <t>Obs.</t>
        </is>
      </c>
      <c r="BD66" s="54" t="inlineStr">
        <is>
          <t>Saldo Pulso</t>
        </is>
      </c>
      <c r="BE66" s="54" t="inlineStr">
        <is>
          <t>Saldo Anterior</t>
        </is>
      </c>
      <c r="BF66" s="54" t="inlineStr">
        <is>
          <t>Captação Líq.</t>
        </is>
      </c>
      <c r="BG66" s="54" t="inlineStr">
        <is>
          <t>COE</t>
        </is>
      </c>
      <c r="BH66" s="54" t="inlineStr">
        <is>
          <t>Previdência</t>
        </is>
      </c>
      <c r="BI66" s="54" t="inlineStr">
        <is>
          <t>Créd. Privado</t>
        </is>
      </c>
      <c r="BJ66" s="54" t="inlineStr">
        <is>
          <t>Tít. Públicos</t>
        </is>
      </c>
      <c r="BK66" s="54" t="inlineStr">
        <is>
          <t>Produção Tot.</t>
        </is>
      </c>
      <c r="BL66" s="54" t="inlineStr">
        <is>
          <t>Obs.</t>
        </is>
      </c>
      <c r="BM66" s="54" t="inlineStr">
        <is>
          <t>Saldo Pulso</t>
        </is>
      </c>
      <c r="BN66" s="54" t="inlineStr">
        <is>
          <t>Saldo Anterior</t>
        </is>
      </c>
      <c r="BO66" s="54" t="inlineStr">
        <is>
          <t>Captação Líq.</t>
        </is>
      </c>
      <c r="BP66" s="54" t="inlineStr">
        <is>
          <t>COE</t>
        </is>
      </c>
      <c r="BQ66" s="54" t="inlineStr">
        <is>
          <t>Previdência</t>
        </is>
      </c>
      <c r="BR66" s="54" t="inlineStr">
        <is>
          <t>Créd. Privado</t>
        </is>
      </c>
      <c r="BS66" s="54" t="inlineStr">
        <is>
          <t>Tít. Públicos</t>
        </is>
      </c>
      <c r="BT66" s="54" t="inlineStr">
        <is>
          <t>Produção Tot.</t>
        </is>
      </c>
      <c r="BU66" s="54" t="inlineStr">
        <is>
          <t>Obs.</t>
        </is>
      </c>
      <c r="BV66" s="54" t="inlineStr">
        <is>
          <t>Saldo Pulso</t>
        </is>
      </c>
      <c r="BW66" s="54" t="inlineStr">
        <is>
          <t>Saldo Anterior</t>
        </is>
      </c>
      <c r="BX66" s="54" t="inlineStr">
        <is>
          <t>Captação Líq.</t>
        </is>
      </c>
      <c r="BY66" s="54" t="inlineStr">
        <is>
          <t>COE</t>
        </is>
      </c>
      <c r="BZ66" s="54" t="inlineStr">
        <is>
          <t>Previdência</t>
        </is>
      </c>
      <c r="CA66" s="54" t="inlineStr">
        <is>
          <t>Créd. Privado</t>
        </is>
      </c>
      <c r="CB66" s="54" t="inlineStr">
        <is>
          <t>Tít. Públicos</t>
        </is>
      </c>
      <c r="CC66" s="54" t="inlineStr">
        <is>
          <t>Produção Tot.</t>
        </is>
      </c>
      <c r="CD66" s="54" t="inlineStr">
        <is>
          <t>Obs.</t>
        </is>
      </c>
      <c r="CE66" s="54" t="inlineStr">
        <is>
          <t>Saldo Pulso</t>
        </is>
      </c>
      <c r="CF66" s="54" t="inlineStr">
        <is>
          <t>Saldo Anterior</t>
        </is>
      </c>
      <c r="CG66" s="54" t="inlineStr">
        <is>
          <t>Captação Líq.</t>
        </is>
      </c>
      <c r="CH66" s="54" t="inlineStr">
        <is>
          <t>COE</t>
        </is>
      </c>
      <c r="CI66" s="54" t="inlineStr">
        <is>
          <t>Previdência</t>
        </is>
      </c>
      <c r="CJ66" s="54" t="inlineStr">
        <is>
          <t>Créd. Privado</t>
        </is>
      </c>
      <c r="CK66" s="54" t="inlineStr">
        <is>
          <t>Tít. Públicos</t>
        </is>
      </c>
      <c r="CL66" s="54" t="inlineStr">
        <is>
          <t>Produção Tot.</t>
        </is>
      </c>
      <c r="CM66" s="54" t="inlineStr">
        <is>
          <t>Obs.</t>
        </is>
      </c>
      <c r="CN66" s="54" t="inlineStr">
        <is>
          <t>Saldo Pulso</t>
        </is>
      </c>
      <c r="CO66" s="54" t="inlineStr">
        <is>
          <t>Saldo Anterior</t>
        </is>
      </c>
      <c r="CP66" s="54" t="inlineStr">
        <is>
          <t>Captação Líq.</t>
        </is>
      </c>
      <c r="CQ66" s="54" t="inlineStr">
        <is>
          <t>COE</t>
        </is>
      </c>
      <c r="CR66" s="54" t="inlineStr">
        <is>
          <t>Previdência</t>
        </is>
      </c>
      <c r="CS66" s="54" t="inlineStr">
        <is>
          <t>Créd. Privado</t>
        </is>
      </c>
      <c r="CT66" s="54" t="inlineStr">
        <is>
          <t>Tít. Públicos</t>
        </is>
      </c>
      <c r="CU66" s="54" t="inlineStr">
        <is>
          <t>Produção Tot.</t>
        </is>
      </c>
      <c r="CV66" s="54" t="inlineStr">
        <is>
          <t>Obs.</t>
        </is>
      </c>
      <c r="CW66" s="54" t="inlineStr">
        <is>
          <t>Saldo Pulso</t>
        </is>
      </c>
      <c r="CX66" s="54" t="inlineStr">
        <is>
          <t>Saldo Anterior</t>
        </is>
      </c>
      <c r="CY66" s="54" t="inlineStr">
        <is>
          <t>Captação Líq.</t>
        </is>
      </c>
      <c r="CZ66" s="54" t="inlineStr">
        <is>
          <t>COE</t>
        </is>
      </c>
      <c r="DA66" s="54" t="inlineStr">
        <is>
          <t>Previdência</t>
        </is>
      </c>
      <c r="DB66" s="54" t="inlineStr">
        <is>
          <t>Créd. Privado</t>
        </is>
      </c>
      <c r="DC66" s="54" t="inlineStr">
        <is>
          <t>Tít. Públicos</t>
        </is>
      </c>
      <c r="DD66" s="54" t="inlineStr">
        <is>
          <t>Produção Tot.</t>
        </is>
      </c>
      <c r="DE66" s="54" t="inlineStr">
        <is>
          <t>Obs.</t>
        </is>
      </c>
      <c r="DF66" s="54" t="inlineStr">
        <is>
          <t>Saldo Pulso</t>
        </is>
      </c>
      <c r="DG66" s="54" t="inlineStr">
        <is>
          <t>Saldo Anterior</t>
        </is>
      </c>
      <c r="DH66" s="54" t="inlineStr">
        <is>
          <t>Captação Líq.</t>
        </is>
      </c>
      <c r="DI66" s="54" t="inlineStr">
        <is>
          <t>COE</t>
        </is>
      </c>
      <c r="DJ66" s="54" t="inlineStr">
        <is>
          <t>Previdência</t>
        </is>
      </c>
      <c r="DK66" s="54" t="inlineStr">
        <is>
          <t>Créd. Privado</t>
        </is>
      </c>
      <c r="DL66" s="54" t="inlineStr">
        <is>
          <t>Tít. Públicos</t>
        </is>
      </c>
      <c r="DM66" s="54" t="inlineStr">
        <is>
          <t>Produção Tot.</t>
        </is>
      </c>
      <c r="DN66" s="54" t="inlineStr">
        <is>
          <t>Obs.</t>
        </is>
      </c>
      <c r="DO66" s="54" t="inlineStr">
        <is>
          <t>Saldo Pulso</t>
        </is>
      </c>
      <c r="DP66" s="54" t="inlineStr">
        <is>
          <t>Saldo Anterior</t>
        </is>
      </c>
      <c r="DQ66" s="54" t="inlineStr">
        <is>
          <t>Captação Líq.</t>
        </is>
      </c>
      <c r="DR66" s="54" t="inlineStr">
        <is>
          <t>COE</t>
        </is>
      </c>
      <c r="DS66" s="54" t="inlineStr">
        <is>
          <t>Previdência</t>
        </is>
      </c>
      <c r="DT66" s="54" t="inlineStr">
        <is>
          <t>Créd. Privado</t>
        </is>
      </c>
      <c r="DU66" s="54" t="inlineStr">
        <is>
          <t>Tít. Públicos</t>
        </is>
      </c>
      <c r="DV66" s="54" t="inlineStr">
        <is>
          <t>Produção Tot.</t>
        </is>
      </c>
      <c r="DW66" s="54" t="inlineStr">
        <is>
          <t>Obs.</t>
        </is>
      </c>
      <c r="DX66" s="54" t="inlineStr">
        <is>
          <t>Saldo Pulso</t>
        </is>
      </c>
      <c r="DY66" s="54" t="inlineStr">
        <is>
          <t>Saldo Anterior</t>
        </is>
      </c>
      <c r="DZ66" s="54" t="inlineStr">
        <is>
          <t>Captação Líq.</t>
        </is>
      </c>
      <c r="EA66" s="54" t="inlineStr">
        <is>
          <t>COE</t>
        </is>
      </c>
      <c r="EB66" s="54" t="inlineStr">
        <is>
          <t>Previdência</t>
        </is>
      </c>
      <c r="EC66" s="54" t="inlineStr">
        <is>
          <t>Créd. Privado</t>
        </is>
      </c>
      <c r="ED66" s="54" t="inlineStr">
        <is>
          <t>Tít. Públicos</t>
        </is>
      </c>
      <c r="EE66" s="54" t="inlineStr">
        <is>
          <t>Produção Tot.</t>
        </is>
      </c>
      <c r="EF66" s="54" t="inlineStr">
        <is>
          <t>Obs.</t>
        </is>
      </c>
      <c r="EG66" s="54" t="inlineStr">
        <is>
          <t>Saldo Pulso</t>
        </is>
      </c>
      <c r="EH66" s="54" t="inlineStr">
        <is>
          <t>Saldo Anterior</t>
        </is>
      </c>
      <c r="EI66" s="54" t="inlineStr">
        <is>
          <t>Captação Líq.</t>
        </is>
      </c>
      <c r="EJ66" s="54" t="inlineStr">
        <is>
          <t>COE</t>
        </is>
      </c>
      <c r="EK66" s="54" t="inlineStr">
        <is>
          <t>Previdência</t>
        </is>
      </c>
      <c r="EL66" s="54" t="inlineStr">
        <is>
          <t>Créd. Privado</t>
        </is>
      </c>
      <c r="EM66" s="54" t="inlineStr">
        <is>
          <t>Tít. Públicos</t>
        </is>
      </c>
      <c r="EN66" s="54" t="inlineStr">
        <is>
          <t>Produção Tot.</t>
        </is>
      </c>
      <c r="EO66" s="54" t="inlineStr">
        <is>
          <t>Obs.</t>
        </is>
      </c>
      <c r="EP66" s="54" t="inlineStr">
        <is>
          <t>Saldo Pulso</t>
        </is>
      </c>
      <c r="EQ66" s="54" t="inlineStr">
        <is>
          <t>Saldo Anterior</t>
        </is>
      </c>
      <c r="ER66" s="54" t="inlineStr">
        <is>
          <t>Captação Líq.</t>
        </is>
      </c>
      <c r="ES66" s="54" t="inlineStr">
        <is>
          <t>COE</t>
        </is>
      </c>
      <c r="ET66" s="54" t="inlineStr">
        <is>
          <t>Previdência</t>
        </is>
      </c>
      <c r="EU66" s="54" t="inlineStr">
        <is>
          <t>Créd. Privado</t>
        </is>
      </c>
      <c r="EV66" s="54" t="inlineStr">
        <is>
          <t>Tít. Públicos</t>
        </is>
      </c>
      <c r="EW66" s="54" t="inlineStr">
        <is>
          <t>Produção Tot.</t>
        </is>
      </c>
      <c r="EX66" s="54" t="inlineStr">
        <is>
          <t>Obs.</t>
        </is>
      </c>
      <c r="EY66" s="54" t="inlineStr">
        <is>
          <t>Saldo Pulso</t>
        </is>
      </c>
      <c r="EZ66" s="54" t="inlineStr">
        <is>
          <t>Saldo Anterior</t>
        </is>
      </c>
      <c r="FA66" s="54" t="inlineStr">
        <is>
          <t>Captação Líq.</t>
        </is>
      </c>
      <c r="FB66" s="54" t="inlineStr">
        <is>
          <t>COE</t>
        </is>
      </c>
      <c r="FC66" s="54" t="inlineStr">
        <is>
          <t>Previdência</t>
        </is>
      </c>
      <c r="FD66" s="54" t="inlineStr">
        <is>
          <t>Créd. Privado</t>
        </is>
      </c>
      <c r="FE66" s="54" t="inlineStr">
        <is>
          <t>Tít. Públicos</t>
        </is>
      </c>
      <c r="FF66" s="54" t="inlineStr">
        <is>
          <t>Produção Tot.</t>
        </is>
      </c>
      <c r="FG66" s="54" t="inlineStr">
        <is>
          <t>Obs.</t>
        </is>
      </c>
      <c r="FH66" s="54" t="inlineStr">
        <is>
          <t>Saldo Pulso</t>
        </is>
      </c>
      <c r="FI66" s="54" t="inlineStr">
        <is>
          <t>Saldo Anterior</t>
        </is>
      </c>
      <c r="FJ66" s="54" t="inlineStr">
        <is>
          <t>Captação Líq.</t>
        </is>
      </c>
      <c r="FK66" s="54" t="inlineStr">
        <is>
          <t>COE</t>
        </is>
      </c>
      <c r="FL66" s="54" t="inlineStr">
        <is>
          <t>Previdência</t>
        </is>
      </c>
      <c r="FM66" s="54" t="inlineStr">
        <is>
          <t>Créd. Privado</t>
        </is>
      </c>
      <c r="FN66" s="54" t="inlineStr">
        <is>
          <t>Tít. Públicos</t>
        </is>
      </c>
      <c r="FO66" s="54" t="inlineStr">
        <is>
          <t>Produção Tot.</t>
        </is>
      </c>
      <c r="FP66" s="54" t="inlineStr">
        <is>
          <t>Obs.</t>
        </is>
      </c>
      <c r="FQ66" s="54" t="inlineStr">
        <is>
          <t>Saldo Pulso</t>
        </is>
      </c>
      <c r="FR66" s="54" t="inlineStr">
        <is>
          <t>Saldo Anterior</t>
        </is>
      </c>
      <c r="FS66" s="54" t="inlineStr">
        <is>
          <t>Captação Líq.</t>
        </is>
      </c>
      <c r="FT66" s="54" t="inlineStr">
        <is>
          <t>COE</t>
        </is>
      </c>
      <c r="FU66" s="54" t="inlineStr">
        <is>
          <t>Previdência</t>
        </is>
      </c>
      <c r="FV66" s="54" t="inlineStr">
        <is>
          <t>Créd. Privado</t>
        </is>
      </c>
      <c r="FW66" s="54" t="inlineStr">
        <is>
          <t>Tít. Públicos</t>
        </is>
      </c>
      <c r="FX66" s="54" t="inlineStr">
        <is>
          <t>Produção Tot.</t>
        </is>
      </c>
      <c r="FY66" s="54" t="inlineStr">
        <is>
          <t>Obs.</t>
        </is>
      </c>
      <c r="FZ66" s="54" t="inlineStr">
        <is>
          <t>Saldo Pulso</t>
        </is>
      </c>
      <c r="GA66" s="54" t="inlineStr">
        <is>
          <t>Saldo Anterior</t>
        </is>
      </c>
      <c r="GB66" s="54" t="inlineStr">
        <is>
          <t>Captação Líq.</t>
        </is>
      </c>
      <c r="GC66" s="54" t="inlineStr">
        <is>
          <t>COE</t>
        </is>
      </c>
      <c r="GD66" s="54" t="inlineStr">
        <is>
          <t>Previdência</t>
        </is>
      </c>
      <c r="GE66" s="54" t="inlineStr">
        <is>
          <t>Créd. Privado</t>
        </is>
      </c>
      <c r="GF66" s="54" t="inlineStr">
        <is>
          <t>Tít. Públicos</t>
        </is>
      </c>
      <c r="GG66" s="54" t="inlineStr">
        <is>
          <t>Produção Tot.</t>
        </is>
      </c>
      <c r="GH66" s="54" t="inlineStr">
        <is>
          <t>Obs.</t>
        </is>
      </c>
      <c r="GI66" s="54" t="inlineStr">
        <is>
          <t>Saldo Pulso</t>
        </is>
      </c>
      <c r="GJ66" s="54" t="inlineStr">
        <is>
          <t>Saldo Anterior</t>
        </is>
      </c>
      <c r="GK66" s="54" t="inlineStr">
        <is>
          <t>Captação Líq.</t>
        </is>
      </c>
      <c r="GL66" s="54" t="inlineStr">
        <is>
          <t>COE</t>
        </is>
      </c>
      <c r="GM66" s="54" t="inlineStr">
        <is>
          <t>Previdência</t>
        </is>
      </c>
      <c r="GN66" s="54" t="inlineStr">
        <is>
          <t>Créd. Privado</t>
        </is>
      </c>
      <c r="GO66" s="54" t="inlineStr">
        <is>
          <t>Tít. Públicos</t>
        </is>
      </c>
      <c r="GP66" s="54" t="inlineStr">
        <is>
          <t>Produção Tot.</t>
        </is>
      </c>
      <c r="GQ66" s="54" t="inlineStr">
        <is>
          <t>Obs.</t>
        </is>
      </c>
      <c r="GR66" s="54" t="inlineStr">
        <is>
          <t>Saldo Pulso</t>
        </is>
      </c>
      <c r="GS66" s="54" t="inlineStr">
        <is>
          <t>Saldo Anterior</t>
        </is>
      </c>
      <c r="GT66" s="54" t="inlineStr">
        <is>
          <t>Captação Líq.</t>
        </is>
      </c>
      <c r="GU66" s="54" t="inlineStr">
        <is>
          <t>COE</t>
        </is>
      </c>
      <c r="GV66" s="54" t="inlineStr">
        <is>
          <t>Previdência</t>
        </is>
      </c>
      <c r="GW66" s="54" t="inlineStr">
        <is>
          <t>Créd. Privado</t>
        </is>
      </c>
      <c r="GX66" s="54" t="inlineStr">
        <is>
          <t>Tít. Públicos</t>
        </is>
      </c>
      <c r="GY66" s="54" t="inlineStr">
        <is>
          <t>Produção Tot.</t>
        </is>
      </c>
      <c r="GZ66" s="54" t="inlineStr">
        <is>
          <t>Obs.</t>
        </is>
      </c>
      <c r="HA66" s="54" t="inlineStr">
        <is>
          <t>Saldo Pulso</t>
        </is>
      </c>
      <c r="HB66" s="54" t="inlineStr">
        <is>
          <t>Saldo Anterior</t>
        </is>
      </c>
      <c r="HC66" s="54" t="inlineStr">
        <is>
          <t>Captação Líq.</t>
        </is>
      </c>
      <c r="HD66" s="54" t="inlineStr">
        <is>
          <t>COE</t>
        </is>
      </c>
      <c r="HE66" s="54" t="inlineStr">
        <is>
          <t>Previdência</t>
        </is>
      </c>
      <c r="HF66" s="54" t="inlineStr">
        <is>
          <t>Créd. Privado</t>
        </is>
      </c>
      <c r="HG66" s="54" t="inlineStr">
        <is>
          <t>Tít. Públicos</t>
        </is>
      </c>
      <c r="HH66" s="54" t="inlineStr">
        <is>
          <t>Produção Tot.</t>
        </is>
      </c>
      <c r="HI66" s="54" t="inlineStr">
        <is>
          <t>Obs.</t>
        </is>
      </c>
      <c r="HJ66" s="54" t="inlineStr">
        <is>
          <t>Saldo Pulso</t>
        </is>
      </c>
      <c r="HK66" s="54" t="inlineStr">
        <is>
          <t>Saldo Anterior</t>
        </is>
      </c>
      <c r="HL66" s="54" t="inlineStr">
        <is>
          <t>Captação Líq.</t>
        </is>
      </c>
      <c r="HM66" s="54" t="inlineStr">
        <is>
          <t>COE</t>
        </is>
      </c>
      <c r="HN66" s="54" t="inlineStr">
        <is>
          <t>Previdência</t>
        </is>
      </c>
      <c r="HO66" s="54" t="inlineStr">
        <is>
          <t>Créd. Privado</t>
        </is>
      </c>
      <c r="HP66" s="54" t="inlineStr">
        <is>
          <t>Tít. Públicos</t>
        </is>
      </c>
      <c r="HQ66" s="54" t="inlineStr">
        <is>
          <t>Produção Tot.</t>
        </is>
      </c>
      <c r="HR66" s="54" t="inlineStr">
        <is>
          <t>Obs.</t>
        </is>
      </c>
      <c r="HS66" s="54" t="inlineStr">
        <is>
          <t>Saldo Pulso</t>
        </is>
      </c>
      <c r="HT66" s="54" t="inlineStr">
        <is>
          <t>Saldo Anterior</t>
        </is>
      </c>
      <c r="HU66" s="54" t="inlineStr">
        <is>
          <t>Captação Líq.</t>
        </is>
      </c>
      <c r="HV66" s="54" t="inlineStr">
        <is>
          <t>COE</t>
        </is>
      </c>
      <c r="HW66" s="54" t="inlineStr">
        <is>
          <t>Previdência</t>
        </is>
      </c>
      <c r="HX66" s="54" t="inlineStr">
        <is>
          <t>Créd. Privado</t>
        </is>
      </c>
      <c r="HY66" s="54" t="inlineStr">
        <is>
          <t>Tít. Públicos</t>
        </is>
      </c>
      <c r="HZ66" s="54" t="inlineStr">
        <is>
          <t>Produção Tot.</t>
        </is>
      </c>
      <c r="IA66" s="54" t="inlineStr">
        <is>
          <t>Obs.</t>
        </is>
      </c>
      <c r="IB66" s="54" t="inlineStr">
        <is>
          <t>Saldo Pulso</t>
        </is>
      </c>
      <c r="IC66" s="54" t="inlineStr">
        <is>
          <t>Saldo Anterior</t>
        </is>
      </c>
      <c r="ID66" s="54" t="inlineStr">
        <is>
          <t>Captação Líq.</t>
        </is>
      </c>
      <c r="IE66" s="54" t="inlineStr">
        <is>
          <t>COE</t>
        </is>
      </c>
      <c r="IF66" s="54" t="inlineStr">
        <is>
          <t>Previdência</t>
        </is>
      </c>
      <c r="IG66" s="54" t="inlineStr">
        <is>
          <t>Créd. Privado</t>
        </is>
      </c>
      <c r="IH66" s="54" t="inlineStr">
        <is>
          <t>Tít. Públicos</t>
        </is>
      </c>
      <c r="II66" s="54" t="inlineStr">
        <is>
          <t>Produção Tot.</t>
        </is>
      </c>
      <c r="IJ66" s="54" t="inlineStr">
        <is>
          <t>Obs.</t>
        </is>
      </c>
      <c r="IK66" s="54" t="inlineStr">
        <is>
          <t>Saldo Pulso</t>
        </is>
      </c>
      <c r="IL66" s="54" t="inlineStr">
        <is>
          <t>Saldo Anterior</t>
        </is>
      </c>
      <c r="IM66" s="54" t="inlineStr">
        <is>
          <t>Captação Líq.</t>
        </is>
      </c>
      <c r="IN66" s="54" t="inlineStr">
        <is>
          <t>COE</t>
        </is>
      </c>
      <c r="IO66" s="54" t="inlineStr">
        <is>
          <t>Previdência</t>
        </is>
      </c>
      <c r="IP66" s="54" t="inlineStr">
        <is>
          <t>Créd. Privado</t>
        </is>
      </c>
      <c r="IQ66" s="54" t="inlineStr">
        <is>
          <t>Tít. Públicos</t>
        </is>
      </c>
      <c r="IR66" s="54" t="inlineStr">
        <is>
          <t>Produção Tot.</t>
        </is>
      </c>
      <c r="IS66" s="54" t="inlineStr">
        <is>
          <t>Obs.</t>
        </is>
      </c>
      <c r="IT66" s="54" t="inlineStr">
        <is>
          <t>Saldo Pulso</t>
        </is>
      </c>
      <c r="IU66" s="54" t="inlineStr">
        <is>
          <t>Saldo Anterior</t>
        </is>
      </c>
      <c r="IV66" s="54" t="inlineStr">
        <is>
          <t>Captação Líq.</t>
        </is>
      </c>
      <c r="IW66" s="54" t="inlineStr">
        <is>
          <t>COE</t>
        </is>
      </c>
      <c r="IX66" s="54" t="inlineStr">
        <is>
          <t>Previdência</t>
        </is>
      </c>
      <c r="IY66" s="54" t="inlineStr">
        <is>
          <t>Créd. Privado</t>
        </is>
      </c>
      <c r="IZ66" s="54" t="inlineStr">
        <is>
          <t>Tít. Públicos</t>
        </is>
      </c>
      <c r="JA66" s="54" t="inlineStr">
        <is>
          <t>Produção Tot.</t>
        </is>
      </c>
      <c r="JB66" s="54" t="inlineStr">
        <is>
          <t>Obs.</t>
        </is>
      </c>
      <c r="JC66" s="54" t="inlineStr">
        <is>
          <t>Saldo Pulso</t>
        </is>
      </c>
      <c r="JD66" s="54" t="inlineStr">
        <is>
          <t>Saldo Anterior</t>
        </is>
      </c>
      <c r="JE66" s="54" t="inlineStr">
        <is>
          <t>Captação Líq.</t>
        </is>
      </c>
      <c r="JF66" s="54" t="inlineStr">
        <is>
          <t>COE</t>
        </is>
      </c>
      <c r="JG66" s="54" t="inlineStr">
        <is>
          <t>Previdência</t>
        </is>
      </c>
      <c r="JH66" s="54" t="inlineStr">
        <is>
          <t>Créd. Privado</t>
        </is>
      </c>
      <c r="JI66" s="54" t="inlineStr">
        <is>
          <t>Tít. Públicos</t>
        </is>
      </c>
      <c r="JJ66" s="54" t="inlineStr">
        <is>
          <t>Produção Tot.</t>
        </is>
      </c>
      <c r="JK66" s="54" t="inlineStr">
        <is>
          <t>Obs.</t>
        </is>
      </c>
      <c r="JL66" s="54" t="inlineStr">
        <is>
          <t>Saldo Pulso</t>
        </is>
      </c>
      <c r="JM66" s="54" t="inlineStr">
        <is>
          <t>Saldo Anterior</t>
        </is>
      </c>
      <c r="JN66" s="54" t="inlineStr">
        <is>
          <t>Captação Líq.</t>
        </is>
      </c>
      <c r="JO66" s="54" t="inlineStr">
        <is>
          <t>COE</t>
        </is>
      </c>
      <c r="JP66" s="54" t="inlineStr">
        <is>
          <t>Previdência</t>
        </is>
      </c>
      <c r="JQ66" s="54" t="inlineStr">
        <is>
          <t>Créd. Privado</t>
        </is>
      </c>
      <c r="JR66" s="54" t="inlineStr">
        <is>
          <t>Tít. Públicos</t>
        </is>
      </c>
      <c r="JS66" s="54" t="inlineStr">
        <is>
          <t>Produção Tot.</t>
        </is>
      </c>
      <c r="JT66" s="54" t="inlineStr">
        <is>
          <t>Obs.</t>
        </is>
      </c>
      <c r="JU66" s="55" t="n"/>
      <c r="JV66" s="55" t="n"/>
      <c r="JW66" s="55" t="n"/>
      <c r="JX66" s="55" t="n"/>
      <c r="JY66" s="55" t="n"/>
      <c r="JZ66" s="55" t="n"/>
      <c r="KA66" s="55" t="n"/>
    </row>
    <row r="67" ht="20" customHeight="1">
      <c r="A67" s="56">
        <f>IF(Configurações!$B$7="","Assessor 1",Configurações!$B$7)</f>
        <v/>
      </c>
      <c r="B67" s="57" t="n"/>
      <c r="C67" s="58">
        <f>'Setembro'!$JW67</f>
        <v/>
      </c>
      <c r="D67" s="59" t="n"/>
      <c r="E67" s="57" t="n"/>
      <c r="F67" s="57" t="n"/>
      <c r="G67" s="57" t="n"/>
      <c r="H67" s="57" t="n"/>
      <c r="I67" s="60">
        <f>SUM(E67:H67)</f>
        <v/>
      </c>
      <c r="J67" s="61" t="n"/>
      <c r="K67" s="57" t="n"/>
      <c r="L67" s="58">
        <f>B67</f>
        <v/>
      </c>
      <c r="M67" s="59" t="n"/>
      <c r="N67" s="57" t="n"/>
      <c r="O67" s="57" t="n"/>
      <c r="P67" s="57" t="n"/>
      <c r="Q67" s="57" t="n"/>
      <c r="R67" s="60">
        <f>SUM(N67:Q67)</f>
        <v/>
      </c>
      <c r="S67" s="61" t="n"/>
      <c r="T67" s="57" t="n"/>
      <c r="U67" s="58">
        <f>K67</f>
        <v/>
      </c>
      <c r="V67" s="59" t="n"/>
      <c r="W67" s="57" t="n"/>
      <c r="X67" s="57" t="n"/>
      <c r="Y67" s="57" t="n"/>
      <c r="Z67" s="57" t="n"/>
      <c r="AA67" s="60">
        <f>SUM(W67:Z67)</f>
        <v/>
      </c>
      <c r="AB67" s="61" t="n"/>
      <c r="AC67" s="57" t="n"/>
      <c r="AD67" s="58">
        <f>T67</f>
        <v/>
      </c>
      <c r="AE67" s="59" t="n"/>
      <c r="AF67" s="57" t="n"/>
      <c r="AG67" s="57" t="n"/>
      <c r="AH67" s="57" t="n"/>
      <c r="AI67" s="57" t="n"/>
      <c r="AJ67" s="60">
        <f>SUM(AF67:AI67)</f>
        <v/>
      </c>
      <c r="AK67" s="61" t="n"/>
      <c r="AL67" s="57" t="n"/>
      <c r="AM67" s="58">
        <f>AC67</f>
        <v/>
      </c>
      <c r="AN67" s="59" t="n"/>
      <c r="AO67" s="57" t="n"/>
      <c r="AP67" s="57" t="n"/>
      <c r="AQ67" s="57" t="n"/>
      <c r="AR67" s="57" t="n"/>
      <c r="AS67" s="60">
        <f>SUM(AO67:AR67)</f>
        <v/>
      </c>
      <c r="AT67" s="61" t="n"/>
      <c r="AU67" s="57" t="n"/>
      <c r="AV67" s="58">
        <f>AL67</f>
        <v/>
      </c>
      <c r="AW67" s="59" t="n"/>
      <c r="AX67" s="57" t="n"/>
      <c r="AY67" s="57" t="n"/>
      <c r="AZ67" s="57" t="n"/>
      <c r="BA67" s="57" t="n"/>
      <c r="BB67" s="60">
        <f>SUM(AX67:BA67)</f>
        <v/>
      </c>
      <c r="BC67" s="61" t="n"/>
      <c r="BD67" s="57" t="n"/>
      <c r="BE67" s="58">
        <f>AU67</f>
        <v/>
      </c>
      <c r="BF67" s="59" t="n"/>
      <c r="BG67" s="57" t="n"/>
      <c r="BH67" s="57" t="n"/>
      <c r="BI67" s="57" t="n"/>
      <c r="BJ67" s="57" t="n"/>
      <c r="BK67" s="60">
        <f>SUM(BG67:BJ67)</f>
        <v/>
      </c>
      <c r="BL67" s="61" t="n"/>
      <c r="BM67" s="57" t="n"/>
      <c r="BN67" s="58">
        <f>BD67</f>
        <v/>
      </c>
      <c r="BO67" s="59" t="n"/>
      <c r="BP67" s="57" t="n"/>
      <c r="BQ67" s="57" t="n"/>
      <c r="BR67" s="57" t="n"/>
      <c r="BS67" s="57" t="n"/>
      <c r="BT67" s="60">
        <f>SUM(BP67:BS67)</f>
        <v/>
      </c>
      <c r="BU67" s="61" t="n"/>
      <c r="BV67" s="57" t="n"/>
      <c r="BW67" s="58">
        <f>BM67</f>
        <v/>
      </c>
      <c r="BX67" s="59" t="n"/>
      <c r="BY67" s="57" t="n"/>
      <c r="BZ67" s="57" t="n"/>
      <c r="CA67" s="57" t="n"/>
      <c r="CB67" s="57" t="n"/>
      <c r="CC67" s="60">
        <f>SUM(BY67:CB67)</f>
        <v/>
      </c>
      <c r="CD67" s="61" t="n"/>
      <c r="CE67" s="57" t="n"/>
      <c r="CF67" s="58">
        <f>BV67</f>
        <v/>
      </c>
      <c r="CG67" s="59" t="n"/>
      <c r="CH67" s="57" t="n"/>
      <c r="CI67" s="57" t="n"/>
      <c r="CJ67" s="57" t="n"/>
      <c r="CK67" s="57" t="n"/>
      <c r="CL67" s="60">
        <f>SUM(CH67:CK67)</f>
        <v/>
      </c>
      <c r="CM67" s="61" t="n"/>
      <c r="CN67" s="57" t="n"/>
      <c r="CO67" s="58">
        <f>CE67</f>
        <v/>
      </c>
      <c r="CP67" s="59" t="n"/>
      <c r="CQ67" s="57" t="n"/>
      <c r="CR67" s="57" t="n"/>
      <c r="CS67" s="57" t="n"/>
      <c r="CT67" s="57" t="n"/>
      <c r="CU67" s="60">
        <f>SUM(CQ67:CT67)</f>
        <v/>
      </c>
      <c r="CV67" s="61" t="n"/>
      <c r="CW67" s="57" t="n"/>
      <c r="CX67" s="58">
        <f>CN67</f>
        <v/>
      </c>
      <c r="CY67" s="59" t="n"/>
      <c r="CZ67" s="57" t="n"/>
      <c r="DA67" s="57" t="n"/>
      <c r="DB67" s="57" t="n"/>
      <c r="DC67" s="57" t="n"/>
      <c r="DD67" s="60">
        <f>SUM(CZ67:DC67)</f>
        <v/>
      </c>
      <c r="DE67" s="61" t="n"/>
      <c r="DF67" s="57" t="n"/>
      <c r="DG67" s="58">
        <f>CW67</f>
        <v/>
      </c>
      <c r="DH67" s="59" t="n"/>
      <c r="DI67" s="57" t="n"/>
      <c r="DJ67" s="57" t="n"/>
      <c r="DK67" s="57" t="n"/>
      <c r="DL67" s="57" t="n"/>
      <c r="DM67" s="60">
        <f>SUM(DI67:DL67)</f>
        <v/>
      </c>
      <c r="DN67" s="61" t="n"/>
      <c r="DO67" s="57" t="n"/>
      <c r="DP67" s="58">
        <f>DF67</f>
        <v/>
      </c>
      <c r="DQ67" s="59" t="n"/>
      <c r="DR67" s="57" t="n"/>
      <c r="DS67" s="57" t="n"/>
      <c r="DT67" s="57" t="n"/>
      <c r="DU67" s="57" t="n"/>
      <c r="DV67" s="60">
        <f>SUM(DR67:DU67)</f>
        <v/>
      </c>
      <c r="DW67" s="61" t="n"/>
      <c r="DX67" s="57" t="n"/>
      <c r="DY67" s="58">
        <f>DO67</f>
        <v/>
      </c>
      <c r="DZ67" s="59" t="n"/>
      <c r="EA67" s="57" t="n"/>
      <c r="EB67" s="57" t="n"/>
      <c r="EC67" s="57" t="n"/>
      <c r="ED67" s="57" t="n"/>
      <c r="EE67" s="60">
        <f>SUM(EA67:ED67)</f>
        <v/>
      </c>
      <c r="EF67" s="61" t="n"/>
      <c r="EG67" s="57" t="n"/>
      <c r="EH67" s="58">
        <f>DX67</f>
        <v/>
      </c>
      <c r="EI67" s="59" t="n"/>
      <c r="EJ67" s="57" t="n"/>
      <c r="EK67" s="57" t="n"/>
      <c r="EL67" s="57" t="n"/>
      <c r="EM67" s="57" t="n"/>
      <c r="EN67" s="60">
        <f>SUM(EJ67:EM67)</f>
        <v/>
      </c>
      <c r="EO67" s="61" t="n"/>
      <c r="EP67" s="57" t="n"/>
      <c r="EQ67" s="58">
        <f>EG67</f>
        <v/>
      </c>
      <c r="ER67" s="59" t="n"/>
      <c r="ES67" s="57" t="n"/>
      <c r="ET67" s="57" t="n"/>
      <c r="EU67" s="57" t="n"/>
      <c r="EV67" s="57" t="n"/>
      <c r="EW67" s="60">
        <f>SUM(ES67:EV67)</f>
        <v/>
      </c>
      <c r="EX67" s="61" t="n"/>
      <c r="EY67" s="57" t="n"/>
      <c r="EZ67" s="58">
        <f>EP67</f>
        <v/>
      </c>
      <c r="FA67" s="59" t="n"/>
      <c r="FB67" s="57" t="n"/>
      <c r="FC67" s="57" t="n"/>
      <c r="FD67" s="57" t="n"/>
      <c r="FE67" s="57" t="n"/>
      <c r="FF67" s="60">
        <f>SUM(FB67:FE67)</f>
        <v/>
      </c>
      <c r="FG67" s="61" t="n"/>
      <c r="FH67" s="57" t="n"/>
      <c r="FI67" s="58">
        <f>EY67</f>
        <v/>
      </c>
      <c r="FJ67" s="59" t="n"/>
      <c r="FK67" s="57" t="n"/>
      <c r="FL67" s="57" t="n"/>
      <c r="FM67" s="57" t="n"/>
      <c r="FN67" s="57" t="n"/>
      <c r="FO67" s="60">
        <f>SUM(FK67:FN67)</f>
        <v/>
      </c>
      <c r="FP67" s="61" t="n"/>
      <c r="FQ67" s="57" t="n"/>
      <c r="FR67" s="58">
        <f>FH67</f>
        <v/>
      </c>
      <c r="FS67" s="59" t="n"/>
      <c r="FT67" s="57" t="n"/>
      <c r="FU67" s="57" t="n"/>
      <c r="FV67" s="57" t="n"/>
      <c r="FW67" s="57" t="n"/>
      <c r="FX67" s="60">
        <f>SUM(FT67:FW67)</f>
        <v/>
      </c>
      <c r="FY67" s="61" t="n"/>
      <c r="FZ67" s="57" t="n"/>
      <c r="GA67" s="58">
        <f>FQ67</f>
        <v/>
      </c>
      <c r="GB67" s="59" t="n"/>
      <c r="GC67" s="57" t="n"/>
      <c r="GD67" s="57" t="n"/>
      <c r="GE67" s="57" t="n"/>
      <c r="GF67" s="57" t="n"/>
      <c r="GG67" s="60">
        <f>SUM(GC67:GF67)</f>
        <v/>
      </c>
      <c r="GH67" s="61" t="n"/>
      <c r="GI67" s="57" t="n"/>
      <c r="GJ67" s="58">
        <f>FZ67</f>
        <v/>
      </c>
      <c r="GK67" s="59" t="n"/>
      <c r="GL67" s="57" t="n"/>
      <c r="GM67" s="57" t="n"/>
      <c r="GN67" s="57" t="n"/>
      <c r="GO67" s="57" t="n"/>
      <c r="GP67" s="60">
        <f>SUM(GL67:GO67)</f>
        <v/>
      </c>
      <c r="GQ67" s="61" t="n"/>
      <c r="GR67" s="57" t="n"/>
      <c r="GS67" s="58">
        <f>GI67</f>
        <v/>
      </c>
      <c r="GT67" s="59" t="n"/>
      <c r="GU67" s="57" t="n"/>
      <c r="GV67" s="57" t="n"/>
      <c r="GW67" s="57" t="n"/>
      <c r="GX67" s="57" t="n"/>
      <c r="GY67" s="60">
        <f>SUM(GU67:GX67)</f>
        <v/>
      </c>
      <c r="GZ67" s="61" t="n"/>
      <c r="HA67" s="57" t="n"/>
      <c r="HB67" s="58">
        <f>GR67</f>
        <v/>
      </c>
      <c r="HC67" s="59" t="n"/>
      <c r="HD67" s="57" t="n"/>
      <c r="HE67" s="57" t="n"/>
      <c r="HF67" s="57" t="n"/>
      <c r="HG67" s="57" t="n"/>
      <c r="HH67" s="60">
        <f>SUM(HD67:HG67)</f>
        <v/>
      </c>
      <c r="HI67" s="61" t="n"/>
      <c r="HJ67" s="57" t="n"/>
      <c r="HK67" s="58">
        <f>HA67</f>
        <v/>
      </c>
      <c r="HL67" s="59" t="n"/>
      <c r="HM67" s="57" t="n"/>
      <c r="HN67" s="57" t="n"/>
      <c r="HO67" s="57" t="n"/>
      <c r="HP67" s="57" t="n"/>
      <c r="HQ67" s="60">
        <f>SUM(HM67:HP67)</f>
        <v/>
      </c>
      <c r="HR67" s="61" t="n"/>
      <c r="HS67" s="57" t="n"/>
      <c r="HT67" s="58">
        <f>HJ67</f>
        <v/>
      </c>
      <c r="HU67" s="59" t="n"/>
      <c r="HV67" s="57" t="n"/>
      <c r="HW67" s="57" t="n"/>
      <c r="HX67" s="57" t="n"/>
      <c r="HY67" s="57" t="n"/>
      <c r="HZ67" s="60">
        <f>SUM(HV67:HY67)</f>
        <v/>
      </c>
      <c r="IA67" s="61" t="n"/>
      <c r="IB67" s="57" t="n"/>
      <c r="IC67" s="58">
        <f>HS67</f>
        <v/>
      </c>
      <c r="ID67" s="59" t="n"/>
      <c r="IE67" s="57" t="n"/>
      <c r="IF67" s="57" t="n"/>
      <c r="IG67" s="57" t="n"/>
      <c r="IH67" s="57" t="n"/>
      <c r="II67" s="60">
        <f>SUM(IE67:IH67)</f>
        <v/>
      </c>
      <c r="IJ67" s="61" t="n"/>
      <c r="IK67" s="57" t="n"/>
      <c r="IL67" s="58">
        <f>IB67</f>
        <v/>
      </c>
      <c r="IM67" s="59" t="n"/>
      <c r="IN67" s="57" t="n"/>
      <c r="IO67" s="57" t="n"/>
      <c r="IP67" s="57" t="n"/>
      <c r="IQ67" s="57" t="n"/>
      <c r="IR67" s="60">
        <f>SUM(IN67:IQ67)</f>
        <v/>
      </c>
      <c r="IS67" s="61" t="n"/>
      <c r="IT67" s="57" t="n"/>
      <c r="IU67" s="58">
        <f>IK67</f>
        <v/>
      </c>
      <c r="IV67" s="59" t="n"/>
      <c r="IW67" s="57" t="n"/>
      <c r="IX67" s="57" t="n"/>
      <c r="IY67" s="57" t="n"/>
      <c r="IZ67" s="57" t="n"/>
      <c r="JA67" s="60">
        <f>SUM(IW67:IZ67)</f>
        <v/>
      </c>
      <c r="JB67" s="61" t="n"/>
      <c r="JC67" s="57" t="n"/>
      <c r="JD67" s="58">
        <f>IT67</f>
        <v/>
      </c>
      <c r="JE67" s="59" t="n"/>
      <c r="JF67" s="57" t="n"/>
      <c r="JG67" s="57" t="n"/>
      <c r="JH67" s="57" t="n"/>
      <c r="JI67" s="57" t="n"/>
      <c r="JJ67" s="60">
        <f>SUM(JF67:JI67)</f>
        <v/>
      </c>
      <c r="JK67" s="61" t="n"/>
      <c r="JL67" s="57" t="n"/>
      <c r="JM67" s="58">
        <f>JC67</f>
        <v/>
      </c>
      <c r="JN67" s="59" t="n"/>
      <c r="JO67" s="57" t="n"/>
      <c r="JP67" s="57" t="n"/>
      <c r="JQ67" s="57" t="n"/>
      <c r="JR67" s="57" t="n"/>
      <c r="JS67" s="60">
        <f>SUM(JO67:JR67)</f>
        <v/>
      </c>
      <c r="JT67" s="61" t="n"/>
      <c r="JU67" s="62">
        <f>I67+R67+AA67+AJ67+AS67+BB67+BK67+BT67+CC67+CL67+CU67+DD67+DM67+DV67+EE67+EN67+EW67+FF67+FO67+FX67+GG67+GP67+GY67+HH67+HQ67+HZ67+II67+IR67+JA67+JJ67+JS67</f>
        <v/>
      </c>
      <c r="JV67" s="63">
        <f>D67+M67+V67+AE67+AN67+AW67+BF67+BO67+BX67+CG67+CP67+CY67+DH67+DQ67+DZ67+EI67+ER67+FA67+FJ67+FS67+GB67+GK67+GT67+HC67+HL67+HU67+ID67+IM67+IV67+JE67+JN67</f>
        <v/>
      </c>
      <c r="JW67" s="62">
        <f>CHOOSE($Z$3,B67, K67, T67, AC67, AL67, AU67, BD67, BM67, BV67, CE67, CN67, CW67, DF67, DO67, DX67, EG67, EP67, EY67, FH67, FQ67, FZ67, GI67, GR67, HA67, HJ67, HS67, IB67, IK67, IT67, JC67, JL67)</f>
        <v/>
      </c>
      <c r="JX67" s="62">
        <f>IFERROR(JU67/$Z$3,0)</f>
        <v/>
      </c>
      <c r="JY67" s="62">
        <f>Configurações!$C$7</f>
        <v/>
      </c>
      <c r="JZ67" s="64">
        <f>IF(JY67=0,"— Sem meta",IF(JU67&gt;=JY67,"✓ Atingida","Em andamento"))</f>
        <v/>
      </c>
      <c r="KA67" s="65">
        <f>JU67+(13*0.0000001)</f>
        <v/>
      </c>
    </row>
    <row r="68" ht="20" customHeight="1">
      <c r="A68" s="56">
        <f>IF(Configurações!$B$8="","Assessor 2",Configurações!$B$8)</f>
        <v/>
      </c>
      <c r="B68" s="57" t="n"/>
      <c r="C68" s="66">
        <f>'Setembro'!$JW68</f>
        <v/>
      </c>
      <c r="D68" s="59" t="n"/>
      <c r="E68" s="57" t="n"/>
      <c r="F68" s="57" t="n"/>
      <c r="G68" s="57" t="n"/>
      <c r="H68" s="57" t="n"/>
      <c r="I68" s="67">
        <f>SUM(E68:H68)</f>
        <v/>
      </c>
      <c r="J68" s="61" t="n"/>
      <c r="K68" s="57" t="n"/>
      <c r="L68" s="66">
        <f>B68</f>
        <v/>
      </c>
      <c r="M68" s="59" t="n"/>
      <c r="N68" s="57" t="n"/>
      <c r="O68" s="57" t="n"/>
      <c r="P68" s="57" t="n"/>
      <c r="Q68" s="57" t="n"/>
      <c r="R68" s="67">
        <f>SUM(N68:Q68)</f>
        <v/>
      </c>
      <c r="S68" s="61" t="n"/>
      <c r="T68" s="57" t="n"/>
      <c r="U68" s="66">
        <f>K68</f>
        <v/>
      </c>
      <c r="V68" s="59" t="n"/>
      <c r="W68" s="57" t="n"/>
      <c r="X68" s="57" t="n"/>
      <c r="Y68" s="57" t="n"/>
      <c r="Z68" s="57" t="n"/>
      <c r="AA68" s="67">
        <f>SUM(W68:Z68)</f>
        <v/>
      </c>
      <c r="AB68" s="61" t="n"/>
      <c r="AC68" s="57" t="n"/>
      <c r="AD68" s="66">
        <f>T68</f>
        <v/>
      </c>
      <c r="AE68" s="59" t="n"/>
      <c r="AF68" s="57" t="n"/>
      <c r="AG68" s="57" t="n"/>
      <c r="AH68" s="57" t="n"/>
      <c r="AI68" s="57" t="n"/>
      <c r="AJ68" s="67">
        <f>SUM(AF68:AI68)</f>
        <v/>
      </c>
      <c r="AK68" s="61" t="n"/>
      <c r="AL68" s="57" t="n"/>
      <c r="AM68" s="66">
        <f>AC68</f>
        <v/>
      </c>
      <c r="AN68" s="59" t="n"/>
      <c r="AO68" s="57" t="n"/>
      <c r="AP68" s="57" t="n"/>
      <c r="AQ68" s="57" t="n"/>
      <c r="AR68" s="57" t="n"/>
      <c r="AS68" s="67">
        <f>SUM(AO68:AR68)</f>
        <v/>
      </c>
      <c r="AT68" s="61" t="n"/>
      <c r="AU68" s="57" t="n"/>
      <c r="AV68" s="66">
        <f>AL68</f>
        <v/>
      </c>
      <c r="AW68" s="59" t="n"/>
      <c r="AX68" s="57" t="n"/>
      <c r="AY68" s="57" t="n"/>
      <c r="AZ68" s="57" t="n"/>
      <c r="BA68" s="57" t="n"/>
      <c r="BB68" s="67">
        <f>SUM(AX68:BA68)</f>
        <v/>
      </c>
      <c r="BC68" s="61" t="n"/>
      <c r="BD68" s="57" t="n"/>
      <c r="BE68" s="66">
        <f>AU68</f>
        <v/>
      </c>
      <c r="BF68" s="59" t="n"/>
      <c r="BG68" s="57" t="n"/>
      <c r="BH68" s="57" t="n"/>
      <c r="BI68" s="57" t="n"/>
      <c r="BJ68" s="57" t="n"/>
      <c r="BK68" s="67">
        <f>SUM(BG68:BJ68)</f>
        <v/>
      </c>
      <c r="BL68" s="61" t="n"/>
      <c r="BM68" s="57" t="n"/>
      <c r="BN68" s="66">
        <f>BD68</f>
        <v/>
      </c>
      <c r="BO68" s="59" t="n"/>
      <c r="BP68" s="57" t="n"/>
      <c r="BQ68" s="57" t="n"/>
      <c r="BR68" s="57" t="n"/>
      <c r="BS68" s="57" t="n"/>
      <c r="BT68" s="67">
        <f>SUM(BP68:BS68)</f>
        <v/>
      </c>
      <c r="BU68" s="61" t="n"/>
      <c r="BV68" s="57" t="n"/>
      <c r="BW68" s="66">
        <f>BM68</f>
        <v/>
      </c>
      <c r="BX68" s="59" t="n"/>
      <c r="BY68" s="57" t="n"/>
      <c r="BZ68" s="57" t="n"/>
      <c r="CA68" s="57" t="n"/>
      <c r="CB68" s="57" t="n"/>
      <c r="CC68" s="67">
        <f>SUM(BY68:CB68)</f>
        <v/>
      </c>
      <c r="CD68" s="61" t="n"/>
      <c r="CE68" s="57" t="n"/>
      <c r="CF68" s="66">
        <f>BV68</f>
        <v/>
      </c>
      <c r="CG68" s="59" t="n"/>
      <c r="CH68" s="57" t="n"/>
      <c r="CI68" s="57" t="n"/>
      <c r="CJ68" s="57" t="n"/>
      <c r="CK68" s="57" t="n"/>
      <c r="CL68" s="67">
        <f>SUM(CH68:CK68)</f>
        <v/>
      </c>
      <c r="CM68" s="61" t="n"/>
      <c r="CN68" s="57" t="n"/>
      <c r="CO68" s="66">
        <f>CE68</f>
        <v/>
      </c>
      <c r="CP68" s="59" t="n"/>
      <c r="CQ68" s="57" t="n"/>
      <c r="CR68" s="57" t="n"/>
      <c r="CS68" s="57" t="n"/>
      <c r="CT68" s="57" t="n"/>
      <c r="CU68" s="67">
        <f>SUM(CQ68:CT68)</f>
        <v/>
      </c>
      <c r="CV68" s="61" t="n"/>
      <c r="CW68" s="57" t="n"/>
      <c r="CX68" s="66">
        <f>CN68</f>
        <v/>
      </c>
      <c r="CY68" s="59" t="n"/>
      <c r="CZ68" s="57" t="n"/>
      <c r="DA68" s="57" t="n"/>
      <c r="DB68" s="57" t="n"/>
      <c r="DC68" s="57" t="n"/>
      <c r="DD68" s="67">
        <f>SUM(CZ68:DC68)</f>
        <v/>
      </c>
      <c r="DE68" s="61" t="n"/>
      <c r="DF68" s="57" t="n"/>
      <c r="DG68" s="66">
        <f>CW68</f>
        <v/>
      </c>
      <c r="DH68" s="59" t="n"/>
      <c r="DI68" s="57" t="n"/>
      <c r="DJ68" s="57" t="n"/>
      <c r="DK68" s="57" t="n"/>
      <c r="DL68" s="57" t="n"/>
      <c r="DM68" s="67">
        <f>SUM(DI68:DL68)</f>
        <v/>
      </c>
      <c r="DN68" s="61" t="n"/>
      <c r="DO68" s="57" t="n"/>
      <c r="DP68" s="66">
        <f>DF68</f>
        <v/>
      </c>
      <c r="DQ68" s="59" t="n"/>
      <c r="DR68" s="57" t="n"/>
      <c r="DS68" s="57" t="n"/>
      <c r="DT68" s="57" t="n"/>
      <c r="DU68" s="57" t="n"/>
      <c r="DV68" s="67">
        <f>SUM(DR68:DU68)</f>
        <v/>
      </c>
      <c r="DW68" s="61" t="n"/>
      <c r="DX68" s="57" t="n"/>
      <c r="DY68" s="66">
        <f>DO68</f>
        <v/>
      </c>
      <c r="DZ68" s="59" t="n"/>
      <c r="EA68" s="57" t="n"/>
      <c r="EB68" s="57" t="n"/>
      <c r="EC68" s="57" t="n"/>
      <c r="ED68" s="57" t="n"/>
      <c r="EE68" s="67">
        <f>SUM(EA68:ED68)</f>
        <v/>
      </c>
      <c r="EF68" s="61" t="n"/>
      <c r="EG68" s="57" t="n"/>
      <c r="EH68" s="66">
        <f>DX68</f>
        <v/>
      </c>
      <c r="EI68" s="59" t="n"/>
      <c r="EJ68" s="57" t="n"/>
      <c r="EK68" s="57" t="n"/>
      <c r="EL68" s="57" t="n"/>
      <c r="EM68" s="57" t="n"/>
      <c r="EN68" s="67">
        <f>SUM(EJ68:EM68)</f>
        <v/>
      </c>
      <c r="EO68" s="61" t="n"/>
      <c r="EP68" s="57" t="n"/>
      <c r="EQ68" s="66">
        <f>EG68</f>
        <v/>
      </c>
      <c r="ER68" s="59" t="n"/>
      <c r="ES68" s="57" t="n"/>
      <c r="ET68" s="57" t="n"/>
      <c r="EU68" s="57" t="n"/>
      <c r="EV68" s="57" t="n"/>
      <c r="EW68" s="67">
        <f>SUM(ES68:EV68)</f>
        <v/>
      </c>
      <c r="EX68" s="61" t="n"/>
      <c r="EY68" s="57" t="n"/>
      <c r="EZ68" s="66">
        <f>EP68</f>
        <v/>
      </c>
      <c r="FA68" s="59" t="n"/>
      <c r="FB68" s="57" t="n"/>
      <c r="FC68" s="57" t="n"/>
      <c r="FD68" s="57" t="n"/>
      <c r="FE68" s="57" t="n"/>
      <c r="FF68" s="67">
        <f>SUM(FB68:FE68)</f>
        <v/>
      </c>
      <c r="FG68" s="61" t="n"/>
      <c r="FH68" s="57" t="n"/>
      <c r="FI68" s="66">
        <f>EY68</f>
        <v/>
      </c>
      <c r="FJ68" s="59" t="n"/>
      <c r="FK68" s="57" t="n"/>
      <c r="FL68" s="57" t="n"/>
      <c r="FM68" s="57" t="n"/>
      <c r="FN68" s="57" t="n"/>
      <c r="FO68" s="67">
        <f>SUM(FK68:FN68)</f>
        <v/>
      </c>
      <c r="FP68" s="61" t="n"/>
      <c r="FQ68" s="57" t="n"/>
      <c r="FR68" s="66">
        <f>FH68</f>
        <v/>
      </c>
      <c r="FS68" s="59" t="n"/>
      <c r="FT68" s="57" t="n"/>
      <c r="FU68" s="57" t="n"/>
      <c r="FV68" s="57" t="n"/>
      <c r="FW68" s="57" t="n"/>
      <c r="FX68" s="67">
        <f>SUM(FT68:FW68)</f>
        <v/>
      </c>
      <c r="FY68" s="61" t="n"/>
      <c r="FZ68" s="57" t="n"/>
      <c r="GA68" s="66">
        <f>FQ68</f>
        <v/>
      </c>
      <c r="GB68" s="59" t="n"/>
      <c r="GC68" s="57" t="n"/>
      <c r="GD68" s="57" t="n"/>
      <c r="GE68" s="57" t="n"/>
      <c r="GF68" s="57" t="n"/>
      <c r="GG68" s="67">
        <f>SUM(GC68:GF68)</f>
        <v/>
      </c>
      <c r="GH68" s="61" t="n"/>
      <c r="GI68" s="57" t="n"/>
      <c r="GJ68" s="66">
        <f>FZ68</f>
        <v/>
      </c>
      <c r="GK68" s="59" t="n"/>
      <c r="GL68" s="57" t="n"/>
      <c r="GM68" s="57" t="n"/>
      <c r="GN68" s="57" t="n"/>
      <c r="GO68" s="57" t="n"/>
      <c r="GP68" s="67">
        <f>SUM(GL68:GO68)</f>
        <v/>
      </c>
      <c r="GQ68" s="61" t="n"/>
      <c r="GR68" s="57" t="n"/>
      <c r="GS68" s="66">
        <f>GI68</f>
        <v/>
      </c>
      <c r="GT68" s="59" t="n"/>
      <c r="GU68" s="57" t="n"/>
      <c r="GV68" s="57" t="n"/>
      <c r="GW68" s="57" t="n"/>
      <c r="GX68" s="57" t="n"/>
      <c r="GY68" s="67">
        <f>SUM(GU68:GX68)</f>
        <v/>
      </c>
      <c r="GZ68" s="61" t="n"/>
      <c r="HA68" s="57" t="n"/>
      <c r="HB68" s="66">
        <f>GR68</f>
        <v/>
      </c>
      <c r="HC68" s="59" t="n"/>
      <c r="HD68" s="57" t="n"/>
      <c r="HE68" s="57" t="n"/>
      <c r="HF68" s="57" t="n"/>
      <c r="HG68" s="57" t="n"/>
      <c r="HH68" s="67">
        <f>SUM(HD68:HG68)</f>
        <v/>
      </c>
      <c r="HI68" s="61" t="n"/>
      <c r="HJ68" s="57" t="n"/>
      <c r="HK68" s="66">
        <f>HA68</f>
        <v/>
      </c>
      <c r="HL68" s="59" t="n"/>
      <c r="HM68" s="57" t="n"/>
      <c r="HN68" s="57" t="n"/>
      <c r="HO68" s="57" t="n"/>
      <c r="HP68" s="57" t="n"/>
      <c r="HQ68" s="67">
        <f>SUM(HM68:HP68)</f>
        <v/>
      </c>
      <c r="HR68" s="61" t="n"/>
      <c r="HS68" s="57" t="n"/>
      <c r="HT68" s="66">
        <f>HJ68</f>
        <v/>
      </c>
      <c r="HU68" s="59" t="n"/>
      <c r="HV68" s="57" t="n"/>
      <c r="HW68" s="57" t="n"/>
      <c r="HX68" s="57" t="n"/>
      <c r="HY68" s="57" t="n"/>
      <c r="HZ68" s="67">
        <f>SUM(HV68:HY68)</f>
        <v/>
      </c>
      <c r="IA68" s="61" t="n"/>
      <c r="IB68" s="57" t="n"/>
      <c r="IC68" s="66">
        <f>HS68</f>
        <v/>
      </c>
      <c r="ID68" s="59" t="n"/>
      <c r="IE68" s="57" t="n"/>
      <c r="IF68" s="57" t="n"/>
      <c r="IG68" s="57" t="n"/>
      <c r="IH68" s="57" t="n"/>
      <c r="II68" s="67">
        <f>SUM(IE68:IH68)</f>
        <v/>
      </c>
      <c r="IJ68" s="61" t="n"/>
      <c r="IK68" s="57" t="n"/>
      <c r="IL68" s="66">
        <f>IB68</f>
        <v/>
      </c>
      <c r="IM68" s="59" t="n"/>
      <c r="IN68" s="57" t="n"/>
      <c r="IO68" s="57" t="n"/>
      <c r="IP68" s="57" t="n"/>
      <c r="IQ68" s="57" t="n"/>
      <c r="IR68" s="67">
        <f>SUM(IN68:IQ68)</f>
        <v/>
      </c>
      <c r="IS68" s="61" t="n"/>
      <c r="IT68" s="57" t="n"/>
      <c r="IU68" s="66">
        <f>IK68</f>
        <v/>
      </c>
      <c r="IV68" s="59" t="n"/>
      <c r="IW68" s="57" t="n"/>
      <c r="IX68" s="57" t="n"/>
      <c r="IY68" s="57" t="n"/>
      <c r="IZ68" s="57" t="n"/>
      <c r="JA68" s="67">
        <f>SUM(IW68:IZ68)</f>
        <v/>
      </c>
      <c r="JB68" s="61" t="n"/>
      <c r="JC68" s="57" t="n"/>
      <c r="JD68" s="66">
        <f>IT68</f>
        <v/>
      </c>
      <c r="JE68" s="59" t="n"/>
      <c r="JF68" s="57" t="n"/>
      <c r="JG68" s="57" t="n"/>
      <c r="JH68" s="57" t="n"/>
      <c r="JI68" s="57" t="n"/>
      <c r="JJ68" s="67">
        <f>SUM(JF68:JI68)</f>
        <v/>
      </c>
      <c r="JK68" s="61" t="n"/>
      <c r="JL68" s="57" t="n"/>
      <c r="JM68" s="66">
        <f>JC68</f>
        <v/>
      </c>
      <c r="JN68" s="59" t="n"/>
      <c r="JO68" s="57" t="n"/>
      <c r="JP68" s="57" t="n"/>
      <c r="JQ68" s="57" t="n"/>
      <c r="JR68" s="57" t="n"/>
      <c r="JS68" s="67">
        <f>SUM(JO68:JR68)</f>
        <v/>
      </c>
      <c r="JT68" s="61" t="n"/>
      <c r="JU68" s="62">
        <f>I68+R68+AA68+AJ68+AS68+BB68+BK68+BT68+CC68+CL68+CU68+DD68+DM68+DV68+EE68+EN68+EW68+FF68+FO68+FX68+GG68+GP68+GY68+HH68+HQ68+HZ68+II68+IR68+JA68+JJ68+JS68</f>
        <v/>
      </c>
      <c r="JV68" s="63">
        <f>D68+M68+V68+AE68+AN68+AW68+BF68+BO68+BX68+CG68+CP68+CY68+DH68+DQ68+DZ68+EI68+ER68+FA68+FJ68+FS68+GB68+GK68+GT68+HC68+HL68+HU68+ID68+IM68+IV68+JE68+JN68</f>
        <v/>
      </c>
      <c r="JW68" s="62">
        <f>CHOOSE($Z$3,B68, K68, T68, AC68, AL68, AU68, BD68, BM68, BV68, CE68, CN68, CW68, DF68, DO68, DX68, EG68, EP68, EY68, FH68, FQ68, FZ68, GI68, GR68, HA68, HJ68, HS68, IB68, IK68, IT68, JC68, JL68)</f>
        <v/>
      </c>
      <c r="JX68" s="62">
        <f>IFERROR(JU68/$Z$3,0)</f>
        <v/>
      </c>
      <c r="JY68" s="62">
        <f>Configurações!$C$8</f>
        <v/>
      </c>
      <c r="JZ68" s="64">
        <f>IF(JY68=0,"— Sem meta",IF(JU68&gt;=JY68,"✓ Atingida","Em andamento"))</f>
        <v/>
      </c>
      <c r="KA68" s="65">
        <f>JU68+(12*0.0000001)</f>
        <v/>
      </c>
    </row>
    <row r="69" ht="20" customHeight="1">
      <c r="A69" s="56">
        <f>IF(Configurações!$B$9="","Assessor 3",Configurações!$B$9)</f>
        <v/>
      </c>
      <c r="B69" s="57" t="n"/>
      <c r="C69" s="58">
        <f>'Setembro'!$JW69</f>
        <v/>
      </c>
      <c r="D69" s="59" t="n"/>
      <c r="E69" s="57" t="n"/>
      <c r="F69" s="57" t="n"/>
      <c r="G69" s="57" t="n"/>
      <c r="H69" s="57" t="n"/>
      <c r="I69" s="60">
        <f>SUM(E69:H69)</f>
        <v/>
      </c>
      <c r="J69" s="61" t="n"/>
      <c r="K69" s="57" t="n"/>
      <c r="L69" s="58">
        <f>B69</f>
        <v/>
      </c>
      <c r="M69" s="59" t="n"/>
      <c r="N69" s="57" t="n"/>
      <c r="O69" s="57" t="n"/>
      <c r="P69" s="57" t="n"/>
      <c r="Q69" s="57" t="n"/>
      <c r="R69" s="60">
        <f>SUM(N69:Q69)</f>
        <v/>
      </c>
      <c r="S69" s="61" t="n"/>
      <c r="T69" s="57" t="n"/>
      <c r="U69" s="58">
        <f>K69</f>
        <v/>
      </c>
      <c r="V69" s="59" t="n"/>
      <c r="W69" s="57" t="n"/>
      <c r="X69" s="57" t="n"/>
      <c r="Y69" s="57" t="n"/>
      <c r="Z69" s="57" t="n"/>
      <c r="AA69" s="60">
        <f>SUM(W69:Z69)</f>
        <v/>
      </c>
      <c r="AB69" s="61" t="n"/>
      <c r="AC69" s="57" t="n"/>
      <c r="AD69" s="58">
        <f>T69</f>
        <v/>
      </c>
      <c r="AE69" s="59" t="n"/>
      <c r="AF69" s="57" t="n"/>
      <c r="AG69" s="57" t="n"/>
      <c r="AH69" s="57" t="n"/>
      <c r="AI69" s="57" t="n"/>
      <c r="AJ69" s="60">
        <f>SUM(AF69:AI69)</f>
        <v/>
      </c>
      <c r="AK69" s="61" t="n"/>
      <c r="AL69" s="57" t="n"/>
      <c r="AM69" s="58">
        <f>AC69</f>
        <v/>
      </c>
      <c r="AN69" s="59" t="n"/>
      <c r="AO69" s="57" t="n"/>
      <c r="AP69" s="57" t="n"/>
      <c r="AQ69" s="57" t="n"/>
      <c r="AR69" s="57" t="n"/>
      <c r="AS69" s="60">
        <f>SUM(AO69:AR69)</f>
        <v/>
      </c>
      <c r="AT69" s="61" t="n"/>
      <c r="AU69" s="57" t="n"/>
      <c r="AV69" s="58">
        <f>AL69</f>
        <v/>
      </c>
      <c r="AW69" s="59" t="n"/>
      <c r="AX69" s="57" t="n"/>
      <c r="AY69" s="57" t="n"/>
      <c r="AZ69" s="57" t="n"/>
      <c r="BA69" s="57" t="n"/>
      <c r="BB69" s="60">
        <f>SUM(AX69:BA69)</f>
        <v/>
      </c>
      <c r="BC69" s="61" t="n"/>
      <c r="BD69" s="57" t="n"/>
      <c r="BE69" s="58">
        <f>AU69</f>
        <v/>
      </c>
      <c r="BF69" s="59" t="n"/>
      <c r="BG69" s="57" t="n"/>
      <c r="BH69" s="57" t="n"/>
      <c r="BI69" s="57" t="n"/>
      <c r="BJ69" s="57" t="n"/>
      <c r="BK69" s="60">
        <f>SUM(BG69:BJ69)</f>
        <v/>
      </c>
      <c r="BL69" s="61" t="n"/>
      <c r="BM69" s="57" t="n"/>
      <c r="BN69" s="58">
        <f>BD69</f>
        <v/>
      </c>
      <c r="BO69" s="59" t="n"/>
      <c r="BP69" s="57" t="n"/>
      <c r="BQ69" s="57" t="n"/>
      <c r="BR69" s="57" t="n"/>
      <c r="BS69" s="57" t="n"/>
      <c r="BT69" s="60">
        <f>SUM(BP69:BS69)</f>
        <v/>
      </c>
      <c r="BU69" s="61" t="n"/>
      <c r="BV69" s="57" t="n"/>
      <c r="BW69" s="58">
        <f>BM69</f>
        <v/>
      </c>
      <c r="BX69" s="59" t="n"/>
      <c r="BY69" s="57" t="n"/>
      <c r="BZ69" s="57" t="n"/>
      <c r="CA69" s="57" t="n"/>
      <c r="CB69" s="57" t="n"/>
      <c r="CC69" s="60">
        <f>SUM(BY69:CB69)</f>
        <v/>
      </c>
      <c r="CD69" s="61" t="n"/>
      <c r="CE69" s="57" t="n"/>
      <c r="CF69" s="58">
        <f>BV69</f>
        <v/>
      </c>
      <c r="CG69" s="59" t="n"/>
      <c r="CH69" s="57" t="n"/>
      <c r="CI69" s="57" t="n"/>
      <c r="CJ69" s="57" t="n"/>
      <c r="CK69" s="57" t="n"/>
      <c r="CL69" s="60">
        <f>SUM(CH69:CK69)</f>
        <v/>
      </c>
      <c r="CM69" s="61" t="n"/>
      <c r="CN69" s="57" t="n"/>
      <c r="CO69" s="58">
        <f>CE69</f>
        <v/>
      </c>
      <c r="CP69" s="59" t="n"/>
      <c r="CQ69" s="57" t="n"/>
      <c r="CR69" s="57" t="n"/>
      <c r="CS69" s="57" t="n"/>
      <c r="CT69" s="57" t="n"/>
      <c r="CU69" s="60">
        <f>SUM(CQ69:CT69)</f>
        <v/>
      </c>
      <c r="CV69" s="61" t="n"/>
      <c r="CW69" s="57" t="n"/>
      <c r="CX69" s="58">
        <f>CN69</f>
        <v/>
      </c>
      <c r="CY69" s="59" t="n"/>
      <c r="CZ69" s="57" t="n"/>
      <c r="DA69" s="57" t="n"/>
      <c r="DB69" s="57" t="n"/>
      <c r="DC69" s="57" t="n"/>
      <c r="DD69" s="60">
        <f>SUM(CZ69:DC69)</f>
        <v/>
      </c>
      <c r="DE69" s="61" t="n"/>
      <c r="DF69" s="57" t="n"/>
      <c r="DG69" s="58">
        <f>CW69</f>
        <v/>
      </c>
      <c r="DH69" s="59" t="n"/>
      <c r="DI69" s="57" t="n"/>
      <c r="DJ69" s="57" t="n"/>
      <c r="DK69" s="57" t="n"/>
      <c r="DL69" s="57" t="n"/>
      <c r="DM69" s="60">
        <f>SUM(DI69:DL69)</f>
        <v/>
      </c>
      <c r="DN69" s="61" t="n"/>
      <c r="DO69" s="57" t="n"/>
      <c r="DP69" s="58">
        <f>DF69</f>
        <v/>
      </c>
      <c r="DQ69" s="59" t="n"/>
      <c r="DR69" s="57" t="n"/>
      <c r="DS69" s="57" t="n"/>
      <c r="DT69" s="57" t="n"/>
      <c r="DU69" s="57" t="n"/>
      <c r="DV69" s="60">
        <f>SUM(DR69:DU69)</f>
        <v/>
      </c>
      <c r="DW69" s="61" t="n"/>
      <c r="DX69" s="57" t="n"/>
      <c r="DY69" s="58">
        <f>DO69</f>
        <v/>
      </c>
      <c r="DZ69" s="59" t="n"/>
      <c r="EA69" s="57" t="n"/>
      <c r="EB69" s="57" t="n"/>
      <c r="EC69" s="57" t="n"/>
      <c r="ED69" s="57" t="n"/>
      <c r="EE69" s="60">
        <f>SUM(EA69:ED69)</f>
        <v/>
      </c>
      <c r="EF69" s="61" t="n"/>
      <c r="EG69" s="57" t="n"/>
      <c r="EH69" s="58">
        <f>DX69</f>
        <v/>
      </c>
      <c r="EI69" s="59" t="n"/>
      <c r="EJ69" s="57" t="n"/>
      <c r="EK69" s="57" t="n"/>
      <c r="EL69" s="57" t="n"/>
      <c r="EM69" s="57" t="n"/>
      <c r="EN69" s="60">
        <f>SUM(EJ69:EM69)</f>
        <v/>
      </c>
      <c r="EO69" s="61" t="n"/>
      <c r="EP69" s="57" t="n"/>
      <c r="EQ69" s="58">
        <f>EG69</f>
        <v/>
      </c>
      <c r="ER69" s="59" t="n"/>
      <c r="ES69" s="57" t="n"/>
      <c r="ET69" s="57" t="n"/>
      <c r="EU69" s="57" t="n"/>
      <c r="EV69" s="57" t="n"/>
      <c r="EW69" s="60">
        <f>SUM(ES69:EV69)</f>
        <v/>
      </c>
      <c r="EX69" s="61" t="n"/>
      <c r="EY69" s="57" t="n"/>
      <c r="EZ69" s="58">
        <f>EP69</f>
        <v/>
      </c>
      <c r="FA69" s="59" t="n"/>
      <c r="FB69" s="57" t="n"/>
      <c r="FC69" s="57" t="n"/>
      <c r="FD69" s="57" t="n"/>
      <c r="FE69" s="57" t="n"/>
      <c r="FF69" s="60">
        <f>SUM(FB69:FE69)</f>
        <v/>
      </c>
      <c r="FG69" s="61" t="n"/>
      <c r="FH69" s="57" t="n"/>
      <c r="FI69" s="58">
        <f>EY69</f>
        <v/>
      </c>
      <c r="FJ69" s="59" t="n"/>
      <c r="FK69" s="57" t="n"/>
      <c r="FL69" s="57" t="n"/>
      <c r="FM69" s="57" t="n"/>
      <c r="FN69" s="57" t="n"/>
      <c r="FO69" s="60">
        <f>SUM(FK69:FN69)</f>
        <v/>
      </c>
      <c r="FP69" s="61" t="n"/>
      <c r="FQ69" s="57" t="n"/>
      <c r="FR69" s="58">
        <f>FH69</f>
        <v/>
      </c>
      <c r="FS69" s="59" t="n"/>
      <c r="FT69" s="57" t="n"/>
      <c r="FU69" s="57" t="n"/>
      <c r="FV69" s="57" t="n"/>
      <c r="FW69" s="57" t="n"/>
      <c r="FX69" s="60">
        <f>SUM(FT69:FW69)</f>
        <v/>
      </c>
      <c r="FY69" s="61" t="n"/>
      <c r="FZ69" s="57" t="n"/>
      <c r="GA69" s="58">
        <f>FQ69</f>
        <v/>
      </c>
      <c r="GB69" s="59" t="n"/>
      <c r="GC69" s="57" t="n"/>
      <c r="GD69" s="57" t="n"/>
      <c r="GE69" s="57" t="n"/>
      <c r="GF69" s="57" t="n"/>
      <c r="GG69" s="60">
        <f>SUM(GC69:GF69)</f>
        <v/>
      </c>
      <c r="GH69" s="61" t="n"/>
      <c r="GI69" s="57" t="n"/>
      <c r="GJ69" s="58">
        <f>FZ69</f>
        <v/>
      </c>
      <c r="GK69" s="59" t="n"/>
      <c r="GL69" s="57" t="n"/>
      <c r="GM69" s="57" t="n"/>
      <c r="GN69" s="57" t="n"/>
      <c r="GO69" s="57" t="n"/>
      <c r="GP69" s="60">
        <f>SUM(GL69:GO69)</f>
        <v/>
      </c>
      <c r="GQ69" s="61" t="n"/>
      <c r="GR69" s="57" t="n"/>
      <c r="GS69" s="58">
        <f>GI69</f>
        <v/>
      </c>
      <c r="GT69" s="59" t="n"/>
      <c r="GU69" s="57" t="n"/>
      <c r="GV69" s="57" t="n"/>
      <c r="GW69" s="57" t="n"/>
      <c r="GX69" s="57" t="n"/>
      <c r="GY69" s="60">
        <f>SUM(GU69:GX69)</f>
        <v/>
      </c>
      <c r="GZ69" s="61" t="n"/>
      <c r="HA69" s="57" t="n"/>
      <c r="HB69" s="58">
        <f>GR69</f>
        <v/>
      </c>
      <c r="HC69" s="59" t="n"/>
      <c r="HD69" s="57" t="n"/>
      <c r="HE69" s="57" t="n"/>
      <c r="HF69" s="57" t="n"/>
      <c r="HG69" s="57" t="n"/>
      <c r="HH69" s="60">
        <f>SUM(HD69:HG69)</f>
        <v/>
      </c>
      <c r="HI69" s="61" t="n"/>
      <c r="HJ69" s="57" t="n"/>
      <c r="HK69" s="58">
        <f>HA69</f>
        <v/>
      </c>
      <c r="HL69" s="59" t="n"/>
      <c r="HM69" s="57" t="n"/>
      <c r="HN69" s="57" t="n"/>
      <c r="HO69" s="57" t="n"/>
      <c r="HP69" s="57" t="n"/>
      <c r="HQ69" s="60">
        <f>SUM(HM69:HP69)</f>
        <v/>
      </c>
      <c r="HR69" s="61" t="n"/>
      <c r="HS69" s="57" t="n"/>
      <c r="HT69" s="58">
        <f>HJ69</f>
        <v/>
      </c>
      <c r="HU69" s="59" t="n"/>
      <c r="HV69" s="57" t="n"/>
      <c r="HW69" s="57" t="n"/>
      <c r="HX69" s="57" t="n"/>
      <c r="HY69" s="57" t="n"/>
      <c r="HZ69" s="60">
        <f>SUM(HV69:HY69)</f>
        <v/>
      </c>
      <c r="IA69" s="61" t="n"/>
      <c r="IB69" s="57" t="n"/>
      <c r="IC69" s="58">
        <f>HS69</f>
        <v/>
      </c>
      <c r="ID69" s="59" t="n"/>
      <c r="IE69" s="57" t="n"/>
      <c r="IF69" s="57" t="n"/>
      <c r="IG69" s="57" t="n"/>
      <c r="IH69" s="57" t="n"/>
      <c r="II69" s="60">
        <f>SUM(IE69:IH69)</f>
        <v/>
      </c>
      <c r="IJ69" s="61" t="n"/>
      <c r="IK69" s="57" t="n"/>
      <c r="IL69" s="58">
        <f>IB69</f>
        <v/>
      </c>
      <c r="IM69" s="59" t="n"/>
      <c r="IN69" s="57" t="n"/>
      <c r="IO69" s="57" t="n"/>
      <c r="IP69" s="57" t="n"/>
      <c r="IQ69" s="57" t="n"/>
      <c r="IR69" s="60">
        <f>SUM(IN69:IQ69)</f>
        <v/>
      </c>
      <c r="IS69" s="61" t="n"/>
      <c r="IT69" s="57" t="n"/>
      <c r="IU69" s="58">
        <f>IK69</f>
        <v/>
      </c>
      <c r="IV69" s="59" t="n"/>
      <c r="IW69" s="57" t="n"/>
      <c r="IX69" s="57" t="n"/>
      <c r="IY69" s="57" t="n"/>
      <c r="IZ69" s="57" t="n"/>
      <c r="JA69" s="60">
        <f>SUM(IW69:IZ69)</f>
        <v/>
      </c>
      <c r="JB69" s="61" t="n"/>
      <c r="JC69" s="57" t="n"/>
      <c r="JD69" s="58">
        <f>IT69</f>
        <v/>
      </c>
      <c r="JE69" s="59" t="n"/>
      <c r="JF69" s="57" t="n"/>
      <c r="JG69" s="57" t="n"/>
      <c r="JH69" s="57" t="n"/>
      <c r="JI69" s="57" t="n"/>
      <c r="JJ69" s="60">
        <f>SUM(JF69:JI69)</f>
        <v/>
      </c>
      <c r="JK69" s="61" t="n"/>
      <c r="JL69" s="57" t="n"/>
      <c r="JM69" s="58">
        <f>JC69</f>
        <v/>
      </c>
      <c r="JN69" s="59" t="n"/>
      <c r="JO69" s="57" t="n"/>
      <c r="JP69" s="57" t="n"/>
      <c r="JQ69" s="57" t="n"/>
      <c r="JR69" s="57" t="n"/>
      <c r="JS69" s="60">
        <f>SUM(JO69:JR69)</f>
        <v/>
      </c>
      <c r="JT69" s="61" t="n"/>
      <c r="JU69" s="62">
        <f>I69+R69+AA69+AJ69+AS69+BB69+BK69+BT69+CC69+CL69+CU69+DD69+DM69+DV69+EE69+EN69+EW69+FF69+FO69+FX69+GG69+GP69+GY69+HH69+HQ69+HZ69+II69+IR69+JA69+JJ69+JS69</f>
        <v/>
      </c>
      <c r="JV69" s="63">
        <f>D69+M69+V69+AE69+AN69+AW69+BF69+BO69+BX69+CG69+CP69+CY69+DH69+DQ69+DZ69+EI69+ER69+FA69+FJ69+FS69+GB69+GK69+GT69+HC69+HL69+HU69+ID69+IM69+IV69+JE69+JN69</f>
        <v/>
      </c>
      <c r="JW69" s="62">
        <f>CHOOSE($Z$3,B69, K69, T69, AC69, AL69, AU69, BD69, BM69, BV69, CE69, CN69, CW69, DF69, DO69, DX69, EG69, EP69, EY69, FH69, FQ69, FZ69, GI69, GR69, HA69, HJ69, HS69, IB69, IK69, IT69, JC69, JL69)</f>
        <v/>
      </c>
      <c r="JX69" s="62">
        <f>IFERROR(JU69/$Z$3,0)</f>
        <v/>
      </c>
      <c r="JY69" s="62">
        <f>Configurações!$C$9</f>
        <v/>
      </c>
      <c r="JZ69" s="64">
        <f>IF(JY69=0,"— Sem meta",IF(JU69&gt;=JY69,"✓ Atingida","Em andamento"))</f>
        <v/>
      </c>
      <c r="KA69" s="65">
        <f>JU69+(11*0.0000001)</f>
        <v/>
      </c>
    </row>
    <row r="70" ht="20" customHeight="1">
      <c r="A70" s="56">
        <f>IF(Configurações!$B$10="","Assessor 4",Configurações!$B$10)</f>
        <v/>
      </c>
      <c r="B70" s="57" t="n"/>
      <c r="C70" s="66">
        <f>'Setembro'!$JW70</f>
        <v/>
      </c>
      <c r="D70" s="59" t="n"/>
      <c r="E70" s="57" t="n"/>
      <c r="F70" s="57" t="n"/>
      <c r="G70" s="57" t="n"/>
      <c r="H70" s="57" t="n"/>
      <c r="I70" s="67">
        <f>SUM(E70:H70)</f>
        <v/>
      </c>
      <c r="J70" s="61" t="n"/>
      <c r="K70" s="57" t="n"/>
      <c r="L70" s="66">
        <f>B70</f>
        <v/>
      </c>
      <c r="M70" s="59" t="n"/>
      <c r="N70" s="57" t="n"/>
      <c r="O70" s="57" t="n"/>
      <c r="P70" s="57" t="n"/>
      <c r="Q70" s="57" t="n"/>
      <c r="R70" s="67">
        <f>SUM(N70:Q70)</f>
        <v/>
      </c>
      <c r="S70" s="61" t="n"/>
      <c r="T70" s="57" t="n"/>
      <c r="U70" s="66">
        <f>K70</f>
        <v/>
      </c>
      <c r="V70" s="59" t="n"/>
      <c r="W70" s="57" t="n"/>
      <c r="X70" s="57" t="n"/>
      <c r="Y70" s="57" t="n"/>
      <c r="Z70" s="57" t="n"/>
      <c r="AA70" s="67">
        <f>SUM(W70:Z70)</f>
        <v/>
      </c>
      <c r="AB70" s="61" t="n"/>
      <c r="AC70" s="57" t="n"/>
      <c r="AD70" s="66">
        <f>T70</f>
        <v/>
      </c>
      <c r="AE70" s="59" t="n"/>
      <c r="AF70" s="57" t="n"/>
      <c r="AG70" s="57" t="n"/>
      <c r="AH70" s="57" t="n"/>
      <c r="AI70" s="57" t="n"/>
      <c r="AJ70" s="67">
        <f>SUM(AF70:AI70)</f>
        <v/>
      </c>
      <c r="AK70" s="61" t="n"/>
      <c r="AL70" s="57" t="n"/>
      <c r="AM70" s="66">
        <f>AC70</f>
        <v/>
      </c>
      <c r="AN70" s="59" t="n"/>
      <c r="AO70" s="57" t="n"/>
      <c r="AP70" s="57" t="n"/>
      <c r="AQ70" s="57" t="n"/>
      <c r="AR70" s="57" t="n"/>
      <c r="AS70" s="67">
        <f>SUM(AO70:AR70)</f>
        <v/>
      </c>
      <c r="AT70" s="61" t="n"/>
      <c r="AU70" s="57" t="n"/>
      <c r="AV70" s="66">
        <f>AL70</f>
        <v/>
      </c>
      <c r="AW70" s="59" t="n"/>
      <c r="AX70" s="57" t="n"/>
      <c r="AY70" s="57" t="n"/>
      <c r="AZ70" s="57" t="n"/>
      <c r="BA70" s="57" t="n"/>
      <c r="BB70" s="67">
        <f>SUM(AX70:BA70)</f>
        <v/>
      </c>
      <c r="BC70" s="61" t="n"/>
      <c r="BD70" s="57" t="n"/>
      <c r="BE70" s="66">
        <f>AU70</f>
        <v/>
      </c>
      <c r="BF70" s="59" t="n"/>
      <c r="BG70" s="57" t="n"/>
      <c r="BH70" s="57" t="n"/>
      <c r="BI70" s="57" t="n"/>
      <c r="BJ70" s="57" t="n"/>
      <c r="BK70" s="67">
        <f>SUM(BG70:BJ70)</f>
        <v/>
      </c>
      <c r="BL70" s="61" t="n"/>
      <c r="BM70" s="57" t="n"/>
      <c r="BN70" s="66">
        <f>BD70</f>
        <v/>
      </c>
      <c r="BO70" s="59" t="n"/>
      <c r="BP70" s="57" t="n"/>
      <c r="BQ70" s="57" t="n"/>
      <c r="BR70" s="57" t="n"/>
      <c r="BS70" s="57" t="n"/>
      <c r="BT70" s="67">
        <f>SUM(BP70:BS70)</f>
        <v/>
      </c>
      <c r="BU70" s="61" t="n"/>
      <c r="BV70" s="57" t="n"/>
      <c r="BW70" s="66">
        <f>BM70</f>
        <v/>
      </c>
      <c r="BX70" s="59" t="n"/>
      <c r="BY70" s="57" t="n"/>
      <c r="BZ70" s="57" t="n"/>
      <c r="CA70" s="57" t="n"/>
      <c r="CB70" s="57" t="n"/>
      <c r="CC70" s="67">
        <f>SUM(BY70:CB70)</f>
        <v/>
      </c>
      <c r="CD70" s="61" t="n"/>
      <c r="CE70" s="57" t="n"/>
      <c r="CF70" s="66">
        <f>BV70</f>
        <v/>
      </c>
      <c r="CG70" s="59" t="n"/>
      <c r="CH70" s="57" t="n"/>
      <c r="CI70" s="57" t="n"/>
      <c r="CJ70" s="57" t="n"/>
      <c r="CK70" s="57" t="n"/>
      <c r="CL70" s="67">
        <f>SUM(CH70:CK70)</f>
        <v/>
      </c>
      <c r="CM70" s="61" t="n"/>
      <c r="CN70" s="57" t="n"/>
      <c r="CO70" s="66">
        <f>CE70</f>
        <v/>
      </c>
      <c r="CP70" s="59" t="n"/>
      <c r="CQ70" s="57" t="n"/>
      <c r="CR70" s="57" t="n"/>
      <c r="CS70" s="57" t="n"/>
      <c r="CT70" s="57" t="n"/>
      <c r="CU70" s="67">
        <f>SUM(CQ70:CT70)</f>
        <v/>
      </c>
      <c r="CV70" s="61" t="n"/>
      <c r="CW70" s="57" t="n"/>
      <c r="CX70" s="66">
        <f>CN70</f>
        <v/>
      </c>
      <c r="CY70" s="59" t="n"/>
      <c r="CZ70" s="57" t="n"/>
      <c r="DA70" s="57" t="n"/>
      <c r="DB70" s="57" t="n"/>
      <c r="DC70" s="57" t="n"/>
      <c r="DD70" s="67">
        <f>SUM(CZ70:DC70)</f>
        <v/>
      </c>
      <c r="DE70" s="61" t="n"/>
      <c r="DF70" s="57" t="n"/>
      <c r="DG70" s="66">
        <f>CW70</f>
        <v/>
      </c>
      <c r="DH70" s="59" t="n"/>
      <c r="DI70" s="57" t="n"/>
      <c r="DJ70" s="57" t="n"/>
      <c r="DK70" s="57" t="n"/>
      <c r="DL70" s="57" t="n"/>
      <c r="DM70" s="67">
        <f>SUM(DI70:DL70)</f>
        <v/>
      </c>
      <c r="DN70" s="61" t="n"/>
      <c r="DO70" s="57" t="n"/>
      <c r="DP70" s="66">
        <f>DF70</f>
        <v/>
      </c>
      <c r="DQ70" s="59" t="n"/>
      <c r="DR70" s="57" t="n"/>
      <c r="DS70" s="57" t="n"/>
      <c r="DT70" s="57" t="n"/>
      <c r="DU70" s="57" t="n"/>
      <c r="DV70" s="67">
        <f>SUM(DR70:DU70)</f>
        <v/>
      </c>
      <c r="DW70" s="61" t="n"/>
      <c r="DX70" s="57" t="n"/>
      <c r="DY70" s="66">
        <f>DO70</f>
        <v/>
      </c>
      <c r="DZ70" s="59" t="n"/>
      <c r="EA70" s="57" t="n"/>
      <c r="EB70" s="57" t="n"/>
      <c r="EC70" s="57" t="n"/>
      <c r="ED70" s="57" t="n"/>
      <c r="EE70" s="67">
        <f>SUM(EA70:ED70)</f>
        <v/>
      </c>
      <c r="EF70" s="61" t="n"/>
      <c r="EG70" s="57" t="n"/>
      <c r="EH70" s="66">
        <f>DX70</f>
        <v/>
      </c>
      <c r="EI70" s="59" t="n"/>
      <c r="EJ70" s="57" t="n"/>
      <c r="EK70" s="57" t="n"/>
      <c r="EL70" s="57" t="n"/>
      <c r="EM70" s="57" t="n"/>
      <c r="EN70" s="67">
        <f>SUM(EJ70:EM70)</f>
        <v/>
      </c>
      <c r="EO70" s="61" t="n"/>
      <c r="EP70" s="57" t="n"/>
      <c r="EQ70" s="66">
        <f>EG70</f>
        <v/>
      </c>
      <c r="ER70" s="59" t="n"/>
      <c r="ES70" s="57" t="n"/>
      <c r="ET70" s="57" t="n"/>
      <c r="EU70" s="57" t="n"/>
      <c r="EV70" s="57" t="n"/>
      <c r="EW70" s="67">
        <f>SUM(ES70:EV70)</f>
        <v/>
      </c>
      <c r="EX70" s="61" t="n"/>
      <c r="EY70" s="57" t="n"/>
      <c r="EZ70" s="66">
        <f>EP70</f>
        <v/>
      </c>
      <c r="FA70" s="59" t="n"/>
      <c r="FB70" s="57" t="n"/>
      <c r="FC70" s="57" t="n"/>
      <c r="FD70" s="57" t="n"/>
      <c r="FE70" s="57" t="n"/>
      <c r="FF70" s="67">
        <f>SUM(FB70:FE70)</f>
        <v/>
      </c>
      <c r="FG70" s="61" t="n"/>
      <c r="FH70" s="57" t="n"/>
      <c r="FI70" s="66">
        <f>EY70</f>
        <v/>
      </c>
      <c r="FJ70" s="59" t="n"/>
      <c r="FK70" s="57" t="n"/>
      <c r="FL70" s="57" t="n"/>
      <c r="FM70" s="57" t="n"/>
      <c r="FN70" s="57" t="n"/>
      <c r="FO70" s="67">
        <f>SUM(FK70:FN70)</f>
        <v/>
      </c>
      <c r="FP70" s="61" t="n"/>
      <c r="FQ70" s="57" t="n"/>
      <c r="FR70" s="66">
        <f>FH70</f>
        <v/>
      </c>
      <c r="FS70" s="59" t="n"/>
      <c r="FT70" s="57" t="n"/>
      <c r="FU70" s="57" t="n"/>
      <c r="FV70" s="57" t="n"/>
      <c r="FW70" s="57" t="n"/>
      <c r="FX70" s="67">
        <f>SUM(FT70:FW70)</f>
        <v/>
      </c>
      <c r="FY70" s="61" t="n"/>
      <c r="FZ70" s="57" t="n"/>
      <c r="GA70" s="66">
        <f>FQ70</f>
        <v/>
      </c>
      <c r="GB70" s="59" t="n"/>
      <c r="GC70" s="57" t="n"/>
      <c r="GD70" s="57" t="n"/>
      <c r="GE70" s="57" t="n"/>
      <c r="GF70" s="57" t="n"/>
      <c r="GG70" s="67">
        <f>SUM(GC70:GF70)</f>
        <v/>
      </c>
      <c r="GH70" s="61" t="n"/>
      <c r="GI70" s="57" t="n"/>
      <c r="GJ70" s="66">
        <f>FZ70</f>
        <v/>
      </c>
      <c r="GK70" s="59" t="n"/>
      <c r="GL70" s="57" t="n"/>
      <c r="GM70" s="57" t="n"/>
      <c r="GN70" s="57" t="n"/>
      <c r="GO70" s="57" t="n"/>
      <c r="GP70" s="67">
        <f>SUM(GL70:GO70)</f>
        <v/>
      </c>
      <c r="GQ70" s="61" t="n"/>
      <c r="GR70" s="57" t="n"/>
      <c r="GS70" s="66">
        <f>GI70</f>
        <v/>
      </c>
      <c r="GT70" s="59" t="n"/>
      <c r="GU70" s="57" t="n"/>
      <c r="GV70" s="57" t="n"/>
      <c r="GW70" s="57" t="n"/>
      <c r="GX70" s="57" t="n"/>
      <c r="GY70" s="67">
        <f>SUM(GU70:GX70)</f>
        <v/>
      </c>
      <c r="GZ70" s="61" t="n"/>
      <c r="HA70" s="57" t="n"/>
      <c r="HB70" s="66">
        <f>GR70</f>
        <v/>
      </c>
      <c r="HC70" s="59" t="n"/>
      <c r="HD70" s="57" t="n"/>
      <c r="HE70" s="57" t="n"/>
      <c r="HF70" s="57" t="n"/>
      <c r="HG70" s="57" t="n"/>
      <c r="HH70" s="67">
        <f>SUM(HD70:HG70)</f>
        <v/>
      </c>
      <c r="HI70" s="61" t="n"/>
      <c r="HJ70" s="57" t="n"/>
      <c r="HK70" s="66">
        <f>HA70</f>
        <v/>
      </c>
      <c r="HL70" s="59" t="n"/>
      <c r="HM70" s="57" t="n"/>
      <c r="HN70" s="57" t="n"/>
      <c r="HO70" s="57" t="n"/>
      <c r="HP70" s="57" t="n"/>
      <c r="HQ70" s="67">
        <f>SUM(HM70:HP70)</f>
        <v/>
      </c>
      <c r="HR70" s="61" t="n"/>
      <c r="HS70" s="57" t="n"/>
      <c r="HT70" s="66">
        <f>HJ70</f>
        <v/>
      </c>
      <c r="HU70" s="59" t="n"/>
      <c r="HV70" s="57" t="n"/>
      <c r="HW70" s="57" t="n"/>
      <c r="HX70" s="57" t="n"/>
      <c r="HY70" s="57" t="n"/>
      <c r="HZ70" s="67">
        <f>SUM(HV70:HY70)</f>
        <v/>
      </c>
      <c r="IA70" s="61" t="n"/>
      <c r="IB70" s="57" t="n"/>
      <c r="IC70" s="66">
        <f>HS70</f>
        <v/>
      </c>
      <c r="ID70" s="59" t="n"/>
      <c r="IE70" s="57" t="n"/>
      <c r="IF70" s="57" t="n"/>
      <c r="IG70" s="57" t="n"/>
      <c r="IH70" s="57" t="n"/>
      <c r="II70" s="67">
        <f>SUM(IE70:IH70)</f>
        <v/>
      </c>
      <c r="IJ70" s="61" t="n"/>
      <c r="IK70" s="57" t="n"/>
      <c r="IL70" s="66">
        <f>IB70</f>
        <v/>
      </c>
      <c r="IM70" s="59" t="n"/>
      <c r="IN70" s="57" t="n"/>
      <c r="IO70" s="57" t="n"/>
      <c r="IP70" s="57" t="n"/>
      <c r="IQ70" s="57" t="n"/>
      <c r="IR70" s="67">
        <f>SUM(IN70:IQ70)</f>
        <v/>
      </c>
      <c r="IS70" s="61" t="n"/>
      <c r="IT70" s="57" t="n"/>
      <c r="IU70" s="66">
        <f>IK70</f>
        <v/>
      </c>
      <c r="IV70" s="59" t="n"/>
      <c r="IW70" s="57" t="n"/>
      <c r="IX70" s="57" t="n"/>
      <c r="IY70" s="57" t="n"/>
      <c r="IZ70" s="57" t="n"/>
      <c r="JA70" s="67">
        <f>SUM(IW70:IZ70)</f>
        <v/>
      </c>
      <c r="JB70" s="61" t="n"/>
      <c r="JC70" s="57" t="n"/>
      <c r="JD70" s="66">
        <f>IT70</f>
        <v/>
      </c>
      <c r="JE70" s="59" t="n"/>
      <c r="JF70" s="57" t="n"/>
      <c r="JG70" s="57" t="n"/>
      <c r="JH70" s="57" t="n"/>
      <c r="JI70" s="57" t="n"/>
      <c r="JJ70" s="67">
        <f>SUM(JF70:JI70)</f>
        <v/>
      </c>
      <c r="JK70" s="61" t="n"/>
      <c r="JL70" s="57" t="n"/>
      <c r="JM70" s="66">
        <f>JC70</f>
        <v/>
      </c>
      <c r="JN70" s="59" t="n"/>
      <c r="JO70" s="57" t="n"/>
      <c r="JP70" s="57" t="n"/>
      <c r="JQ70" s="57" t="n"/>
      <c r="JR70" s="57" t="n"/>
      <c r="JS70" s="67">
        <f>SUM(JO70:JR70)</f>
        <v/>
      </c>
      <c r="JT70" s="61" t="n"/>
      <c r="JU70" s="62">
        <f>I70+R70+AA70+AJ70+AS70+BB70+BK70+BT70+CC70+CL70+CU70+DD70+DM70+DV70+EE70+EN70+EW70+FF70+FO70+FX70+GG70+GP70+GY70+HH70+HQ70+HZ70+II70+IR70+JA70+JJ70+JS70</f>
        <v/>
      </c>
      <c r="JV70" s="63">
        <f>D70+M70+V70+AE70+AN70+AW70+BF70+BO70+BX70+CG70+CP70+CY70+DH70+DQ70+DZ70+EI70+ER70+FA70+FJ70+FS70+GB70+GK70+GT70+HC70+HL70+HU70+ID70+IM70+IV70+JE70+JN70</f>
        <v/>
      </c>
      <c r="JW70" s="62">
        <f>CHOOSE($Z$3,B70, K70, T70, AC70, AL70, AU70, BD70, BM70, BV70, CE70, CN70, CW70, DF70, DO70, DX70, EG70, EP70, EY70, FH70, FQ70, FZ70, GI70, GR70, HA70, HJ70, HS70, IB70, IK70, IT70, JC70, JL70)</f>
        <v/>
      </c>
      <c r="JX70" s="62">
        <f>IFERROR(JU70/$Z$3,0)</f>
        <v/>
      </c>
      <c r="JY70" s="62">
        <f>Configurações!$C$10</f>
        <v/>
      </c>
      <c r="JZ70" s="64">
        <f>IF(JY70=0,"— Sem meta",IF(JU70&gt;=JY70,"✓ Atingida","Em andamento"))</f>
        <v/>
      </c>
      <c r="KA70" s="65">
        <f>JU70+(10*0.0000001)</f>
        <v/>
      </c>
    </row>
    <row r="71" ht="20" customHeight="1">
      <c r="A71" s="56">
        <f>IF(Configurações!$B$11="","Assessor 5",Configurações!$B$11)</f>
        <v/>
      </c>
      <c r="B71" s="57" t="n"/>
      <c r="C71" s="58">
        <f>'Setembro'!$JW71</f>
        <v/>
      </c>
      <c r="D71" s="59" t="n"/>
      <c r="E71" s="57" t="n"/>
      <c r="F71" s="57" t="n"/>
      <c r="G71" s="57" t="n"/>
      <c r="H71" s="57" t="n"/>
      <c r="I71" s="60">
        <f>SUM(E71:H71)</f>
        <v/>
      </c>
      <c r="J71" s="61" t="n"/>
      <c r="K71" s="57" t="n"/>
      <c r="L71" s="58">
        <f>B71</f>
        <v/>
      </c>
      <c r="M71" s="59" t="n"/>
      <c r="N71" s="57" t="n"/>
      <c r="O71" s="57" t="n"/>
      <c r="P71" s="57" t="n"/>
      <c r="Q71" s="57" t="n"/>
      <c r="R71" s="60">
        <f>SUM(N71:Q71)</f>
        <v/>
      </c>
      <c r="S71" s="61" t="n"/>
      <c r="T71" s="57" t="n"/>
      <c r="U71" s="58">
        <f>K71</f>
        <v/>
      </c>
      <c r="V71" s="59" t="n"/>
      <c r="W71" s="57" t="n"/>
      <c r="X71" s="57" t="n"/>
      <c r="Y71" s="57" t="n"/>
      <c r="Z71" s="57" t="n"/>
      <c r="AA71" s="60">
        <f>SUM(W71:Z71)</f>
        <v/>
      </c>
      <c r="AB71" s="61" t="n"/>
      <c r="AC71" s="57" t="n"/>
      <c r="AD71" s="58">
        <f>T71</f>
        <v/>
      </c>
      <c r="AE71" s="59" t="n"/>
      <c r="AF71" s="57" t="n"/>
      <c r="AG71" s="57" t="n"/>
      <c r="AH71" s="57" t="n"/>
      <c r="AI71" s="57" t="n"/>
      <c r="AJ71" s="60">
        <f>SUM(AF71:AI71)</f>
        <v/>
      </c>
      <c r="AK71" s="61" t="n"/>
      <c r="AL71" s="57" t="n"/>
      <c r="AM71" s="58">
        <f>AC71</f>
        <v/>
      </c>
      <c r="AN71" s="59" t="n"/>
      <c r="AO71" s="57" t="n"/>
      <c r="AP71" s="57" t="n"/>
      <c r="AQ71" s="57" t="n"/>
      <c r="AR71" s="57" t="n"/>
      <c r="AS71" s="60">
        <f>SUM(AO71:AR71)</f>
        <v/>
      </c>
      <c r="AT71" s="61" t="n"/>
      <c r="AU71" s="57" t="n"/>
      <c r="AV71" s="58">
        <f>AL71</f>
        <v/>
      </c>
      <c r="AW71" s="59" t="n"/>
      <c r="AX71" s="57" t="n"/>
      <c r="AY71" s="57" t="n"/>
      <c r="AZ71" s="57" t="n"/>
      <c r="BA71" s="57" t="n"/>
      <c r="BB71" s="60">
        <f>SUM(AX71:BA71)</f>
        <v/>
      </c>
      <c r="BC71" s="61" t="n"/>
      <c r="BD71" s="57" t="n"/>
      <c r="BE71" s="58">
        <f>AU71</f>
        <v/>
      </c>
      <c r="BF71" s="59" t="n"/>
      <c r="BG71" s="57" t="n"/>
      <c r="BH71" s="57" t="n"/>
      <c r="BI71" s="57" t="n"/>
      <c r="BJ71" s="57" t="n"/>
      <c r="BK71" s="60">
        <f>SUM(BG71:BJ71)</f>
        <v/>
      </c>
      <c r="BL71" s="61" t="n"/>
      <c r="BM71" s="57" t="n"/>
      <c r="BN71" s="58">
        <f>BD71</f>
        <v/>
      </c>
      <c r="BO71" s="59" t="n"/>
      <c r="BP71" s="57" t="n"/>
      <c r="BQ71" s="57" t="n"/>
      <c r="BR71" s="57" t="n"/>
      <c r="BS71" s="57" t="n"/>
      <c r="BT71" s="60">
        <f>SUM(BP71:BS71)</f>
        <v/>
      </c>
      <c r="BU71" s="61" t="n"/>
      <c r="BV71" s="57" t="n"/>
      <c r="BW71" s="58">
        <f>BM71</f>
        <v/>
      </c>
      <c r="BX71" s="59" t="n"/>
      <c r="BY71" s="57" t="n"/>
      <c r="BZ71" s="57" t="n"/>
      <c r="CA71" s="57" t="n"/>
      <c r="CB71" s="57" t="n"/>
      <c r="CC71" s="60">
        <f>SUM(BY71:CB71)</f>
        <v/>
      </c>
      <c r="CD71" s="61" t="n"/>
      <c r="CE71" s="57" t="n"/>
      <c r="CF71" s="58">
        <f>BV71</f>
        <v/>
      </c>
      <c r="CG71" s="59" t="n"/>
      <c r="CH71" s="57" t="n"/>
      <c r="CI71" s="57" t="n"/>
      <c r="CJ71" s="57" t="n"/>
      <c r="CK71" s="57" t="n"/>
      <c r="CL71" s="60">
        <f>SUM(CH71:CK71)</f>
        <v/>
      </c>
      <c r="CM71" s="61" t="n"/>
      <c r="CN71" s="57" t="n"/>
      <c r="CO71" s="58">
        <f>CE71</f>
        <v/>
      </c>
      <c r="CP71" s="59" t="n"/>
      <c r="CQ71" s="57" t="n"/>
      <c r="CR71" s="57" t="n"/>
      <c r="CS71" s="57" t="n"/>
      <c r="CT71" s="57" t="n"/>
      <c r="CU71" s="60">
        <f>SUM(CQ71:CT71)</f>
        <v/>
      </c>
      <c r="CV71" s="61" t="n"/>
      <c r="CW71" s="57" t="n"/>
      <c r="CX71" s="58">
        <f>CN71</f>
        <v/>
      </c>
      <c r="CY71" s="59" t="n"/>
      <c r="CZ71" s="57" t="n"/>
      <c r="DA71" s="57" t="n"/>
      <c r="DB71" s="57" t="n"/>
      <c r="DC71" s="57" t="n"/>
      <c r="DD71" s="60">
        <f>SUM(CZ71:DC71)</f>
        <v/>
      </c>
      <c r="DE71" s="61" t="n"/>
      <c r="DF71" s="57" t="n"/>
      <c r="DG71" s="58">
        <f>CW71</f>
        <v/>
      </c>
      <c r="DH71" s="59" t="n"/>
      <c r="DI71" s="57" t="n"/>
      <c r="DJ71" s="57" t="n"/>
      <c r="DK71" s="57" t="n"/>
      <c r="DL71" s="57" t="n"/>
      <c r="DM71" s="60">
        <f>SUM(DI71:DL71)</f>
        <v/>
      </c>
      <c r="DN71" s="61" t="n"/>
      <c r="DO71" s="57" t="n"/>
      <c r="DP71" s="58">
        <f>DF71</f>
        <v/>
      </c>
      <c r="DQ71" s="59" t="n"/>
      <c r="DR71" s="57" t="n"/>
      <c r="DS71" s="57" t="n"/>
      <c r="DT71" s="57" t="n"/>
      <c r="DU71" s="57" t="n"/>
      <c r="DV71" s="60">
        <f>SUM(DR71:DU71)</f>
        <v/>
      </c>
      <c r="DW71" s="61" t="n"/>
      <c r="DX71" s="57" t="n"/>
      <c r="DY71" s="58">
        <f>DO71</f>
        <v/>
      </c>
      <c r="DZ71" s="59" t="n"/>
      <c r="EA71" s="57" t="n"/>
      <c r="EB71" s="57" t="n"/>
      <c r="EC71" s="57" t="n"/>
      <c r="ED71" s="57" t="n"/>
      <c r="EE71" s="60">
        <f>SUM(EA71:ED71)</f>
        <v/>
      </c>
      <c r="EF71" s="61" t="n"/>
      <c r="EG71" s="57" t="n"/>
      <c r="EH71" s="58">
        <f>DX71</f>
        <v/>
      </c>
      <c r="EI71" s="59" t="n"/>
      <c r="EJ71" s="57" t="n"/>
      <c r="EK71" s="57" t="n"/>
      <c r="EL71" s="57" t="n"/>
      <c r="EM71" s="57" t="n"/>
      <c r="EN71" s="60">
        <f>SUM(EJ71:EM71)</f>
        <v/>
      </c>
      <c r="EO71" s="61" t="n"/>
      <c r="EP71" s="57" t="n"/>
      <c r="EQ71" s="58">
        <f>EG71</f>
        <v/>
      </c>
      <c r="ER71" s="59" t="n"/>
      <c r="ES71" s="57" t="n"/>
      <c r="ET71" s="57" t="n"/>
      <c r="EU71" s="57" t="n"/>
      <c r="EV71" s="57" t="n"/>
      <c r="EW71" s="60">
        <f>SUM(ES71:EV71)</f>
        <v/>
      </c>
      <c r="EX71" s="61" t="n"/>
      <c r="EY71" s="57" t="n"/>
      <c r="EZ71" s="58">
        <f>EP71</f>
        <v/>
      </c>
      <c r="FA71" s="59" t="n"/>
      <c r="FB71" s="57" t="n"/>
      <c r="FC71" s="57" t="n"/>
      <c r="FD71" s="57" t="n"/>
      <c r="FE71" s="57" t="n"/>
      <c r="FF71" s="60">
        <f>SUM(FB71:FE71)</f>
        <v/>
      </c>
      <c r="FG71" s="61" t="n"/>
      <c r="FH71" s="57" t="n"/>
      <c r="FI71" s="58">
        <f>EY71</f>
        <v/>
      </c>
      <c r="FJ71" s="59" t="n"/>
      <c r="FK71" s="57" t="n"/>
      <c r="FL71" s="57" t="n"/>
      <c r="FM71" s="57" t="n"/>
      <c r="FN71" s="57" t="n"/>
      <c r="FO71" s="60">
        <f>SUM(FK71:FN71)</f>
        <v/>
      </c>
      <c r="FP71" s="61" t="n"/>
      <c r="FQ71" s="57" t="n"/>
      <c r="FR71" s="58">
        <f>FH71</f>
        <v/>
      </c>
      <c r="FS71" s="59" t="n"/>
      <c r="FT71" s="57" t="n"/>
      <c r="FU71" s="57" t="n"/>
      <c r="FV71" s="57" t="n"/>
      <c r="FW71" s="57" t="n"/>
      <c r="FX71" s="60">
        <f>SUM(FT71:FW71)</f>
        <v/>
      </c>
      <c r="FY71" s="61" t="n"/>
      <c r="FZ71" s="57" t="n"/>
      <c r="GA71" s="58">
        <f>FQ71</f>
        <v/>
      </c>
      <c r="GB71" s="59" t="n"/>
      <c r="GC71" s="57" t="n"/>
      <c r="GD71" s="57" t="n"/>
      <c r="GE71" s="57" t="n"/>
      <c r="GF71" s="57" t="n"/>
      <c r="GG71" s="60">
        <f>SUM(GC71:GF71)</f>
        <v/>
      </c>
      <c r="GH71" s="61" t="n"/>
      <c r="GI71" s="57" t="n"/>
      <c r="GJ71" s="58">
        <f>FZ71</f>
        <v/>
      </c>
      <c r="GK71" s="59" t="n"/>
      <c r="GL71" s="57" t="n"/>
      <c r="GM71" s="57" t="n"/>
      <c r="GN71" s="57" t="n"/>
      <c r="GO71" s="57" t="n"/>
      <c r="GP71" s="60">
        <f>SUM(GL71:GO71)</f>
        <v/>
      </c>
      <c r="GQ71" s="61" t="n"/>
      <c r="GR71" s="57" t="n"/>
      <c r="GS71" s="58">
        <f>GI71</f>
        <v/>
      </c>
      <c r="GT71" s="59" t="n"/>
      <c r="GU71" s="57" t="n"/>
      <c r="GV71" s="57" t="n"/>
      <c r="GW71" s="57" t="n"/>
      <c r="GX71" s="57" t="n"/>
      <c r="GY71" s="60">
        <f>SUM(GU71:GX71)</f>
        <v/>
      </c>
      <c r="GZ71" s="61" t="n"/>
      <c r="HA71" s="57" t="n"/>
      <c r="HB71" s="58">
        <f>GR71</f>
        <v/>
      </c>
      <c r="HC71" s="59" t="n"/>
      <c r="HD71" s="57" t="n"/>
      <c r="HE71" s="57" t="n"/>
      <c r="HF71" s="57" t="n"/>
      <c r="HG71" s="57" t="n"/>
      <c r="HH71" s="60">
        <f>SUM(HD71:HG71)</f>
        <v/>
      </c>
      <c r="HI71" s="61" t="n"/>
      <c r="HJ71" s="57" t="n"/>
      <c r="HK71" s="58">
        <f>HA71</f>
        <v/>
      </c>
      <c r="HL71" s="59" t="n"/>
      <c r="HM71" s="57" t="n"/>
      <c r="HN71" s="57" t="n"/>
      <c r="HO71" s="57" t="n"/>
      <c r="HP71" s="57" t="n"/>
      <c r="HQ71" s="60">
        <f>SUM(HM71:HP71)</f>
        <v/>
      </c>
      <c r="HR71" s="61" t="n"/>
      <c r="HS71" s="57" t="n"/>
      <c r="HT71" s="58">
        <f>HJ71</f>
        <v/>
      </c>
      <c r="HU71" s="59" t="n"/>
      <c r="HV71" s="57" t="n"/>
      <c r="HW71" s="57" t="n"/>
      <c r="HX71" s="57" t="n"/>
      <c r="HY71" s="57" t="n"/>
      <c r="HZ71" s="60">
        <f>SUM(HV71:HY71)</f>
        <v/>
      </c>
      <c r="IA71" s="61" t="n"/>
      <c r="IB71" s="57" t="n"/>
      <c r="IC71" s="58">
        <f>HS71</f>
        <v/>
      </c>
      <c r="ID71" s="59" t="n"/>
      <c r="IE71" s="57" t="n"/>
      <c r="IF71" s="57" t="n"/>
      <c r="IG71" s="57" t="n"/>
      <c r="IH71" s="57" t="n"/>
      <c r="II71" s="60">
        <f>SUM(IE71:IH71)</f>
        <v/>
      </c>
      <c r="IJ71" s="61" t="n"/>
      <c r="IK71" s="57" t="n"/>
      <c r="IL71" s="58">
        <f>IB71</f>
        <v/>
      </c>
      <c r="IM71" s="59" t="n"/>
      <c r="IN71" s="57" t="n"/>
      <c r="IO71" s="57" t="n"/>
      <c r="IP71" s="57" t="n"/>
      <c r="IQ71" s="57" t="n"/>
      <c r="IR71" s="60">
        <f>SUM(IN71:IQ71)</f>
        <v/>
      </c>
      <c r="IS71" s="61" t="n"/>
      <c r="IT71" s="57" t="n"/>
      <c r="IU71" s="58">
        <f>IK71</f>
        <v/>
      </c>
      <c r="IV71" s="59" t="n"/>
      <c r="IW71" s="57" t="n"/>
      <c r="IX71" s="57" t="n"/>
      <c r="IY71" s="57" t="n"/>
      <c r="IZ71" s="57" t="n"/>
      <c r="JA71" s="60">
        <f>SUM(IW71:IZ71)</f>
        <v/>
      </c>
      <c r="JB71" s="61" t="n"/>
      <c r="JC71" s="57" t="n"/>
      <c r="JD71" s="58">
        <f>IT71</f>
        <v/>
      </c>
      <c r="JE71" s="59" t="n"/>
      <c r="JF71" s="57" t="n"/>
      <c r="JG71" s="57" t="n"/>
      <c r="JH71" s="57" t="n"/>
      <c r="JI71" s="57" t="n"/>
      <c r="JJ71" s="60">
        <f>SUM(JF71:JI71)</f>
        <v/>
      </c>
      <c r="JK71" s="61" t="n"/>
      <c r="JL71" s="57" t="n"/>
      <c r="JM71" s="58">
        <f>JC71</f>
        <v/>
      </c>
      <c r="JN71" s="59" t="n"/>
      <c r="JO71" s="57" t="n"/>
      <c r="JP71" s="57" t="n"/>
      <c r="JQ71" s="57" t="n"/>
      <c r="JR71" s="57" t="n"/>
      <c r="JS71" s="60">
        <f>SUM(JO71:JR71)</f>
        <v/>
      </c>
      <c r="JT71" s="61" t="n"/>
      <c r="JU71" s="62">
        <f>I71+R71+AA71+AJ71+AS71+BB71+BK71+BT71+CC71+CL71+CU71+DD71+DM71+DV71+EE71+EN71+EW71+FF71+FO71+FX71+GG71+GP71+GY71+HH71+HQ71+HZ71+II71+IR71+JA71+JJ71+JS71</f>
        <v/>
      </c>
      <c r="JV71" s="63">
        <f>D71+M71+V71+AE71+AN71+AW71+BF71+BO71+BX71+CG71+CP71+CY71+DH71+DQ71+DZ71+EI71+ER71+FA71+FJ71+FS71+GB71+GK71+GT71+HC71+HL71+HU71+ID71+IM71+IV71+JE71+JN71</f>
        <v/>
      </c>
      <c r="JW71" s="62">
        <f>CHOOSE($Z$3,B71, K71, T71, AC71, AL71, AU71, BD71, BM71, BV71, CE71, CN71, CW71, DF71, DO71, DX71, EG71, EP71, EY71, FH71, FQ71, FZ71, GI71, GR71, HA71, HJ71, HS71, IB71, IK71, IT71, JC71, JL71)</f>
        <v/>
      </c>
      <c r="JX71" s="62">
        <f>IFERROR(JU71/$Z$3,0)</f>
        <v/>
      </c>
      <c r="JY71" s="62">
        <f>Configurações!$C$11</f>
        <v/>
      </c>
      <c r="JZ71" s="64">
        <f>IF(JY71=0,"— Sem meta",IF(JU71&gt;=JY71,"✓ Atingida","Em andamento"))</f>
        <v/>
      </c>
      <c r="KA71" s="65">
        <f>JU71+(9*0.0000001)</f>
        <v/>
      </c>
    </row>
    <row r="72" ht="20" customHeight="1">
      <c r="A72" s="56">
        <f>IF(Configurações!$B$12="","Assessor 6",Configurações!$B$12)</f>
        <v/>
      </c>
      <c r="B72" s="57" t="n"/>
      <c r="C72" s="66">
        <f>'Setembro'!$JW72</f>
        <v/>
      </c>
      <c r="D72" s="59" t="n"/>
      <c r="E72" s="57" t="n"/>
      <c r="F72" s="57" t="n"/>
      <c r="G72" s="57" t="n"/>
      <c r="H72" s="57" t="n"/>
      <c r="I72" s="67">
        <f>SUM(E72:H72)</f>
        <v/>
      </c>
      <c r="J72" s="61" t="n"/>
      <c r="K72" s="57" t="n"/>
      <c r="L72" s="66">
        <f>B72</f>
        <v/>
      </c>
      <c r="M72" s="59" t="n"/>
      <c r="N72" s="57" t="n"/>
      <c r="O72" s="57" t="n"/>
      <c r="P72" s="57" t="n"/>
      <c r="Q72" s="57" t="n"/>
      <c r="R72" s="67">
        <f>SUM(N72:Q72)</f>
        <v/>
      </c>
      <c r="S72" s="61" t="n"/>
      <c r="T72" s="57" t="n"/>
      <c r="U72" s="66">
        <f>K72</f>
        <v/>
      </c>
      <c r="V72" s="59" t="n"/>
      <c r="W72" s="57" t="n"/>
      <c r="X72" s="57" t="n"/>
      <c r="Y72" s="57" t="n"/>
      <c r="Z72" s="57" t="n"/>
      <c r="AA72" s="67">
        <f>SUM(W72:Z72)</f>
        <v/>
      </c>
      <c r="AB72" s="61" t="n"/>
      <c r="AC72" s="57" t="n"/>
      <c r="AD72" s="66">
        <f>T72</f>
        <v/>
      </c>
      <c r="AE72" s="59" t="n"/>
      <c r="AF72" s="57" t="n"/>
      <c r="AG72" s="57" t="n"/>
      <c r="AH72" s="57" t="n"/>
      <c r="AI72" s="57" t="n"/>
      <c r="AJ72" s="67">
        <f>SUM(AF72:AI72)</f>
        <v/>
      </c>
      <c r="AK72" s="61" t="n"/>
      <c r="AL72" s="57" t="n"/>
      <c r="AM72" s="66">
        <f>AC72</f>
        <v/>
      </c>
      <c r="AN72" s="59" t="n"/>
      <c r="AO72" s="57" t="n"/>
      <c r="AP72" s="57" t="n"/>
      <c r="AQ72" s="57" t="n"/>
      <c r="AR72" s="57" t="n"/>
      <c r="AS72" s="67">
        <f>SUM(AO72:AR72)</f>
        <v/>
      </c>
      <c r="AT72" s="61" t="n"/>
      <c r="AU72" s="57" t="n"/>
      <c r="AV72" s="66">
        <f>AL72</f>
        <v/>
      </c>
      <c r="AW72" s="59" t="n"/>
      <c r="AX72" s="57" t="n"/>
      <c r="AY72" s="57" t="n"/>
      <c r="AZ72" s="57" t="n"/>
      <c r="BA72" s="57" t="n"/>
      <c r="BB72" s="67">
        <f>SUM(AX72:BA72)</f>
        <v/>
      </c>
      <c r="BC72" s="61" t="n"/>
      <c r="BD72" s="57" t="n"/>
      <c r="BE72" s="66">
        <f>AU72</f>
        <v/>
      </c>
      <c r="BF72" s="59" t="n"/>
      <c r="BG72" s="57" t="n"/>
      <c r="BH72" s="57" t="n"/>
      <c r="BI72" s="57" t="n"/>
      <c r="BJ72" s="57" t="n"/>
      <c r="BK72" s="67">
        <f>SUM(BG72:BJ72)</f>
        <v/>
      </c>
      <c r="BL72" s="61" t="n"/>
      <c r="BM72" s="57" t="n"/>
      <c r="BN72" s="66">
        <f>BD72</f>
        <v/>
      </c>
      <c r="BO72" s="59" t="n"/>
      <c r="BP72" s="57" t="n"/>
      <c r="BQ72" s="57" t="n"/>
      <c r="BR72" s="57" t="n"/>
      <c r="BS72" s="57" t="n"/>
      <c r="BT72" s="67">
        <f>SUM(BP72:BS72)</f>
        <v/>
      </c>
      <c r="BU72" s="61" t="n"/>
      <c r="BV72" s="57" t="n"/>
      <c r="BW72" s="66">
        <f>BM72</f>
        <v/>
      </c>
      <c r="BX72" s="59" t="n"/>
      <c r="BY72" s="57" t="n"/>
      <c r="BZ72" s="57" t="n"/>
      <c r="CA72" s="57" t="n"/>
      <c r="CB72" s="57" t="n"/>
      <c r="CC72" s="67">
        <f>SUM(BY72:CB72)</f>
        <v/>
      </c>
      <c r="CD72" s="61" t="n"/>
      <c r="CE72" s="57" t="n"/>
      <c r="CF72" s="66">
        <f>BV72</f>
        <v/>
      </c>
      <c r="CG72" s="59" t="n"/>
      <c r="CH72" s="57" t="n"/>
      <c r="CI72" s="57" t="n"/>
      <c r="CJ72" s="57" t="n"/>
      <c r="CK72" s="57" t="n"/>
      <c r="CL72" s="67">
        <f>SUM(CH72:CK72)</f>
        <v/>
      </c>
      <c r="CM72" s="61" t="n"/>
      <c r="CN72" s="57" t="n"/>
      <c r="CO72" s="66">
        <f>CE72</f>
        <v/>
      </c>
      <c r="CP72" s="59" t="n"/>
      <c r="CQ72" s="57" t="n"/>
      <c r="CR72" s="57" t="n"/>
      <c r="CS72" s="57" t="n"/>
      <c r="CT72" s="57" t="n"/>
      <c r="CU72" s="67">
        <f>SUM(CQ72:CT72)</f>
        <v/>
      </c>
      <c r="CV72" s="61" t="n"/>
      <c r="CW72" s="57" t="n"/>
      <c r="CX72" s="66">
        <f>CN72</f>
        <v/>
      </c>
      <c r="CY72" s="59" t="n"/>
      <c r="CZ72" s="57" t="n"/>
      <c r="DA72" s="57" t="n"/>
      <c r="DB72" s="57" t="n"/>
      <c r="DC72" s="57" t="n"/>
      <c r="DD72" s="67">
        <f>SUM(CZ72:DC72)</f>
        <v/>
      </c>
      <c r="DE72" s="61" t="n"/>
      <c r="DF72" s="57" t="n"/>
      <c r="DG72" s="66">
        <f>CW72</f>
        <v/>
      </c>
      <c r="DH72" s="59" t="n"/>
      <c r="DI72" s="57" t="n"/>
      <c r="DJ72" s="57" t="n"/>
      <c r="DK72" s="57" t="n"/>
      <c r="DL72" s="57" t="n"/>
      <c r="DM72" s="67">
        <f>SUM(DI72:DL72)</f>
        <v/>
      </c>
      <c r="DN72" s="61" t="n"/>
      <c r="DO72" s="57" t="n"/>
      <c r="DP72" s="66">
        <f>DF72</f>
        <v/>
      </c>
      <c r="DQ72" s="59" t="n"/>
      <c r="DR72" s="57" t="n"/>
      <c r="DS72" s="57" t="n"/>
      <c r="DT72" s="57" t="n"/>
      <c r="DU72" s="57" t="n"/>
      <c r="DV72" s="67">
        <f>SUM(DR72:DU72)</f>
        <v/>
      </c>
      <c r="DW72" s="61" t="n"/>
      <c r="DX72" s="57" t="n"/>
      <c r="DY72" s="66">
        <f>DO72</f>
        <v/>
      </c>
      <c r="DZ72" s="59" t="n"/>
      <c r="EA72" s="57" t="n"/>
      <c r="EB72" s="57" t="n"/>
      <c r="EC72" s="57" t="n"/>
      <c r="ED72" s="57" t="n"/>
      <c r="EE72" s="67">
        <f>SUM(EA72:ED72)</f>
        <v/>
      </c>
      <c r="EF72" s="61" t="n"/>
      <c r="EG72" s="57" t="n"/>
      <c r="EH72" s="66">
        <f>DX72</f>
        <v/>
      </c>
      <c r="EI72" s="59" t="n"/>
      <c r="EJ72" s="57" t="n"/>
      <c r="EK72" s="57" t="n"/>
      <c r="EL72" s="57" t="n"/>
      <c r="EM72" s="57" t="n"/>
      <c r="EN72" s="67">
        <f>SUM(EJ72:EM72)</f>
        <v/>
      </c>
      <c r="EO72" s="61" t="n"/>
      <c r="EP72" s="57" t="n"/>
      <c r="EQ72" s="66">
        <f>EG72</f>
        <v/>
      </c>
      <c r="ER72" s="59" t="n"/>
      <c r="ES72" s="57" t="n"/>
      <c r="ET72" s="57" t="n"/>
      <c r="EU72" s="57" t="n"/>
      <c r="EV72" s="57" t="n"/>
      <c r="EW72" s="67">
        <f>SUM(ES72:EV72)</f>
        <v/>
      </c>
      <c r="EX72" s="61" t="n"/>
      <c r="EY72" s="57" t="n"/>
      <c r="EZ72" s="66">
        <f>EP72</f>
        <v/>
      </c>
      <c r="FA72" s="59" t="n"/>
      <c r="FB72" s="57" t="n"/>
      <c r="FC72" s="57" t="n"/>
      <c r="FD72" s="57" t="n"/>
      <c r="FE72" s="57" t="n"/>
      <c r="FF72" s="67">
        <f>SUM(FB72:FE72)</f>
        <v/>
      </c>
      <c r="FG72" s="61" t="n"/>
      <c r="FH72" s="57" t="n"/>
      <c r="FI72" s="66">
        <f>EY72</f>
        <v/>
      </c>
      <c r="FJ72" s="59" t="n"/>
      <c r="FK72" s="57" t="n"/>
      <c r="FL72" s="57" t="n"/>
      <c r="FM72" s="57" t="n"/>
      <c r="FN72" s="57" t="n"/>
      <c r="FO72" s="67">
        <f>SUM(FK72:FN72)</f>
        <v/>
      </c>
      <c r="FP72" s="61" t="n"/>
      <c r="FQ72" s="57" t="n"/>
      <c r="FR72" s="66">
        <f>FH72</f>
        <v/>
      </c>
      <c r="FS72" s="59" t="n"/>
      <c r="FT72" s="57" t="n"/>
      <c r="FU72" s="57" t="n"/>
      <c r="FV72" s="57" t="n"/>
      <c r="FW72" s="57" t="n"/>
      <c r="FX72" s="67">
        <f>SUM(FT72:FW72)</f>
        <v/>
      </c>
      <c r="FY72" s="61" t="n"/>
      <c r="FZ72" s="57" t="n"/>
      <c r="GA72" s="66">
        <f>FQ72</f>
        <v/>
      </c>
      <c r="GB72" s="59" t="n"/>
      <c r="GC72" s="57" t="n"/>
      <c r="GD72" s="57" t="n"/>
      <c r="GE72" s="57" t="n"/>
      <c r="GF72" s="57" t="n"/>
      <c r="GG72" s="67">
        <f>SUM(GC72:GF72)</f>
        <v/>
      </c>
      <c r="GH72" s="61" t="n"/>
      <c r="GI72" s="57" t="n"/>
      <c r="GJ72" s="66">
        <f>FZ72</f>
        <v/>
      </c>
      <c r="GK72" s="59" t="n"/>
      <c r="GL72" s="57" t="n"/>
      <c r="GM72" s="57" t="n"/>
      <c r="GN72" s="57" t="n"/>
      <c r="GO72" s="57" t="n"/>
      <c r="GP72" s="67">
        <f>SUM(GL72:GO72)</f>
        <v/>
      </c>
      <c r="GQ72" s="61" t="n"/>
      <c r="GR72" s="57" t="n"/>
      <c r="GS72" s="66">
        <f>GI72</f>
        <v/>
      </c>
      <c r="GT72" s="59" t="n"/>
      <c r="GU72" s="57" t="n"/>
      <c r="GV72" s="57" t="n"/>
      <c r="GW72" s="57" t="n"/>
      <c r="GX72" s="57" t="n"/>
      <c r="GY72" s="67">
        <f>SUM(GU72:GX72)</f>
        <v/>
      </c>
      <c r="GZ72" s="61" t="n"/>
      <c r="HA72" s="57" t="n"/>
      <c r="HB72" s="66">
        <f>GR72</f>
        <v/>
      </c>
      <c r="HC72" s="59" t="n"/>
      <c r="HD72" s="57" t="n"/>
      <c r="HE72" s="57" t="n"/>
      <c r="HF72" s="57" t="n"/>
      <c r="HG72" s="57" t="n"/>
      <c r="HH72" s="67">
        <f>SUM(HD72:HG72)</f>
        <v/>
      </c>
      <c r="HI72" s="61" t="n"/>
      <c r="HJ72" s="57" t="n"/>
      <c r="HK72" s="66">
        <f>HA72</f>
        <v/>
      </c>
      <c r="HL72" s="59" t="n"/>
      <c r="HM72" s="57" t="n"/>
      <c r="HN72" s="57" t="n"/>
      <c r="HO72" s="57" t="n"/>
      <c r="HP72" s="57" t="n"/>
      <c r="HQ72" s="67">
        <f>SUM(HM72:HP72)</f>
        <v/>
      </c>
      <c r="HR72" s="61" t="n"/>
      <c r="HS72" s="57" t="n"/>
      <c r="HT72" s="66">
        <f>HJ72</f>
        <v/>
      </c>
      <c r="HU72" s="59" t="n"/>
      <c r="HV72" s="57" t="n"/>
      <c r="HW72" s="57" t="n"/>
      <c r="HX72" s="57" t="n"/>
      <c r="HY72" s="57" t="n"/>
      <c r="HZ72" s="67">
        <f>SUM(HV72:HY72)</f>
        <v/>
      </c>
      <c r="IA72" s="61" t="n"/>
      <c r="IB72" s="57" t="n"/>
      <c r="IC72" s="66">
        <f>HS72</f>
        <v/>
      </c>
      <c r="ID72" s="59" t="n"/>
      <c r="IE72" s="57" t="n"/>
      <c r="IF72" s="57" t="n"/>
      <c r="IG72" s="57" t="n"/>
      <c r="IH72" s="57" t="n"/>
      <c r="II72" s="67">
        <f>SUM(IE72:IH72)</f>
        <v/>
      </c>
      <c r="IJ72" s="61" t="n"/>
      <c r="IK72" s="57" t="n"/>
      <c r="IL72" s="66">
        <f>IB72</f>
        <v/>
      </c>
      <c r="IM72" s="59" t="n"/>
      <c r="IN72" s="57" t="n"/>
      <c r="IO72" s="57" t="n"/>
      <c r="IP72" s="57" t="n"/>
      <c r="IQ72" s="57" t="n"/>
      <c r="IR72" s="67">
        <f>SUM(IN72:IQ72)</f>
        <v/>
      </c>
      <c r="IS72" s="61" t="n"/>
      <c r="IT72" s="57" t="n"/>
      <c r="IU72" s="66">
        <f>IK72</f>
        <v/>
      </c>
      <c r="IV72" s="59" t="n"/>
      <c r="IW72" s="57" t="n"/>
      <c r="IX72" s="57" t="n"/>
      <c r="IY72" s="57" t="n"/>
      <c r="IZ72" s="57" t="n"/>
      <c r="JA72" s="67">
        <f>SUM(IW72:IZ72)</f>
        <v/>
      </c>
      <c r="JB72" s="61" t="n"/>
      <c r="JC72" s="57" t="n"/>
      <c r="JD72" s="66">
        <f>IT72</f>
        <v/>
      </c>
      <c r="JE72" s="59" t="n"/>
      <c r="JF72" s="57" t="n"/>
      <c r="JG72" s="57" t="n"/>
      <c r="JH72" s="57" t="n"/>
      <c r="JI72" s="57" t="n"/>
      <c r="JJ72" s="67">
        <f>SUM(JF72:JI72)</f>
        <v/>
      </c>
      <c r="JK72" s="61" t="n"/>
      <c r="JL72" s="57" t="n"/>
      <c r="JM72" s="66">
        <f>JC72</f>
        <v/>
      </c>
      <c r="JN72" s="59" t="n"/>
      <c r="JO72" s="57" t="n"/>
      <c r="JP72" s="57" t="n"/>
      <c r="JQ72" s="57" t="n"/>
      <c r="JR72" s="57" t="n"/>
      <c r="JS72" s="67">
        <f>SUM(JO72:JR72)</f>
        <v/>
      </c>
      <c r="JT72" s="61" t="n"/>
      <c r="JU72" s="62">
        <f>I72+R72+AA72+AJ72+AS72+BB72+BK72+BT72+CC72+CL72+CU72+DD72+DM72+DV72+EE72+EN72+EW72+FF72+FO72+FX72+GG72+GP72+GY72+HH72+HQ72+HZ72+II72+IR72+JA72+JJ72+JS72</f>
        <v/>
      </c>
      <c r="JV72" s="63">
        <f>D72+M72+V72+AE72+AN72+AW72+BF72+BO72+BX72+CG72+CP72+CY72+DH72+DQ72+DZ72+EI72+ER72+FA72+FJ72+FS72+GB72+GK72+GT72+HC72+HL72+HU72+ID72+IM72+IV72+JE72+JN72</f>
        <v/>
      </c>
      <c r="JW72" s="62">
        <f>CHOOSE($Z$3,B72, K72, T72, AC72, AL72, AU72, BD72, BM72, BV72, CE72, CN72, CW72, DF72, DO72, DX72, EG72, EP72, EY72, FH72, FQ72, FZ72, GI72, GR72, HA72, HJ72, HS72, IB72, IK72, IT72, JC72, JL72)</f>
        <v/>
      </c>
      <c r="JX72" s="62">
        <f>IFERROR(JU72/$Z$3,0)</f>
        <v/>
      </c>
      <c r="JY72" s="62">
        <f>Configurações!$C$12</f>
        <v/>
      </c>
      <c r="JZ72" s="64">
        <f>IF(JY72=0,"— Sem meta",IF(JU72&gt;=JY72,"✓ Atingida","Em andamento"))</f>
        <v/>
      </c>
      <c r="KA72" s="65">
        <f>JU72+(8*0.0000001)</f>
        <v/>
      </c>
    </row>
    <row r="73" ht="20" customHeight="1">
      <c r="A73" s="56">
        <f>IF(Configurações!$B$13="","Assessor 7",Configurações!$B$13)</f>
        <v/>
      </c>
      <c r="B73" s="57" t="n"/>
      <c r="C73" s="58">
        <f>'Setembro'!$JW73</f>
        <v/>
      </c>
      <c r="D73" s="59" t="n"/>
      <c r="E73" s="57" t="n"/>
      <c r="F73" s="57" t="n"/>
      <c r="G73" s="57" t="n"/>
      <c r="H73" s="57" t="n"/>
      <c r="I73" s="60">
        <f>SUM(E73:H73)</f>
        <v/>
      </c>
      <c r="J73" s="61" t="n"/>
      <c r="K73" s="57" t="n"/>
      <c r="L73" s="58">
        <f>B73</f>
        <v/>
      </c>
      <c r="M73" s="59" t="n"/>
      <c r="N73" s="57" t="n"/>
      <c r="O73" s="57" t="n"/>
      <c r="P73" s="57" t="n"/>
      <c r="Q73" s="57" t="n"/>
      <c r="R73" s="60">
        <f>SUM(N73:Q73)</f>
        <v/>
      </c>
      <c r="S73" s="61" t="n"/>
      <c r="T73" s="57" t="n"/>
      <c r="U73" s="58">
        <f>K73</f>
        <v/>
      </c>
      <c r="V73" s="59" t="n"/>
      <c r="W73" s="57" t="n"/>
      <c r="X73" s="57" t="n"/>
      <c r="Y73" s="57" t="n"/>
      <c r="Z73" s="57" t="n"/>
      <c r="AA73" s="60">
        <f>SUM(W73:Z73)</f>
        <v/>
      </c>
      <c r="AB73" s="61" t="n"/>
      <c r="AC73" s="57" t="n"/>
      <c r="AD73" s="58">
        <f>T73</f>
        <v/>
      </c>
      <c r="AE73" s="59" t="n"/>
      <c r="AF73" s="57" t="n"/>
      <c r="AG73" s="57" t="n"/>
      <c r="AH73" s="57" t="n"/>
      <c r="AI73" s="57" t="n"/>
      <c r="AJ73" s="60">
        <f>SUM(AF73:AI73)</f>
        <v/>
      </c>
      <c r="AK73" s="61" t="n"/>
      <c r="AL73" s="57" t="n"/>
      <c r="AM73" s="58">
        <f>AC73</f>
        <v/>
      </c>
      <c r="AN73" s="59" t="n"/>
      <c r="AO73" s="57" t="n"/>
      <c r="AP73" s="57" t="n"/>
      <c r="AQ73" s="57" t="n"/>
      <c r="AR73" s="57" t="n"/>
      <c r="AS73" s="60">
        <f>SUM(AO73:AR73)</f>
        <v/>
      </c>
      <c r="AT73" s="61" t="n"/>
      <c r="AU73" s="57" t="n"/>
      <c r="AV73" s="58">
        <f>AL73</f>
        <v/>
      </c>
      <c r="AW73" s="59" t="n"/>
      <c r="AX73" s="57" t="n"/>
      <c r="AY73" s="57" t="n"/>
      <c r="AZ73" s="57" t="n"/>
      <c r="BA73" s="57" t="n"/>
      <c r="BB73" s="60">
        <f>SUM(AX73:BA73)</f>
        <v/>
      </c>
      <c r="BC73" s="61" t="n"/>
      <c r="BD73" s="57" t="n"/>
      <c r="BE73" s="58">
        <f>AU73</f>
        <v/>
      </c>
      <c r="BF73" s="59" t="n"/>
      <c r="BG73" s="57" t="n"/>
      <c r="BH73" s="57" t="n"/>
      <c r="BI73" s="57" t="n"/>
      <c r="BJ73" s="57" t="n"/>
      <c r="BK73" s="60">
        <f>SUM(BG73:BJ73)</f>
        <v/>
      </c>
      <c r="BL73" s="61" t="n"/>
      <c r="BM73" s="57" t="n"/>
      <c r="BN73" s="58">
        <f>BD73</f>
        <v/>
      </c>
      <c r="BO73" s="59" t="n"/>
      <c r="BP73" s="57" t="n"/>
      <c r="BQ73" s="57" t="n"/>
      <c r="BR73" s="57" t="n"/>
      <c r="BS73" s="57" t="n"/>
      <c r="BT73" s="60">
        <f>SUM(BP73:BS73)</f>
        <v/>
      </c>
      <c r="BU73" s="61" t="n"/>
      <c r="BV73" s="57" t="n"/>
      <c r="BW73" s="58">
        <f>BM73</f>
        <v/>
      </c>
      <c r="BX73" s="59" t="n"/>
      <c r="BY73" s="57" t="n"/>
      <c r="BZ73" s="57" t="n"/>
      <c r="CA73" s="57" t="n"/>
      <c r="CB73" s="57" t="n"/>
      <c r="CC73" s="60">
        <f>SUM(BY73:CB73)</f>
        <v/>
      </c>
      <c r="CD73" s="61" t="n"/>
      <c r="CE73" s="57" t="n"/>
      <c r="CF73" s="58">
        <f>BV73</f>
        <v/>
      </c>
      <c r="CG73" s="59" t="n"/>
      <c r="CH73" s="57" t="n"/>
      <c r="CI73" s="57" t="n"/>
      <c r="CJ73" s="57" t="n"/>
      <c r="CK73" s="57" t="n"/>
      <c r="CL73" s="60">
        <f>SUM(CH73:CK73)</f>
        <v/>
      </c>
      <c r="CM73" s="61" t="n"/>
      <c r="CN73" s="57" t="n"/>
      <c r="CO73" s="58">
        <f>CE73</f>
        <v/>
      </c>
      <c r="CP73" s="59" t="n"/>
      <c r="CQ73" s="57" t="n"/>
      <c r="CR73" s="57" t="n"/>
      <c r="CS73" s="57" t="n"/>
      <c r="CT73" s="57" t="n"/>
      <c r="CU73" s="60">
        <f>SUM(CQ73:CT73)</f>
        <v/>
      </c>
      <c r="CV73" s="61" t="n"/>
      <c r="CW73" s="57" t="n"/>
      <c r="CX73" s="58">
        <f>CN73</f>
        <v/>
      </c>
      <c r="CY73" s="59" t="n"/>
      <c r="CZ73" s="57" t="n"/>
      <c r="DA73" s="57" t="n"/>
      <c r="DB73" s="57" t="n"/>
      <c r="DC73" s="57" t="n"/>
      <c r="DD73" s="60">
        <f>SUM(CZ73:DC73)</f>
        <v/>
      </c>
      <c r="DE73" s="61" t="n"/>
      <c r="DF73" s="57" t="n"/>
      <c r="DG73" s="58">
        <f>CW73</f>
        <v/>
      </c>
      <c r="DH73" s="59" t="n"/>
      <c r="DI73" s="57" t="n"/>
      <c r="DJ73" s="57" t="n"/>
      <c r="DK73" s="57" t="n"/>
      <c r="DL73" s="57" t="n"/>
      <c r="DM73" s="60">
        <f>SUM(DI73:DL73)</f>
        <v/>
      </c>
      <c r="DN73" s="61" t="n"/>
      <c r="DO73" s="57" t="n"/>
      <c r="DP73" s="58">
        <f>DF73</f>
        <v/>
      </c>
      <c r="DQ73" s="59" t="n"/>
      <c r="DR73" s="57" t="n"/>
      <c r="DS73" s="57" t="n"/>
      <c r="DT73" s="57" t="n"/>
      <c r="DU73" s="57" t="n"/>
      <c r="DV73" s="60">
        <f>SUM(DR73:DU73)</f>
        <v/>
      </c>
      <c r="DW73" s="61" t="n"/>
      <c r="DX73" s="57" t="n"/>
      <c r="DY73" s="58">
        <f>DO73</f>
        <v/>
      </c>
      <c r="DZ73" s="59" t="n"/>
      <c r="EA73" s="57" t="n"/>
      <c r="EB73" s="57" t="n"/>
      <c r="EC73" s="57" t="n"/>
      <c r="ED73" s="57" t="n"/>
      <c r="EE73" s="60">
        <f>SUM(EA73:ED73)</f>
        <v/>
      </c>
      <c r="EF73" s="61" t="n"/>
      <c r="EG73" s="57" t="n"/>
      <c r="EH73" s="58">
        <f>DX73</f>
        <v/>
      </c>
      <c r="EI73" s="59" t="n"/>
      <c r="EJ73" s="57" t="n"/>
      <c r="EK73" s="57" t="n"/>
      <c r="EL73" s="57" t="n"/>
      <c r="EM73" s="57" t="n"/>
      <c r="EN73" s="60">
        <f>SUM(EJ73:EM73)</f>
        <v/>
      </c>
      <c r="EO73" s="61" t="n"/>
      <c r="EP73" s="57" t="n"/>
      <c r="EQ73" s="58">
        <f>EG73</f>
        <v/>
      </c>
      <c r="ER73" s="59" t="n"/>
      <c r="ES73" s="57" t="n"/>
      <c r="ET73" s="57" t="n"/>
      <c r="EU73" s="57" t="n"/>
      <c r="EV73" s="57" t="n"/>
      <c r="EW73" s="60">
        <f>SUM(ES73:EV73)</f>
        <v/>
      </c>
      <c r="EX73" s="61" t="n"/>
      <c r="EY73" s="57" t="n"/>
      <c r="EZ73" s="58">
        <f>EP73</f>
        <v/>
      </c>
      <c r="FA73" s="59" t="n"/>
      <c r="FB73" s="57" t="n"/>
      <c r="FC73" s="57" t="n"/>
      <c r="FD73" s="57" t="n"/>
      <c r="FE73" s="57" t="n"/>
      <c r="FF73" s="60">
        <f>SUM(FB73:FE73)</f>
        <v/>
      </c>
      <c r="FG73" s="61" t="n"/>
      <c r="FH73" s="57" t="n"/>
      <c r="FI73" s="58">
        <f>EY73</f>
        <v/>
      </c>
      <c r="FJ73" s="59" t="n"/>
      <c r="FK73" s="57" t="n"/>
      <c r="FL73" s="57" t="n"/>
      <c r="FM73" s="57" t="n"/>
      <c r="FN73" s="57" t="n"/>
      <c r="FO73" s="60">
        <f>SUM(FK73:FN73)</f>
        <v/>
      </c>
      <c r="FP73" s="61" t="n"/>
      <c r="FQ73" s="57" t="n"/>
      <c r="FR73" s="58">
        <f>FH73</f>
        <v/>
      </c>
      <c r="FS73" s="59" t="n"/>
      <c r="FT73" s="57" t="n"/>
      <c r="FU73" s="57" t="n"/>
      <c r="FV73" s="57" t="n"/>
      <c r="FW73" s="57" t="n"/>
      <c r="FX73" s="60">
        <f>SUM(FT73:FW73)</f>
        <v/>
      </c>
      <c r="FY73" s="61" t="n"/>
      <c r="FZ73" s="57" t="n"/>
      <c r="GA73" s="58">
        <f>FQ73</f>
        <v/>
      </c>
      <c r="GB73" s="59" t="n"/>
      <c r="GC73" s="57" t="n"/>
      <c r="GD73" s="57" t="n"/>
      <c r="GE73" s="57" t="n"/>
      <c r="GF73" s="57" t="n"/>
      <c r="GG73" s="60">
        <f>SUM(GC73:GF73)</f>
        <v/>
      </c>
      <c r="GH73" s="61" t="n"/>
      <c r="GI73" s="57" t="n"/>
      <c r="GJ73" s="58">
        <f>FZ73</f>
        <v/>
      </c>
      <c r="GK73" s="59" t="n"/>
      <c r="GL73" s="57" t="n"/>
      <c r="GM73" s="57" t="n"/>
      <c r="GN73" s="57" t="n"/>
      <c r="GO73" s="57" t="n"/>
      <c r="GP73" s="60">
        <f>SUM(GL73:GO73)</f>
        <v/>
      </c>
      <c r="GQ73" s="61" t="n"/>
      <c r="GR73" s="57" t="n"/>
      <c r="GS73" s="58">
        <f>GI73</f>
        <v/>
      </c>
      <c r="GT73" s="59" t="n"/>
      <c r="GU73" s="57" t="n"/>
      <c r="GV73" s="57" t="n"/>
      <c r="GW73" s="57" t="n"/>
      <c r="GX73" s="57" t="n"/>
      <c r="GY73" s="60">
        <f>SUM(GU73:GX73)</f>
        <v/>
      </c>
      <c r="GZ73" s="61" t="n"/>
      <c r="HA73" s="57" t="n"/>
      <c r="HB73" s="58">
        <f>GR73</f>
        <v/>
      </c>
      <c r="HC73" s="59" t="n"/>
      <c r="HD73" s="57" t="n"/>
      <c r="HE73" s="57" t="n"/>
      <c r="HF73" s="57" t="n"/>
      <c r="HG73" s="57" t="n"/>
      <c r="HH73" s="60">
        <f>SUM(HD73:HG73)</f>
        <v/>
      </c>
      <c r="HI73" s="61" t="n"/>
      <c r="HJ73" s="57" t="n"/>
      <c r="HK73" s="58">
        <f>HA73</f>
        <v/>
      </c>
      <c r="HL73" s="59" t="n"/>
      <c r="HM73" s="57" t="n"/>
      <c r="HN73" s="57" t="n"/>
      <c r="HO73" s="57" t="n"/>
      <c r="HP73" s="57" t="n"/>
      <c r="HQ73" s="60">
        <f>SUM(HM73:HP73)</f>
        <v/>
      </c>
      <c r="HR73" s="61" t="n"/>
      <c r="HS73" s="57" t="n"/>
      <c r="HT73" s="58">
        <f>HJ73</f>
        <v/>
      </c>
      <c r="HU73" s="59" t="n"/>
      <c r="HV73" s="57" t="n"/>
      <c r="HW73" s="57" t="n"/>
      <c r="HX73" s="57" t="n"/>
      <c r="HY73" s="57" t="n"/>
      <c r="HZ73" s="60">
        <f>SUM(HV73:HY73)</f>
        <v/>
      </c>
      <c r="IA73" s="61" t="n"/>
      <c r="IB73" s="57" t="n"/>
      <c r="IC73" s="58">
        <f>HS73</f>
        <v/>
      </c>
      <c r="ID73" s="59" t="n"/>
      <c r="IE73" s="57" t="n"/>
      <c r="IF73" s="57" t="n"/>
      <c r="IG73" s="57" t="n"/>
      <c r="IH73" s="57" t="n"/>
      <c r="II73" s="60">
        <f>SUM(IE73:IH73)</f>
        <v/>
      </c>
      <c r="IJ73" s="61" t="n"/>
      <c r="IK73" s="57" t="n"/>
      <c r="IL73" s="58">
        <f>IB73</f>
        <v/>
      </c>
      <c r="IM73" s="59" t="n"/>
      <c r="IN73" s="57" t="n"/>
      <c r="IO73" s="57" t="n"/>
      <c r="IP73" s="57" t="n"/>
      <c r="IQ73" s="57" t="n"/>
      <c r="IR73" s="60">
        <f>SUM(IN73:IQ73)</f>
        <v/>
      </c>
      <c r="IS73" s="61" t="n"/>
      <c r="IT73" s="57" t="n"/>
      <c r="IU73" s="58">
        <f>IK73</f>
        <v/>
      </c>
      <c r="IV73" s="59" t="n"/>
      <c r="IW73" s="57" t="n"/>
      <c r="IX73" s="57" t="n"/>
      <c r="IY73" s="57" t="n"/>
      <c r="IZ73" s="57" t="n"/>
      <c r="JA73" s="60">
        <f>SUM(IW73:IZ73)</f>
        <v/>
      </c>
      <c r="JB73" s="61" t="n"/>
      <c r="JC73" s="57" t="n"/>
      <c r="JD73" s="58">
        <f>IT73</f>
        <v/>
      </c>
      <c r="JE73" s="59" t="n"/>
      <c r="JF73" s="57" t="n"/>
      <c r="JG73" s="57" t="n"/>
      <c r="JH73" s="57" t="n"/>
      <c r="JI73" s="57" t="n"/>
      <c r="JJ73" s="60">
        <f>SUM(JF73:JI73)</f>
        <v/>
      </c>
      <c r="JK73" s="61" t="n"/>
      <c r="JL73" s="57" t="n"/>
      <c r="JM73" s="58">
        <f>JC73</f>
        <v/>
      </c>
      <c r="JN73" s="59" t="n"/>
      <c r="JO73" s="57" t="n"/>
      <c r="JP73" s="57" t="n"/>
      <c r="JQ73" s="57" t="n"/>
      <c r="JR73" s="57" t="n"/>
      <c r="JS73" s="60">
        <f>SUM(JO73:JR73)</f>
        <v/>
      </c>
      <c r="JT73" s="61" t="n"/>
      <c r="JU73" s="62">
        <f>I73+R73+AA73+AJ73+AS73+BB73+BK73+BT73+CC73+CL73+CU73+DD73+DM73+DV73+EE73+EN73+EW73+FF73+FO73+FX73+GG73+GP73+GY73+HH73+HQ73+HZ73+II73+IR73+JA73+JJ73+JS73</f>
        <v/>
      </c>
      <c r="JV73" s="63">
        <f>D73+M73+V73+AE73+AN73+AW73+BF73+BO73+BX73+CG73+CP73+CY73+DH73+DQ73+DZ73+EI73+ER73+FA73+FJ73+FS73+GB73+GK73+GT73+HC73+HL73+HU73+ID73+IM73+IV73+JE73+JN73</f>
        <v/>
      </c>
      <c r="JW73" s="62">
        <f>CHOOSE($Z$3,B73, K73, T73, AC73, AL73, AU73, BD73, BM73, BV73, CE73, CN73, CW73, DF73, DO73, DX73, EG73, EP73, EY73, FH73, FQ73, FZ73, GI73, GR73, HA73, HJ73, HS73, IB73, IK73, IT73, JC73, JL73)</f>
        <v/>
      </c>
      <c r="JX73" s="62">
        <f>IFERROR(JU73/$Z$3,0)</f>
        <v/>
      </c>
      <c r="JY73" s="62">
        <f>Configurações!$C$13</f>
        <v/>
      </c>
      <c r="JZ73" s="64">
        <f>IF(JY73=0,"— Sem meta",IF(JU73&gt;=JY73,"✓ Atingida","Em andamento"))</f>
        <v/>
      </c>
      <c r="KA73" s="65">
        <f>JU73+(7*0.0000001)</f>
        <v/>
      </c>
    </row>
    <row r="74" ht="20" customHeight="1">
      <c r="A74" s="56">
        <f>IF(Configurações!$B$14="","Assessor 8",Configurações!$B$14)</f>
        <v/>
      </c>
      <c r="B74" s="57" t="n"/>
      <c r="C74" s="66">
        <f>'Setembro'!$JW74</f>
        <v/>
      </c>
      <c r="D74" s="59" t="n"/>
      <c r="E74" s="57" t="n"/>
      <c r="F74" s="57" t="n"/>
      <c r="G74" s="57" t="n"/>
      <c r="H74" s="57" t="n"/>
      <c r="I74" s="67">
        <f>SUM(E74:H74)</f>
        <v/>
      </c>
      <c r="J74" s="61" t="n"/>
      <c r="K74" s="57" t="n"/>
      <c r="L74" s="66">
        <f>B74</f>
        <v/>
      </c>
      <c r="M74" s="59" t="n"/>
      <c r="N74" s="57" t="n"/>
      <c r="O74" s="57" t="n"/>
      <c r="P74" s="57" t="n"/>
      <c r="Q74" s="57" t="n"/>
      <c r="R74" s="67">
        <f>SUM(N74:Q74)</f>
        <v/>
      </c>
      <c r="S74" s="61" t="n"/>
      <c r="T74" s="57" t="n"/>
      <c r="U74" s="66">
        <f>K74</f>
        <v/>
      </c>
      <c r="V74" s="59" t="n"/>
      <c r="W74" s="57" t="n"/>
      <c r="X74" s="57" t="n"/>
      <c r="Y74" s="57" t="n"/>
      <c r="Z74" s="57" t="n"/>
      <c r="AA74" s="67">
        <f>SUM(W74:Z74)</f>
        <v/>
      </c>
      <c r="AB74" s="61" t="n"/>
      <c r="AC74" s="57" t="n"/>
      <c r="AD74" s="66">
        <f>T74</f>
        <v/>
      </c>
      <c r="AE74" s="59" t="n"/>
      <c r="AF74" s="57" t="n"/>
      <c r="AG74" s="57" t="n"/>
      <c r="AH74" s="57" t="n"/>
      <c r="AI74" s="57" t="n"/>
      <c r="AJ74" s="67">
        <f>SUM(AF74:AI74)</f>
        <v/>
      </c>
      <c r="AK74" s="61" t="n"/>
      <c r="AL74" s="57" t="n"/>
      <c r="AM74" s="66">
        <f>AC74</f>
        <v/>
      </c>
      <c r="AN74" s="59" t="n"/>
      <c r="AO74" s="57" t="n"/>
      <c r="AP74" s="57" t="n"/>
      <c r="AQ74" s="57" t="n"/>
      <c r="AR74" s="57" t="n"/>
      <c r="AS74" s="67">
        <f>SUM(AO74:AR74)</f>
        <v/>
      </c>
      <c r="AT74" s="61" t="n"/>
      <c r="AU74" s="57" t="n"/>
      <c r="AV74" s="66">
        <f>AL74</f>
        <v/>
      </c>
      <c r="AW74" s="59" t="n"/>
      <c r="AX74" s="57" t="n"/>
      <c r="AY74" s="57" t="n"/>
      <c r="AZ74" s="57" t="n"/>
      <c r="BA74" s="57" t="n"/>
      <c r="BB74" s="67">
        <f>SUM(AX74:BA74)</f>
        <v/>
      </c>
      <c r="BC74" s="61" t="n"/>
      <c r="BD74" s="57" t="n"/>
      <c r="BE74" s="66">
        <f>AU74</f>
        <v/>
      </c>
      <c r="BF74" s="59" t="n"/>
      <c r="BG74" s="57" t="n"/>
      <c r="BH74" s="57" t="n"/>
      <c r="BI74" s="57" t="n"/>
      <c r="BJ74" s="57" t="n"/>
      <c r="BK74" s="67">
        <f>SUM(BG74:BJ74)</f>
        <v/>
      </c>
      <c r="BL74" s="61" t="n"/>
      <c r="BM74" s="57" t="n"/>
      <c r="BN74" s="66">
        <f>BD74</f>
        <v/>
      </c>
      <c r="BO74" s="59" t="n"/>
      <c r="BP74" s="57" t="n"/>
      <c r="BQ74" s="57" t="n"/>
      <c r="BR74" s="57" t="n"/>
      <c r="BS74" s="57" t="n"/>
      <c r="BT74" s="67">
        <f>SUM(BP74:BS74)</f>
        <v/>
      </c>
      <c r="BU74" s="61" t="n"/>
      <c r="BV74" s="57" t="n"/>
      <c r="BW74" s="66">
        <f>BM74</f>
        <v/>
      </c>
      <c r="BX74" s="59" t="n"/>
      <c r="BY74" s="57" t="n"/>
      <c r="BZ74" s="57" t="n"/>
      <c r="CA74" s="57" t="n"/>
      <c r="CB74" s="57" t="n"/>
      <c r="CC74" s="67">
        <f>SUM(BY74:CB74)</f>
        <v/>
      </c>
      <c r="CD74" s="61" t="n"/>
      <c r="CE74" s="57" t="n"/>
      <c r="CF74" s="66">
        <f>BV74</f>
        <v/>
      </c>
      <c r="CG74" s="59" t="n"/>
      <c r="CH74" s="57" t="n"/>
      <c r="CI74" s="57" t="n"/>
      <c r="CJ74" s="57" t="n"/>
      <c r="CK74" s="57" t="n"/>
      <c r="CL74" s="67">
        <f>SUM(CH74:CK74)</f>
        <v/>
      </c>
      <c r="CM74" s="61" t="n"/>
      <c r="CN74" s="57" t="n"/>
      <c r="CO74" s="66">
        <f>CE74</f>
        <v/>
      </c>
      <c r="CP74" s="59" t="n"/>
      <c r="CQ74" s="57" t="n"/>
      <c r="CR74" s="57" t="n"/>
      <c r="CS74" s="57" t="n"/>
      <c r="CT74" s="57" t="n"/>
      <c r="CU74" s="67">
        <f>SUM(CQ74:CT74)</f>
        <v/>
      </c>
      <c r="CV74" s="61" t="n"/>
      <c r="CW74" s="57" t="n"/>
      <c r="CX74" s="66">
        <f>CN74</f>
        <v/>
      </c>
      <c r="CY74" s="59" t="n"/>
      <c r="CZ74" s="57" t="n"/>
      <c r="DA74" s="57" t="n"/>
      <c r="DB74" s="57" t="n"/>
      <c r="DC74" s="57" t="n"/>
      <c r="DD74" s="67">
        <f>SUM(CZ74:DC74)</f>
        <v/>
      </c>
      <c r="DE74" s="61" t="n"/>
      <c r="DF74" s="57" t="n"/>
      <c r="DG74" s="66">
        <f>CW74</f>
        <v/>
      </c>
      <c r="DH74" s="59" t="n"/>
      <c r="DI74" s="57" t="n"/>
      <c r="DJ74" s="57" t="n"/>
      <c r="DK74" s="57" t="n"/>
      <c r="DL74" s="57" t="n"/>
      <c r="DM74" s="67">
        <f>SUM(DI74:DL74)</f>
        <v/>
      </c>
      <c r="DN74" s="61" t="n"/>
      <c r="DO74" s="57" t="n"/>
      <c r="DP74" s="66">
        <f>DF74</f>
        <v/>
      </c>
      <c r="DQ74" s="59" t="n"/>
      <c r="DR74" s="57" t="n"/>
      <c r="DS74" s="57" t="n"/>
      <c r="DT74" s="57" t="n"/>
      <c r="DU74" s="57" t="n"/>
      <c r="DV74" s="67">
        <f>SUM(DR74:DU74)</f>
        <v/>
      </c>
      <c r="DW74" s="61" t="n"/>
      <c r="DX74" s="57" t="n"/>
      <c r="DY74" s="66">
        <f>DO74</f>
        <v/>
      </c>
      <c r="DZ74" s="59" t="n"/>
      <c r="EA74" s="57" t="n"/>
      <c r="EB74" s="57" t="n"/>
      <c r="EC74" s="57" t="n"/>
      <c r="ED74" s="57" t="n"/>
      <c r="EE74" s="67">
        <f>SUM(EA74:ED74)</f>
        <v/>
      </c>
      <c r="EF74" s="61" t="n"/>
      <c r="EG74" s="57" t="n"/>
      <c r="EH74" s="66">
        <f>DX74</f>
        <v/>
      </c>
      <c r="EI74" s="59" t="n"/>
      <c r="EJ74" s="57" t="n"/>
      <c r="EK74" s="57" t="n"/>
      <c r="EL74" s="57" t="n"/>
      <c r="EM74" s="57" t="n"/>
      <c r="EN74" s="67">
        <f>SUM(EJ74:EM74)</f>
        <v/>
      </c>
      <c r="EO74" s="61" t="n"/>
      <c r="EP74" s="57" t="n"/>
      <c r="EQ74" s="66">
        <f>EG74</f>
        <v/>
      </c>
      <c r="ER74" s="59" t="n"/>
      <c r="ES74" s="57" t="n"/>
      <c r="ET74" s="57" t="n"/>
      <c r="EU74" s="57" t="n"/>
      <c r="EV74" s="57" t="n"/>
      <c r="EW74" s="67">
        <f>SUM(ES74:EV74)</f>
        <v/>
      </c>
      <c r="EX74" s="61" t="n"/>
      <c r="EY74" s="57" t="n"/>
      <c r="EZ74" s="66">
        <f>EP74</f>
        <v/>
      </c>
      <c r="FA74" s="59" t="n"/>
      <c r="FB74" s="57" t="n"/>
      <c r="FC74" s="57" t="n"/>
      <c r="FD74" s="57" t="n"/>
      <c r="FE74" s="57" t="n"/>
      <c r="FF74" s="67">
        <f>SUM(FB74:FE74)</f>
        <v/>
      </c>
      <c r="FG74" s="61" t="n"/>
      <c r="FH74" s="57" t="n"/>
      <c r="FI74" s="66">
        <f>EY74</f>
        <v/>
      </c>
      <c r="FJ74" s="59" t="n"/>
      <c r="FK74" s="57" t="n"/>
      <c r="FL74" s="57" t="n"/>
      <c r="FM74" s="57" t="n"/>
      <c r="FN74" s="57" t="n"/>
      <c r="FO74" s="67">
        <f>SUM(FK74:FN74)</f>
        <v/>
      </c>
      <c r="FP74" s="61" t="n"/>
      <c r="FQ74" s="57" t="n"/>
      <c r="FR74" s="66">
        <f>FH74</f>
        <v/>
      </c>
      <c r="FS74" s="59" t="n"/>
      <c r="FT74" s="57" t="n"/>
      <c r="FU74" s="57" t="n"/>
      <c r="FV74" s="57" t="n"/>
      <c r="FW74" s="57" t="n"/>
      <c r="FX74" s="67">
        <f>SUM(FT74:FW74)</f>
        <v/>
      </c>
      <c r="FY74" s="61" t="n"/>
      <c r="FZ74" s="57" t="n"/>
      <c r="GA74" s="66">
        <f>FQ74</f>
        <v/>
      </c>
      <c r="GB74" s="59" t="n"/>
      <c r="GC74" s="57" t="n"/>
      <c r="GD74" s="57" t="n"/>
      <c r="GE74" s="57" t="n"/>
      <c r="GF74" s="57" t="n"/>
      <c r="GG74" s="67">
        <f>SUM(GC74:GF74)</f>
        <v/>
      </c>
      <c r="GH74" s="61" t="n"/>
      <c r="GI74" s="57" t="n"/>
      <c r="GJ74" s="66">
        <f>FZ74</f>
        <v/>
      </c>
      <c r="GK74" s="59" t="n"/>
      <c r="GL74" s="57" t="n"/>
      <c r="GM74" s="57" t="n"/>
      <c r="GN74" s="57" t="n"/>
      <c r="GO74" s="57" t="n"/>
      <c r="GP74" s="67">
        <f>SUM(GL74:GO74)</f>
        <v/>
      </c>
      <c r="GQ74" s="61" t="n"/>
      <c r="GR74" s="57" t="n"/>
      <c r="GS74" s="66">
        <f>GI74</f>
        <v/>
      </c>
      <c r="GT74" s="59" t="n"/>
      <c r="GU74" s="57" t="n"/>
      <c r="GV74" s="57" t="n"/>
      <c r="GW74" s="57" t="n"/>
      <c r="GX74" s="57" t="n"/>
      <c r="GY74" s="67">
        <f>SUM(GU74:GX74)</f>
        <v/>
      </c>
      <c r="GZ74" s="61" t="n"/>
      <c r="HA74" s="57" t="n"/>
      <c r="HB74" s="66">
        <f>GR74</f>
        <v/>
      </c>
      <c r="HC74" s="59" t="n"/>
      <c r="HD74" s="57" t="n"/>
      <c r="HE74" s="57" t="n"/>
      <c r="HF74" s="57" t="n"/>
      <c r="HG74" s="57" t="n"/>
      <c r="HH74" s="67">
        <f>SUM(HD74:HG74)</f>
        <v/>
      </c>
      <c r="HI74" s="61" t="n"/>
      <c r="HJ74" s="57" t="n"/>
      <c r="HK74" s="66">
        <f>HA74</f>
        <v/>
      </c>
      <c r="HL74" s="59" t="n"/>
      <c r="HM74" s="57" t="n"/>
      <c r="HN74" s="57" t="n"/>
      <c r="HO74" s="57" t="n"/>
      <c r="HP74" s="57" t="n"/>
      <c r="HQ74" s="67">
        <f>SUM(HM74:HP74)</f>
        <v/>
      </c>
      <c r="HR74" s="61" t="n"/>
      <c r="HS74" s="57" t="n"/>
      <c r="HT74" s="66">
        <f>HJ74</f>
        <v/>
      </c>
      <c r="HU74" s="59" t="n"/>
      <c r="HV74" s="57" t="n"/>
      <c r="HW74" s="57" t="n"/>
      <c r="HX74" s="57" t="n"/>
      <c r="HY74" s="57" t="n"/>
      <c r="HZ74" s="67">
        <f>SUM(HV74:HY74)</f>
        <v/>
      </c>
      <c r="IA74" s="61" t="n"/>
      <c r="IB74" s="57" t="n"/>
      <c r="IC74" s="66">
        <f>HS74</f>
        <v/>
      </c>
      <c r="ID74" s="59" t="n"/>
      <c r="IE74" s="57" t="n"/>
      <c r="IF74" s="57" t="n"/>
      <c r="IG74" s="57" t="n"/>
      <c r="IH74" s="57" t="n"/>
      <c r="II74" s="67">
        <f>SUM(IE74:IH74)</f>
        <v/>
      </c>
      <c r="IJ74" s="61" t="n"/>
      <c r="IK74" s="57" t="n"/>
      <c r="IL74" s="66">
        <f>IB74</f>
        <v/>
      </c>
      <c r="IM74" s="59" t="n"/>
      <c r="IN74" s="57" t="n"/>
      <c r="IO74" s="57" t="n"/>
      <c r="IP74" s="57" t="n"/>
      <c r="IQ74" s="57" t="n"/>
      <c r="IR74" s="67">
        <f>SUM(IN74:IQ74)</f>
        <v/>
      </c>
      <c r="IS74" s="61" t="n"/>
      <c r="IT74" s="57" t="n"/>
      <c r="IU74" s="66">
        <f>IK74</f>
        <v/>
      </c>
      <c r="IV74" s="59" t="n"/>
      <c r="IW74" s="57" t="n"/>
      <c r="IX74" s="57" t="n"/>
      <c r="IY74" s="57" t="n"/>
      <c r="IZ74" s="57" t="n"/>
      <c r="JA74" s="67">
        <f>SUM(IW74:IZ74)</f>
        <v/>
      </c>
      <c r="JB74" s="61" t="n"/>
      <c r="JC74" s="57" t="n"/>
      <c r="JD74" s="66">
        <f>IT74</f>
        <v/>
      </c>
      <c r="JE74" s="59" t="n"/>
      <c r="JF74" s="57" t="n"/>
      <c r="JG74" s="57" t="n"/>
      <c r="JH74" s="57" t="n"/>
      <c r="JI74" s="57" t="n"/>
      <c r="JJ74" s="67">
        <f>SUM(JF74:JI74)</f>
        <v/>
      </c>
      <c r="JK74" s="61" t="n"/>
      <c r="JL74" s="57" t="n"/>
      <c r="JM74" s="66">
        <f>JC74</f>
        <v/>
      </c>
      <c r="JN74" s="59" t="n"/>
      <c r="JO74" s="57" t="n"/>
      <c r="JP74" s="57" t="n"/>
      <c r="JQ74" s="57" t="n"/>
      <c r="JR74" s="57" t="n"/>
      <c r="JS74" s="67">
        <f>SUM(JO74:JR74)</f>
        <v/>
      </c>
      <c r="JT74" s="61" t="n"/>
      <c r="JU74" s="62">
        <f>I74+R74+AA74+AJ74+AS74+BB74+BK74+BT74+CC74+CL74+CU74+DD74+DM74+DV74+EE74+EN74+EW74+FF74+FO74+FX74+GG74+GP74+GY74+HH74+HQ74+HZ74+II74+IR74+JA74+JJ74+JS74</f>
        <v/>
      </c>
      <c r="JV74" s="63">
        <f>D74+M74+V74+AE74+AN74+AW74+BF74+BO74+BX74+CG74+CP74+CY74+DH74+DQ74+DZ74+EI74+ER74+FA74+FJ74+FS74+GB74+GK74+GT74+HC74+HL74+HU74+ID74+IM74+IV74+JE74+JN74</f>
        <v/>
      </c>
      <c r="JW74" s="62">
        <f>CHOOSE($Z$3,B74, K74, T74, AC74, AL74, AU74, BD74, BM74, BV74, CE74, CN74, CW74, DF74, DO74, DX74, EG74, EP74, EY74, FH74, FQ74, FZ74, GI74, GR74, HA74, HJ74, HS74, IB74, IK74, IT74, JC74, JL74)</f>
        <v/>
      </c>
      <c r="JX74" s="62">
        <f>IFERROR(JU74/$Z$3,0)</f>
        <v/>
      </c>
      <c r="JY74" s="62">
        <f>Configurações!$C$14</f>
        <v/>
      </c>
      <c r="JZ74" s="64">
        <f>IF(JY74=0,"— Sem meta",IF(JU74&gt;=JY74,"✓ Atingida","Em andamento"))</f>
        <v/>
      </c>
      <c r="KA74" s="65">
        <f>JU74+(6*0.0000001)</f>
        <v/>
      </c>
    </row>
    <row r="75" ht="20" customHeight="1">
      <c r="A75" s="56">
        <f>IF(Configurações!$B$15="","Assessor 9",Configurações!$B$15)</f>
        <v/>
      </c>
      <c r="B75" s="57" t="n"/>
      <c r="C75" s="58">
        <f>'Setembro'!$JW75</f>
        <v/>
      </c>
      <c r="D75" s="59" t="n"/>
      <c r="E75" s="57" t="n"/>
      <c r="F75" s="57" t="n"/>
      <c r="G75" s="57" t="n"/>
      <c r="H75" s="57" t="n"/>
      <c r="I75" s="60">
        <f>SUM(E75:H75)</f>
        <v/>
      </c>
      <c r="J75" s="61" t="n"/>
      <c r="K75" s="57" t="n"/>
      <c r="L75" s="58">
        <f>B75</f>
        <v/>
      </c>
      <c r="M75" s="59" t="n"/>
      <c r="N75" s="57" t="n"/>
      <c r="O75" s="57" t="n"/>
      <c r="P75" s="57" t="n"/>
      <c r="Q75" s="57" t="n"/>
      <c r="R75" s="60">
        <f>SUM(N75:Q75)</f>
        <v/>
      </c>
      <c r="S75" s="61" t="n"/>
      <c r="T75" s="57" t="n"/>
      <c r="U75" s="58">
        <f>K75</f>
        <v/>
      </c>
      <c r="V75" s="59" t="n"/>
      <c r="W75" s="57" t="n"/>
      <c r="X75" s="57" t="n"/>
      <c r="Y75" s="57" t="n"/>
      <c r="Z75" s="57" t="n"/>
      <c r="AA75" s="60">
        <f>SUM(W75:Z75)</f>
        <v/>
      </c>
      <c r="AB75" s="61" t="n"/>
      <c r="AC75" s="57" t="n"/>
      <c r="AD75" s="58">
        <f>T75</f>
        <v/>
      </c>
      <c r="AE75" s="59" t="n"/>
      <c r="AF75" s="57" t="n"/>
      <c r="AG75" s="57" t="n"/>
      <c r="AH75" s="57" t="n"/>
      <c r="AI75" s="57" t="n"/>
      <c r="AJ75" s="60">
        <f>SUM(AF75:AI75)</f>
        <v/>
      </c>
      <c r="AK75" s="61" t="n"/>
      <c r="AL75" s="57" t="n"/>
      <c r="AM75" s="58">
        <f>AC75</f>
        <v/>
      </c>
      <c r="AN75" s="59" t="n"/>
      <c r="AO75" s="57" t="n"/>
      <c r="AP75" s="57" t="n"/>
      <c r="AQ75" s="57" t="n"/>
      <c r="AR75" s="57" t="n"/>
      <c r="AS75" s="60">
        <f>SUM(AO75:AR75)</f>
        <v/>
      </c>
      <c r="AT75" s="61" t="n"/>
      <c r="AU75" s="57" t="n"/>
      <c r="AV75" s="58">
        <f>AL75</f>
        <v/>
      </c>
      <c r="AW75" s="59" t="n"/>
      <c r="AX75" s="57" t="n"/>
      <c r="AY75" s="57" t="n"/>
      <c r="AZ75" s="57" t="n"/>
      <c r="BA75" s="57" t="n"/>
      <c r="BB75" s="60">
        <f>SUM(AX75:BA75)</f>
        <v/>
      </c>
      <c r="BC75" s="61" t="n"/>
      <c r="BD75" s="57" t="n"/>
      <c r="BE75" s="58">
        <f>AU75</f>
        <v/>
      </c>
      <c r="BF75" s="59" t="n"/>
      <c r="BG75" s="57" t="n"/>
      <c r="BH75" s="57" t="n"/>
      <c r="BI75" s="57" t="n"/>
      <c r="BJ75" s="57" t="n"/>
      <c r="BK75" s="60">
        <f>SUM(BG75:BJ75)</f>
        <v/>
      </c>
      <c r="BL75" s="61" t="n"/>
      <c r="BM75" s="57" t="n"/>
      <c r="BN75" s="58">
        <f>BD75</f>
        <v/>
      </c>
      <c r="BO75" s="59" t="n"/>
      <c r="BP75" s="57" t="n"/>
      <c r="BQ75" s="57" t="n"/>
      <c r="BR75" s="57" t="n"/>
      <c r="BS75" s="57" t="n"/>
      <c r="BT75" s="60">
        <f>SUM(BP75:BS75)</f>
        <v/>
      </c>
      <c r="BU75" s="61" t="n"/>
      <c r="BV75" s="57" t="n"/>
      <c r="BW75" s="58">
        <f>BM75</f>
        <v/>
      </c>
      <c r="BX75" s="59" t="n"/>
      <c r="BY75" s="57" t="n"/>
      <c r="BZ75" s="57" t="n"/>
      <c r="CA75" s="57" t="n"/>
      <c r="CB75" s="57" t="n"/>
      <c r="CC75" s="60">
        <f>SUM(BY75:CB75)</f>
        <v/>
      </c>
      <c r="CD75" s="61" t="n"/>
      <c r="CE75" s="57" t="n"/>
      <c r="CF75" s="58">
        <f>BV75</f>
        <v/>
      </c>
      <c r="CG75" s="59" t="n"/>
      <c r="CH75" s="57" t="n"/>
      <c r="CI75" s="57" t="n"/>
      <c r="CJ75" s="57" t="n"/>
      <c r="CK75" s="57" t="n"/>
      <c r="CL75" s="60">
        <f>SUM(CH75:CK75)</f>
        <v/>
      </c>
      <c r="CM75" s="61" t="n"/>
      <c r="CN75" s="57" t="n"/>
      <c r="CO75" s="58">
        <f>CE75</f>
        <v/>
      </c>
      <c r="CP75" s="59" t="n"/>
      <c r="CQ75" s="57" t="n"/>
      <c r="CR75" s="57" t="n"/>
      <c r="CS75" s="57" t="n"/>
      <c r="CT75" s="57" t="n"/>
      <c r="CU75" s="60">
        <f>SUM(CQ75:CT75)</f>
        <v/>
      </c>
      <c r="CV75" s="61" t="n"/>
      <c r="CW75" s="57" t="n"/>
      <c r="CX75" s="58">
        <f>CN75</f>
        <v/>
      </c>
      <c r="CY75" s="59" t="n"/>
      <c r="CZ75" s="57" t="n"/>
      <c r="DA75" s="57" t="n"/>
      <c r="DB75" s="57" t="n"/>
      <c r="DC75" s="57" t="n"/>
      <c r="DD75" s="60">
        <f>SUM(CZ75:DC75)</f>
        <v/>
      </c>
      <c r="DE75" s="61" t="n"/>
      <c r="DF75" s="57" t="n"/>
      <c r="DG75" s="58">
        <f>CW75</f>
        <v/>
      </c>
      <c r="DH75" s="59" t="n"/>
      <c r="DI75" s="57" t="n"/>
      <c r="DJ75" s="57" t="n"/>
      <c r="DK75" s="57" t="n"/>
      <c r="DL75" s="57" t="n"/>
      <c r="DM75" s="60">
        <f>SUM(DI75:DL75)</f>
        <v/>
      </c>
      <c r="DN75" s="61" t="n"/>
      <c r="DO75" s="57" t="n"/>
      <c r="DP75" s="58">
        <f>DF75</f>
        <v/>
      </c>
      <c r="DQ75" s="59" t="n"/>
      <c r="DR75" s="57" t="n"/>
      <c r="DS75" s="57" t="n"/>
      <c r="DT75" s="57" t="n"/>
      <c r="DU75" s="57" t="n"/>
      <c r="DV75" s="60">
        <f>SUM(DR75:DU75)</f>
        <v/>
      </c>
      <c r="DW75" s="61" t="n"/>
      <c r="DX75" s="57" t="n"/>
      <c r="DY75" s="58">
        <f>DO75</f>
        <v/>
      </c>
      <c r="DZ75" s="59" t="n"/>
      <c r="EA75" s="57" t="n"/>
      <c r="EB75" s="57" t="n"/>
      <c r="EC75" s="57" t="n"/>
      <c r="ED75" s="57" t="n"/>
      <c r="EE75" s="60">
        <f>SUM(EA75:ED75)</f>
        <v/>
      </c>
      <c r="EF75" s="61" t="n"/>
      <c r="EG75" s="57" t="n"/>
      <c r="EH75" s="58">
        <f>DX75</f>
        <v/>
      </c>
      <c r="EI75" s="59" t="n"/>
      <c r="EJ75" s="57" t="n"/>
      <c r="EK75" s="57" t="n"/>
      <c r="EL75" s="57" t="n"/>
      <c r="EM75" s="57" t="n"/>
      <c r="EN75" s="60">
        <f>SUM(EJ75:EM75)</f>
        <v/>
      </c>
      <c r="EO75" s="61" t="n"/>
      <c r="EP75" s="57" t="n"/>
      <c r="EQ75" s="58">
        <f>EG75</f>
        <v/>
      </c>
      <c r="ER75" s="59" t="n"/>
      <c r="ES75" s="57" t="n"/>
      <c r="ET75" s="57" t="n"/>
      <c r="EU75" s="57" t="n"/>
      <c r="EV75" s="57" t="n"/>
      <c r="EW75" s="60">
        <f>SUM(ES75:EV75)</f>
        <v/>
      </c>
      <c r="EX75" s="61" t="n"/>
      <c r="EY75" s="57" t="n"/>
      <c r="EZ75" s="58">
        <f>EP75</f>
        <v/>
      </c>
      <c r="FA75" s="59" t="n"/>
      <c r="FB75" s="57" t="n"/>
      <c r="FC75" s="57" t="n"/>
      <c r="FD75" s="57" t="n"/>
      <c r="FE75" s="57" t="n"/>
      <c r="FF75" s="60">
        <f>SUM(FB75:FE75)</f>
        <v/>
      </c>
      <c r="FG75" s="61" t="n"/>
      <c r="FH75" s="57" t="n"/>
      <c r="FI75" s="58">
        <f>EY75</f>
        <v/>
      </c>
      <c r="FJ75" s="59" t="n"/>
      <c r="FK75" s="57" t="n"/>
      <c r="FL75" s="57" t="n"/>
      <c r="FM75" s="57" t="n"/>
      <c r="FN75" s="57" t="n"/>
      <c r="FO75" s="60">
        <f>SUM(FK75:FN75)</f>
        <v/>
      </c>
      <c r="FP75" s="61" t="n"/>
      <c r="FQ75" s="57" t="n"/>
      <c r="FR75" s="58">
        <f>FH75</f>
        <v/>
      </c>
      <c r="FS75" s="59" t="n"/>
      <c r="FT75" s="57" t="n"/>
      <c r="FU75" s="57" t="n"/>
      <c r="FV75" s="57" t="n"/>
      <c r="FW75" s="57" t="n"/>
      <c r="FX75" s="60">
        <f>SUM(FT75:FW75)</f>
        <v/>
      </c>
      <c r="FY75" s="61" t="n"/>
      <c r="FZ75" s="57" t="n"/>
      <c r="GA75" s="58">
        <f>FQ75</f>
        <v/>
      </c>
      <c r="GB75" s="59" t="n"/>
      <c r="GC75" s="57" t="n"/>
      <c r="GD75" s="57" t="n"/>
      <c r="GE75" s="57" t="n"/>
      <c r="GF75" s="57" t="n"/>
      <c r="GG75" s="60">
        <f>SUM(GC75:GF75)</f>
        <v/>
      </c>
      <c r="GH75" s="61" t="n"/>
      <c r="GI75" s="57" t="n"/>
      <c r="GJ75" s="58">
        <f>FZ75</f>
        <v/>
      </c>
      <c r="GK75" s="59" t="n"/>
      <c r="GL75" s="57" t="n"/>
      <c r="GM75" s="57" t="n"/>
      <c r="GN75" s="57" t="n"/>
      <c r="GO75" s="57" t="n"/>
      <c r="GP75" s="60">
        <f>SUM(GL75:GO75)</f>
        <v/>
      </c>
      <c r="GQ75" s="61" t="n"/>
      <c r="GR75" s="57" t="n"/>
      <c r="GS75" s="58">
        <f>GI75</f>
        <v/>
      </c>
      <c r="GT75" s="59" t="n"/>
      <c r="GU75" s="57" t="n"/>
      <c r="GV75" s="57" t="n"/>
      <c r="GW75" s="57" t="n"/>
      <c r="GX75" s="57" t="n"/>
      <c r="GY75" s="60">
        <f>SUM(GU75:GX75)</f>
        <v/>
      </c>
      <c r="GZ75" s="61" t="n"/>
      <c r="HA75" s="57" t="n"/>
      <c r="HB75" s="58">
        <f>GR75</f>
        <v/>
      </c>
      <c r="HC75" s="59" t="n"/>
      <c r="HD75" s="57" t="n"/>
      <c r="HE75" s="57" t="n"/>
      <c r="HF75" s="57" t="n"/>
      <c r="HG75" s="57" t="n"/>
      <c r="HH75" s="60">
        <f>SUM(HD75:HG75)</f>
        <v/>
      </c>
      <c r="HI75" s="61" t="n"/>
      <c r="HJ75" s="57" t="n"/>
      <c r="HK75" s="58">
        <f>HA75</f>
        <v/>
      </c>
      <c r="HL75" s="59" t="n"/>
      <c r="HM75" s="57" t="n"/>
      <c r="HN75" s="57" t="n"/>
      <c r="HO75" s="57" t="n"/>
      <c r="HP75" s="57" t="n"/>
      <c r="HQ75" s="60">
        <f>SUM(HM75:HP75)</f>
        <v/>
      </c>
      <c r="HR75" s="61" t="n"/>
      <c r="HS75" s="57" t="n"/>
      <c r="HT75" s="58">
        <f>HJ75</f>
        <v/>
      </c>
      <c r="HU75" s="59" t="n"/>
      <c r="HV75" s="57" t="n"/>
      <c r="HW75" s="57" t="n"/>
      <c r="HX75" s="57" t="n"/>
      <c r="HY75" s="57" t="n"/>
      <c r="HZ75" s="60">
        <f>SUM(HV75:HY75)</f>
        <v/>
      </c>
      <c r="IA75" s="61" t="n"/>
      <c r="IB75" s="57" t="n"/>
      <c r="IC75" s="58">
        <f>HS75</f>
        <v/>
      </c>
      <c r="ID75" s="59" t="n"/>
      <c r="IE75" s="57" t="n"/>
      <c r="IF75" s="57" t="n"/>
      <c r="IG75" s="57" t="n"/>
      <c r="IH75" s="57" t="n"/>
      <c r="II75" s="60">
        <f>SUM(IE75:IH75)</f>
        <v/>
      </c>
      <c r="IJ75" s="61" t="n"/>
      <c r="IK75" s="57" t="n"/>
      <c r="IL75" s="58">
        <f>IB75</f>
        <v/>
      </c>
      <c r="IM75" s="59" t="n"/>
      <c r="IN75" s="57" t="n"/>
      <c r="IO75" s="57" t="n"/>
      <c r="IP75" s="57" t="n"/>
      <c r="IQ75" s="57" t="n"/>
      <c r="IR75" s="60">
        <f>SUM(IN75:IQ75)</f>
        <v/>
      </c>
      <c r="IS75" s="61" t="n"/>
      <c r="IT75" s="57" t="n"/>
      <c r="IU75" s="58">
        <f>IK75</f>
        <v/>
      </c>
      <c r="IV75" s="59" t="n"/>
      <c r="IW75" s="57" t="n"/>
      <c r="IX75" s="57" t="n"/>
      <c r="IY75" s="57" t="n"/>
      <c r="IZ75" s="57" t="n"/>
      <c r="JA75" s="60">
        <f>SUM(IW75:IZ75)</f>
        <v/>
      </c>
      <c r="JB75" s="61" t="n"/>
      <c r="JC75" s="57" t="n"/>
      <c r="JD75" s="58">
        <f>IT75</f>
        <v/>
      </c>
      <c r="JE75" s="59" t="n"/>
      <c r="JF75" s="57" t="n"/>
      <c r="JG75" s="57" t="n"/>
      <c r="JH75" s="57" t="n"/>
      <c r="JI75" s="57" t="n"/>
      <c r="JJ75" s="60">
        <f>SUM(JF75:JI75)</f>
        <v/>
      </c>
      <c r="JK75" s="61" t="n"/>
      <c r="JL75" s="57" t="n"/>
      <c r="JM75" s="58">
        <f>JC75</f>
        <v/>
      </c>
      <c r="JN75" s="59" t="n"/>
      <c r="JO75" s="57" t="n"/>
      <c r="JP75" s="57" t="n"/>
      <c r="JQ75" s="57" t="n"/>
      <c r="JR75" s="57" t="n"/>
      <c r="JS75" s="60">
        <f>SUM(JO75:JR75)</f>
        <v/>
      </c>
      <c r="JT75" s="61" t="n"/>
      <c r="JU75" s="62">
        <f>I75+R75+AA75+AJ75+AS75+BB75+BK75+BT75+CC75+CL75+CU75+DD75+DM75+DV75+EE75+EN75+EW75+FF75+FO75+FX75+GG75+GP75+GY75+HH75+HQ75+HZ75+II75+IR75+JA75+JJ75+JS75</f>
        <v/>
      </c>
      <c r="JV75" s="63">
        <f>D75+M75+V75+AE75+AN75+AW75+BF75+BO75+BX75+CG75+CP75+CY75+DH75+DQ75+DZ75+EI75+ER75+FA75+FJ75+FS75+GB75+GK75+GT75+HC75+HL75+HU75+ID75+IM75+IV75+JE75+JN75</f>
        <v/>
      </c>
      <c r="JW75" s="62">
        <f>CHOOSE($Z$3,B75, K75, T75, AC75, AL75, AU75, BD75, BM75, BV75, CE75, CN75, CW75, DF75, DO75, DX75, EG75, EP75, EY75, FH75, FQ75, FZ75, GI75, GR75, HA75, HJ75, HS75, IB75, IK75, IT75, JC75, JL75)</f>
        <v/>
      </c>
      <c r="JX75" s="62">
        <f>IFERROR(JU75/$Z$3,0)</f>
        <v/>
      </c>
      <c r="JY75" s="62">
        <f>Configurações!$C$15</f>
        <v/>
      </c>
      <c r="JZ75" s="64">
        <f>IF(JY75=0,"— Sem meta",IF(JU75&gt;=JY75,"✓ Atingida","Em andamento"))</f>
        <v/>
      </c>
      <c r="KA75" s="65">
        <f>JU75+(5*0.0000001)</f>
        <v/>
      </c>
    </row>
    <row r="76" ht="20" customHeight="1">
      <c r="A76" s="56">
        <f>IF(Configurações!$B$16="","Assessor 10",Configurações!$B$16)</f>
        <v/>
      </c>
      <c r="B76" s="57" t="n"/>
      <c r="C76" s="66">
        <f>'Setembro'!$JW76</f>
        <v/>
      </c>
      <c r="D76" s="59" t="n"/>
      <c r="E76" s="57" t="n"/>
      <c r="F76" s="57" t="n"/>
      <c r="G76" s="57" t="n"/>
      <c r="H76" s="57" t="n"/>
      <c r="I76" s="67">
        <f>SUM(E76:H76)</f>
        <v/>
      </c>
      <c r="J76" s="61" t="n"/>
      <c r="K76" s="57" t="n"/>
      <c r="L76" s="66">
        <f>B76</f>
        <v/>
      </c>
      <c r="M76" s="59" t="n"/>
      <c r="N76" s="57" t="n"/>
      <c r="O76" s="57" t="n"/>
      <c r="P76" s="57" t="n"/>
      <c r="Q76" s="57" t="n"/>
      <c r="R76" s="67">
        <f>SUM(N76:Q76)</f>
        <v/>
      </c>
      <c r="S76" s="61" t="n"/>
      <c r="T76" s="57" t="n"/>
      <c r="U76" s="66">
        <f>K76</f>
        <v/>
      </c>
      <c r="V76" s="59" t="n"/>
      <c r="W76" s="57" t="n"/>
      <c r="X76" s="57" t="n"/>
      <c r="Y76" s="57" t="n"/>
      <c r="Z76" s="57" t="n"/>
      <c r="AA76" s="67">
        <f>SUM(W76:Z76)</f>
        <v/>
      </c>
      <c r="AB76" s="61" t="n"/>
      <c r="AC76" s="57" t="n"/>
      <c r="AD76" s="66">
        <f>T76</f>
        <v/>
      </c>
      <c r="AE76" s="59" t="n"/>
      <c r="AF76" s="57" t="n"/>
      <c r="AG76" s="57" t="n"/>
      <c r="AH76" s="57" t="n"/>
      <c r="AI76" s="57" t="n"/>
      <c r="AJ76" s="67">
        <f>SUM(AF76:AI76)</f>
        <v/>
      </c>
      <c r="AK76" s="61" t="n"/>
      <c r="AL76" s="57" t="n"/>
      <c r="AM76" s="66">
        <f>AC76</f>
        <v/>
      </c>
      <c r="AN76" s="59" t="n"/>
      <c r="AO76" s="57" t="n"/>
      <c r="AP76" s="57" t="n"/>
      <c r="AQ76" s="57" t="n"/>
      <c r="AR76" s="57" t="n"/>
      <c r="AS76" s="67">
        <f>SUM(AO76:AR76)</f>
        <v/>
      </c>
      <c r="AT76" s="61" t="n"/>
      <c r="AU76" s="57" t="n"/>
      <c r="AV76" s="66">
        <f>AL76</f>
        <v/>
      </c>
      <c r="AW76" s="59" t="n"/>
      <c r="AX76" s="57" t="n"/>
      <c r="AY76" s="57" t="n"/>
      <c r="AZ76" s="57" t="n"/>
      <c r="BA76" s="57" t="n"/>
      <c r="BB76" s="67">
        <f>SUM(AX76:BA76)</f>
        <v/>
      </c>
      <c r="BC76" s="61" t="n"/>
      <c r="BD76" s="57" t="n"/>
      <c r="BE76" s="66">
        <f>AU76</f>
        <v/>
      </c>
      <c r="BF76" s="59" t="n"/>
      <c r="BG76" s="57" t="n"/>
      <c r="BH76" s="57" t="n"/>
      <c r="BI76" s="57" t="n"/>
      <c r="BJ76" s="57" t="n"/>
      <c r="BK76" s="67">
        <f>SUM(BG76:BJ76)</f>
        <v/>
      </c>
      <c r="BL76" s="61" t="n"/>
      <c r="BM76" s="57" t="n"/>
      <c r="BN76" s="66">
        <f>BD76</f>
        <v/>
      </c>
      <c r="BO76" s="59" t="n"/>
      <c r="BP76" s="57" t="n"/>
      <c r="BQ76" s="57" t="n"/>
      <c r="BR76" s="57" t="n"/>
      <c r="BS76" s="57" t="n"/>
      <c r="BT76" s="67">
        <f>SUM(BP76:BS76)</f>
        <v/>
      </c>
      <c r="BU76" s="61" t="n"/>
      <c r="BV76" s="57" t="n"/>
      <c r="BW76" s="66">
        <f>BM76</f>
        <v/>
      </c>
      <c r="BX76" s="59" t="n"/>
      <c r="BY76" s="57" t="n"/>
      <c r="BZ76" s="57" t="n"/>
      <c r="CA76" s="57" t="n"/>
      <c r="CB76" s="57" t="n"/>
      <c r="CC76" s="67">
        <f>SUM(BY76:CB76)</f>
        <v/>
      </c>
      <c r="CD76" s="61" t="n"/>
      <c r="CE76" s="57" t="n"/>
      <c r="CF76" s="66">
        <f>BV76</f>
        <v/>
      </c>
      <c r="CG76" s="59" t="n"/>
      <c r="CH76" s="57" t="n"/>
      <c r="CI76" s="57" t="n"/>
      <c r="CJ76" s="57" t="n"/>
      <c r="CK76" s="57" t="n"/>
      <c r="CL76" s="67">
        <f>SUM(CH76:CK76)</f>
        <v/>
      </c>
      <c r="CM76" s="61" t="n"/>
      <c r="CN76" s="57" t="n"/>
      <c r="CO76" s="66">
        <f>CE76</f>
        <v/>
      </c>
      <c r="CP76" s="59" t="n"/>
      <c r="CQ76" s="57" t="n"/>
      <c r="CR76" s="57" t="n"/>
      <c r="CS76" s="57" t="n"/>
      <c r="CT76" s="57" t="n"/>
      <c r="CU76" s="67">
        <f>SUM(CQ76:CT76)</f>
        <v/>
      </c>
      <c r="CV76" s="61" t="n"/>
      <c r="CW76" s="57" t="n"/>
      <c r="CX76" s="66">
        <f>CN76</f>
        <v/>
      </c>
      <c r="CY76" s="59" t="n"/>
      <c r="CZ76" s="57" t="n"/>
      <c r="DA76" s="57" t="n"/>
      <c r="DB76" s="57" t="n"/>
      <c r="DC76" s="57" t="n"/>
      <c r="DD76" s="67">
        <f>SUM(CZ76:DC76)</f>
        <v/>
      </c>
      <c r="DE76" s="61" t="n"/>
      <c r="DF76" s="57" t="n"/>
      <c r="DG76" s="66">
        <f>CW76</f>
        <v/>
      </c>
      <c r="DH76" s="59" t="n"/>
      <c r="DI76" s="57" t="n"/>
      <c r="DJ76" s="57" t="n"/>
      <c r="DK76" s="57" t="n"/>
      <c r="DL76" s="57" t="n"/>
      <c r="DM76" s="67">
        <f>SUM(DI76:DL76)</f>
        <v/>
      </c>
      <c r="DN76" s="61" t="n"/>
      <c r="DO76" s="57" t="n"/>
      <c r="DP76" s="66">
        <f>DF76</f>
        <v/>
      </c>
      <c r="DQ76" s="59" t="n"/>
      <c r="DR76" s="57" t="n"/>
      <c r="DS76" s="57" t="n"/>
      <c r="DT76" s="57" t="n"/>
      <c r="DU76" s="57" t="n"/>
      <c r="DV76" s="67">
        <f>SUM(DR76:DU76)</f>
        <v/>
      </c>
      <c r="DW76" s="61" t="n"/>
      <c r="DX76" s="57" t="n"/>
      <c r="DY76" s="66">
        <f>DO76</f>
        <v/>
      </c>
      <c r="DZ76" s="59" t="n"/>
      <c r="EA76" s="57" t="n"/>
      <c r="EB76" s="57" t="n"/>
      <c r="EC76" s="57" t="n"/>
      <c r="ED76" s="57" t="n"/>
      <c r="EE76" s="67">
        <f>SUM(EA76:ED76)</f>
        <v/>
      </c>
      <c r="EF76" s="61" t="n"/>
      <c r="EG76" s="57" t="n"/>
      <c r="EH76" s="66">
        <f>DX76</f>
        <v/>
      </c>
      <c r="EI76" s="59" t="n"/>
      <c r="EJ76" s="57" t="n"/>
      <c r="EK76" s="57" t="n"/>
      <c r="EL76" s="57" t="n"/>
      <c r="EM76" s="57" t="n"/>
      <c r="EN76" s="67">
        <f>SUM(EJ76:EM76)</f>
        <v/>
      </c>
      <c r="EO76" s="61" t="n"/>
      <c r="EP76" s="57" t="n"/>
      <c r="EQ76" s="66">
        <f>EG76</f>
        <v/>
      </c>
      <c r="ER76" s="59" t="n"/>
      <c r="ES76" s="57" t="n"/>
      <c r="ET76" s="57" t="n"/>
      <c r="EU76" s="57" t="n"/>
      <c r="EV76" s="57" t="n"/>
      <c r="EW76" s="67">
        <f>SUM(ES76:EV76)</f>
        <v/>
      </c>
      <c r="EX76" s="61" t="n"/>
      <c r="EY76" s="57" t="n"/>
      <c r="EZ76" s="66">
        <f>EP76</f>
        <v/>
      </c>
      <c r="FA76" s="59" t="n"/>
      <c r="FB76" s="57" t="n"/>
      <c r="FC76" s="57" t="n"/>
      <c r="FD76" s="57" t="n"/>
      <c r="FE76" s="57" t="n"/>
      <c r="FF76" s="67">
        <f>SUM(FB76:FE76)</f>
        <v/>
      </c>
      <c r="FG76" s="61" t="n"/>
      <c r="FH76" s="57" t="n"/>
      <c r="FI76" s="66">
        <f>EY76</f>
        <v/>
      </c>
      <c r="FJ76" s="59" t="n"/>
      <c r="FK76" s="57" t="n"/>
      <c r="FL76" s="57" t="n"/>
      <c r="FM76" s="57" t="n"/>
      <c r="FN76" s="57" t="n"/>
      <c r="FO76" s="67">
        <f>SUM(FK76:FN76)</f>
        <v/>
      </c>
      <c r="FP76" s="61" t="n"/>
      <c r="FQ76" s="57" t="n"/>
      <c r="FR76" s="66">
        <f>FH76</f>
        <v/>
      </c>
      <c r="FS76" s="59" t="n"/>
      <c r="FT76" s="57" t="n"/>
      <c r="FU76" s="57" t="n"/>
      <c r="FV76" s="57" t="n"/>
      <c r="FW76" s="57" t="n"/>
      <c r="FX76" s="67">
        <f>SUM(FT76:FW76)</f>
        <v/>
      </c>
      <c r="FY76" s="61" t="n"/>
      <c r="FZ76" s="57" t="n"/>
      <c r="GA76" s="66">
        <f>FQ76</f>
        <v/>
      </c>
      <c r="GB76" s="59" t="n"/>
      <c r="GC76" s="57" t="n"/>
      <c r="GD76" s="57" t="n"/>
      <c r="GE76" s="57" t="n"/>
      <c r="GF76" s="57" t="n"/>
      <c r="GG76" s="67">
        <f>SUM(GC76:GF76)</f>
        <v/>
      </c>
      <c r="GH76" s="61" t="n"/>
      <c r="GI76" s="57" t="n"/>
      <c r="GJ76" s="66">
        <f>FZ76</f>
        <v/>
      </c>
      <c r="GK76" s="59" t="n"/>
      <c r="GL76" s="57" t="n"/>
      <c r="GM76" s="57" t="n"/>
      <c r="GN76" s="57" t="n"/>
      <c r="GO76" s="57" t="n"/>
      <c r="GP76" s="67">
        <f>SUM(GL76:GO76)</f>
        <v/>
      </c>
      <c r="GQ76" s="61" t="n"/>
      <c r="GR76" s="57" t="n"/>
      <c r="GS76" s="66">
        <f>GI76</f>
        <v/>
      </c>
      <c r="GT76" s="59" t="n"/>
      <c r="GU76" s="57" t="n"/>
      <c r="GV76" s="57" t="n"/>
      <c r="GW76" s="57" t="n"/>
      <c r="GX76" s="57" t="n"/>
      <c r="GY76" s="67">
        <f>SUM(GU76:GX76)</f>
        <v/>
      </c>
      <c r="GZ76" s="61" t="n"/>
      <c r="HA76" s="57" t="n"/>
      <c r="HB76" s="66">
        <f>GR76</f>
        <v/>
      </c>
      <c r="HC76" s="59" t="n"/>
      <c r="HD76" s="57" t="n"/>
      <c r="HE76" s="57" t="n"/>
      <c r="HF76" s="57" t="n"/>
      <c r="HG76" s="57" t="n"/>
      <c r="HH76" s="67">
        <f>SUM(HD76:HG76)</f>
        <v/>
      </c>
      <c r="HI76" s="61" t="n"/>
      <c r="HJ76" s="57" t="n"/>
      <c r="HK76" s="66">
        <f>HA76</f>
        <v/>
      </c>
      <c r="HL76" s="59" t="n"/>
      <c r="HM76" s="57" t="n"/>
      <c r="HN76" s="57" t="n"/>
      <c r="HO76" s="57" t="n"/>
      <c r="HP76" s="57" t="n"/>
      <c r="HQ76" s="67">
        <f>SUM(HM76:HP76)</f>
        <v/>
      </c>
      <c r="HR76" s="61" t="n"/>
      <c r="HS76" s="57" t="n"/>
      <c r="HT76" s="66">
        <f>HJ76</f>
        <v/>
      </c>
      <c r="HU76" s="59" t="n"/>
      <c r="HV76" s="57" t="n"/>
      <c r="HW76" s="57" t="n"/>
      <c r="HX76" s="57" t="n"/>
      <c r="HY76" s="57" t="n"/>
      <c r="HZ76" s="67">
        <f>SUM(HV76:HY76)</f>
        <v/>
      </c>
      <c r="IA76" s="61" t="n"/>
      <c r="IB76" s="57" t="n"/>
      <c r="IC76" s="66">
        <f>HS76</f>
        <v/>
      </c>
      <c r="ID76" s="59" t="n"/>
      <c r="IE76" s="57" t="n"/>
      <c r="IF76" s="57" t="n"/>
      <c r="IG76" s="57" t="n"/>
      <c r="IH76" s="57" t="n"/>
      <c r="II76" s="67">
        <f>SUM(IE76:IH76)</f>
        <v/>
      </c>
      <c r="IJ76" s="61" t="n"/>
      <c r="IK76" s="57" t="n"/>
      <c r="IL76" s="66">
        <f>IB76</f>
        <v/>
      </c>
      <c r="IM76" s="59" t="n"/>
      <c r="IN76" s="57" t="n"/>
      <c r="IO76" s="57" t="n"/>
      <c r="IP76" s="57" t="n"/>
      <c r="IQ76" s="57" t="n"/>
      <c r="IR76" s="67">
        <f>SUM(IN76:IQ76)</f>
        <v/>
      </c>
      <c r="IS76" s="61" t="n"/>
      <c r="IT76" s="57" t="n"/>
      <c r="IU76" s="66">
        <f>IK76</f>
        <v/>
      </c>
      <c r="IV76" s="59" t="n"/>
      <c r="IW76" s="57" t="n"/>
      <c r="IX76" s="57" t="n"/>
      <c r="IY76" s="57" t="n"/>
      <c r="IZ76" s="57" t="n"/>
      <c r="JA76" s="67">
        <f>SUM(IW76:IZ76)</f>
        <v/>
      </c>
      <c r="JB76" s="61" t="n"/>
      <c r="JC76" s="57" t="n"/>
      <c r="JD76" s="66">
        <f>IT76</f>
        <v/>
      </c>
      <c r="JE76" s="59" t="n"/>
      <c r="JF76" s="57" t="n"/>
      <c r="JG76" s="57" t="n"/>
      <c r="JH76" s="57" t="n"/>
      <c r="JI76" s="57" t="n"/>
      <c r="JJ76" s="67">
        <f>SUM(JF76:JI76)</f>
        <v/>
      </c>
      <c r="JK76" s="61" t="n"/>
      <c r="JL76" s="57" t="n"/>
      <c r="JM76" s="66">
        <f>JC76</f>
        <v/>
      </c>
      <c r="JN76" s="59" t="n"/>
      <c r="JO76" s="57" t="n"/>
      <c r="JP76" s="57" t="n"/>
      <c r="JQ76" s="57" t="n"/>
      <c r="JR76" s="57" t="n"/>
      <c r="JS76" s="67">
        <f>SUM(JO76:JR76)</f>
        <v/>
      </c>
      <c r="JT76" s="61" t="n"/>
      <c r="JU76" s="62">
        <f>I76+R76+AA76+AJ76+AS76+BB76+BK76+BT76+CC76+CL76+CU76+DD76+DM76+DV76+EE76+EN76+EW76+FF76+FO76+FX76+GG76+GP76+GY76+HH76+HQ76+HZ76+II76+IR76+JA76+JJ76+JS76</f>
        <v/>
      </c>
      <c r="JV76" s="63">
        <f>D76+M76+V76+AE76+AN76+AW76+BF76+BO76+BX76+CG76+CP76+CY76+DH76+DQ76+DZ76+EI76+ER76+FA76+FJ76+FS76+GB76+GK76+GT76+HC76+HL76+HU76+ID76+IM76+IV76+JE76+JN76</f>
        <v/>
      </c>
      <c r="JW76" s="62">
        <f>CHOOSE($Z$3,B76, K76, T76, AC76, AL76, AU76, BD76, BM76, BV76, CE76, CN76, CW76, DF76, DO76, DX76, EG76, EP76, EY76, FH76, FQ76, FZ76, GI76, GR76, HA76, HJ76, HS76, IB76, IK76, IT76, JC76, JL76)</f>
        <v/>
      </c>
      <c r="JX76" s="62">
        <f>IFERROR(JU76/$Z$3,0)</f>
        <v/>
      </c>
      <c r="JY76" s="62">
        <f>Configurações!$C$16</f>
        <v/>
      </c>
      <c r="JZ76" s="64">
        <f>IF(JY76=0,"— Sem meta",IF(JU76&gt;=JY76,"✓ Atingida","Em andamento"))</f>
        <v/>
      </c>
      <c r="KA76" s="65">
        <f>JU76+(4*0.0000001)</f>
        <v/>
      </c>
    </row>
    <row r="77" ht="20" customHeight="1">
      <c r="A77" s="56">
        <f>IF(Configurações!$B$17="","Assessor 11",Configurações!$B$17)</f>
        <v/>
      </c>
      <c r="B77" s="57" t="n"/>
      <c r="C77" s="58">
        <f>'Setembro'!$JW77</f>
        <v/>
      </c>
      <c r="D77" s="59" t="n"/>
      <c r="E77" s="57" t="n"/>
      <c r="F77" s="57" t="n"/>
      <c r="G77" s="57" t="n"/>
      <c r="H77" s="57" t="n"/>
      <c r="I77" s="60">
        <f>SUM(E77:H77)</f>
        <v/>
      </c>
      <c r="J77" s="61" t="n"/>
      <c r="K77" s="57" t="n"/>
      <c r="L77" s="58">
        <f>B77</f>
        <v/>
      </c>
      <c r="M77" s="59" t="n"/>
      <c r="N77" s="57" t="n"/>
      <c r="O77" s="57" t="n"/>
      <c r="P77" s="57" t="n"/>
      <c r="Q77" s="57" t="n"/>
      <c r="R77" s="60">
        <f>SUM(N77:Q77)</f>
        <v/>
      </c>
      <c r="S77" s="61" t="n"/>
      <c r="T77" s="57" t="n"/>
      <c r="U77" s="58">
        <f>K77</f>
        <v/>
      </c>
      <c r="V77" s="59" t="n"/>
      <c r="W77" s="57" t="n"/>
      <c r="X77" s="57" t="n"/>
      <c r="Y77" s="57" t="n"/>
      <c r="Z77" s="57" t="n"/>
      <c r="AA77" s="60">
        <f>SUM(W77:Z77)</f>
        <v/>
      </c>
      <c r="AB77" s="61" t="n"/>
      <c r="AC77" s="57" t="n"/>
      <c r="AD77" s="58">
        <f>T77</f>
        <v/>
      </c>
      <c r="AE77" s="59" t="n"/>
      <c r="AF77" s="57" t="n"/>
      <c r="AG77" s="57" t="n"/>
      <c r="AH77" s="57" t="n"/>
      <c r="AI77" s="57" t="n"/>
      <c r="AJ77" s="60">
        <f>SUM(AF77:AI77)</f>
        <v/>
      </c>
      <c r="AK77" s="61" t="n"/>
      <c r="AL77" s="57" t="n"/>
      <c r="AM77" s="58">
        <f>AC77</f>
        <v/>
      </c>
      <c r="AN77" s="59" t="n"/>
      <c r="AO77" s="57" t="n"/>
      <c r="AP77" s="57" t="n"/>
      <c r="AQ77" s="57" t="n"/>
      <c r="AR77" s="57" t="n"/>
      <c r="AS77" s="60">
        <f>SUM(AO77:AR77)</f>
        <v/>
      </c>
      <c r="AT77" s="61" t="n"/>
      <c r="AU77" s="57" t="n"/>
      <c r="AV77" s="58">
        <f>AL77</f>
        <v/>
      </c>
      <c r="AW77" s="59" t="n"/>
      <c r="AX77" s="57" t="n"/>
      <c r="AY77" s="57" t="n"/>
      <c r="AZ77" s="57" t="n"/>
      <c r="BA77" s="57" t="n"/>
      <c r="BB77" s="60">
        <f>SUM(AX77:BA77)</f>
        <v/>
      </c>
      <c r="BC77" s="61" t="n"/>
      <c r="BD77" s="57" t="n"/>
      <c r="BE77" s="58">
        <f>AU77</f>
        <v/>
      </c>
      <c r="BF77" s="59" t="n"/>
      <c r="BG77" s="57" t="n"/>
      <c r="BH77" s="57" t="n"/>
      <c r="BI77" s="57" t="n"/>
      <c r="BJ77" s="57" t="n"/>
      <c r="BK77" s="60">
        <f>SUM(BG77:BJ77)</f>
        <v/>
      </c>
      <c r="BL77" s="61" t="n"/>
      <c r="BM77" s="57" t="n"/>
      <c r="BN77" s="58">
        <f>BD77</f>
        <v/>
      </c>
      <c r="BO77" s="59" t="n"/>
      <c r="BP77" s="57" t="n"/>
      <c r="BQ77" s="57" t="n"/>
      <c r="BR77" s="57" t="n"/>
      <c r="BS77" s="57" t="n"/>
      <c r="BT77" s="60">
        <f>SUM(BP77:BS77)</f>
        <v/>
      </c>
      <c r="BU77" s="61" t="n"/>
      <c r="BV77" s="57" t="n"/>
      <c r="BW77" s="58">
        <f>BM77</f>
        <v/>
      </c>
      <c r="BX77" s="59" t="n"/>
      <c r="BY77" s="57" t="n"/>
      <c r="BZ77" s="57" t="n"/>
      <c r="CA77" s="57" t="n"/>
      <c r="CB77" s="57" t="n"/>
      <c r="CC77" s="60">
        <f>SUM(BY77:CB77)</f>
        <v/>
      </c>
      <c r="CD77" s="61" t="n"/>
      <c r="CE77" s="57" t="n"/>
      <c r="CF77" s="58">
        <f>BV77</f>
        <v/>
      </c>
      <c r="CG77" s="59" t="n"/>
      <c r="CH77" s="57" t="n"/>
      <c r="CI77" s="57" t="n"/>
      <c r="CJ77" s="57" t="n"/>
      <c r="CK77" s="57" t="n"/>
      <c r="CL77" s="60">
        <f>SUM(CH77:CK77)</f>
        <v/>
      </c>
      <c r="CM77" s="61" t="n"/>
      <c r="CN77" s="57" t="n"/>
      <c r="CO77" s="58">
        <f>CE77</f>
        <v/>
      </c>
      <c r="CP77" s="59" t="n"/>
      <c r="CQ77" s="57" t="n"/>
      <c r="CR77" s="57" t="n"/>
      <c r="CS77" s="57" t="n"/>
      <c r="CT77" s="57" t="n"/>
      <c r="CU77" s="60">
        <f>SUM(CQ77:CT77)</f>
        <v/>
      </c>
      <c r="CV77" s="61" t="n"/>
      <c r="CW77" s="57" t="n"/>
      <c r="CX77" s="58">
        <f>CN77</f>
        <v/>
      </c>
      <c r="CY77" s="59" t="n"/>
      <c r="CZ77" s="57" t="n"/>
      <c r="DA77" s="57" t="n"/>
      <c r="DB77" s="57" t="n"/>
      <c r="DC77" s="57" t="n"/>
      <c r="DD77" s="60">
        <f>SUM(CZ77:DC77)</f>
        <v/>
      </c>
      <c r="DE77" s="61" t="n"/>
      <c r="DF77" s="57" t="n"/>
      <c r="DG77" s="58">
        <f>CW77</f>
        <v/>
      </c>
      <c r="DH77" s="59" t="n"/>
      <c r="DI77" s="57" t="n"/>
      <c r="DJ77" s="57" t="n"/>
      <c r="DK77" s="57" t="n"/>
      <c r="DL77" s="57" t="n"/>
      <c r="DM77" s="60">
        <f>SUM(DI77:DL77)</f>
        <v/>
      </c>
      <c r="DN77" s="61" t="n"/>
      <c r="DO77" s="57" t="n"/>
      <c r="DP77" s="58">
        <f>DF77</f>
        <v/>
      </c>
      <c r="DQ77" s="59" t="n"/>
      <c r="DR77" s="57" t="n"/>
      <c r="DS77" s="57" t="n"/>
      <c r="DT77" s="57" t="n"/>
      <c r="DU77" s="57" t="n"/>
      <c r="DV77" s="60">
        <f>SUM(DR77:DU77)</f>
        <v/>
      </c>
      <c r="DW77" s="61" t="n"/>
      <c r="DX77" s="57" t="n"/>
      <c r="DY77" s="58">
        <f>DO77</f>
        <v/>
      </c>
      <c r="DZ77" s="59" t="n"/>
      <c r="EA77" s="57" t="n"/>
      <c r="EB77" s="57" t="n"/>
      <c r="EC77" s="57" t="n"/>
      <c r="ED77" s="57" t="n"/>
      <c r="EE77" s="60">
        <f>SUM(EA77:ED77)</f>
        <v/>
      </c>
      <c r="EF77" s="61" t="n"/>
      <c r="EG77" s="57" t="n"/>
      <c r="EH77" s="58">
        <f>DX77</f>
        <v/>
      </c>
      <c r="EI77" s="59" t="n"/>
      <c r="EJ77" s="57" t="n"/>
      <c r="EK77" s="57" t="n"/>
      <c r="EL77" s="57" t="n"/>
      <c r="EM77" s="57" t="n"/>
      <c r="EN77" s="60">
        <f>SUM(EJ77:EM77)</f>
        <v/>
      </c>
      <c r="EO77" s="61" t="n"/>
      <c r="EP77" s="57" t="n"/>
      <c r="EQ77" s="58">
        <f>EG77</f>
        <v/>
      </c>
      <c r="ER77" s="59" t="n"/>
      <c r="ES77" s="57" t="n"/>
      <c r="ET77" s="57" t="n"/>
      <c r="EU77" s="57" t="n"/>
      <c r="EV77" s="57" t="n"/>
      <c r="EW77" s="60">
        <f>SUM(ES77:EV77)</f>
        <v/>
      </c>
      <c r="EX77" s="61" t="n"/>
      <c r="EY77" s="57" t="n"/>
      <c r="EZ77" s="58">
        <f>EP77</f>
        <v/>
      </c>
      <c r="FA77" s="59" t="n"/>
      <c r="FB77" s="57" t="n"/>
      <c r="FC77" s="57" t="n"/>
      <c r="FD77" s="57" t="n"/>
      <c r="FE77" s="57" t="n"/>
      <c r="FF77" s="60">
        <f>SUM(FB77:FE77)</f>
        <v/>
      </c>
      <c r="FG77" s="61" t="n"/>
      <c r="FH77" s="57" t="n"/>
      <c r="FI77" s="58">
        <f>EY77</f>
        <v/>
      </c>
      <c r="FJ77" s="59" t="n"/>
      <c r="FK77" s="57" t="n"/>
      <c r="FL77" s="57" t="n"/>
      <c r="FM77" s="57" t="n"/>
      <c r="FN77" s="57" t="n"/>
      <c r="FO77" s="60">
        <f>SUM(FK77:FN77)</f>
        <v/>
      </c>
      <c r="FP77" s="61" t="n"/>
      <c r="FQ77" s="57" t="n"/>
      <c r="FR77" s="58">
        <f>FH77</f>
        <v/>
      </c>
      <c r="FS77" s="59" t="n"/>
      <c r="FT77" s="57" t="n"/>
      <c r="FU77" s="57" t="n"/>
      <c r="FV77" s="57" t="n"/>
      <c r="FW77" s="57" t="n"/>
      <c r="FX77" s="60">
        <f>SUM(FT77:FW77)</f>
        <v/>
      </c>
      <c r="FY77" s="61" t="n"/>
      <c r="FZ77" s="57" t="n"/>
      <c r="GA77" s="58">
        <f>FQ77</f>
        <v/>
      </c>
      <c r="GB77" s="59" t="n"/>
      <c r="GC77" s="57" t="n"/>
      <c r="GD77" s="57" t="n"/>
      <c r="GE77" s="57" t="n"/>
      <c r="GF77" s="57" t="n"/>
      <c r="GG77" s="60">
        <f>SUM(GC77:GF77)</f>
        <v/>
      </c>
      <c r="GH77" s="61" t="n"/>
      <c r="GI77" s="57" t="n"/>
      <c r="GJ77" s="58">
        <f>FZ77</f>
        <v/>
      </c>
      <c r="GK77" s="59" t="n"/>
      <c r="GL77" s="57" t="n"/>
      <c r="GM77" s="57" t="n"/>
      <c r="GN77" s="57" t="n"/>
      <c r="GO77" s="57" t="n"/>
      <c r="GP77" s="60">
        <f>SUM(GL77:GO77)</f>
        <v/>
      </c>
      <c r="GQ77" s="61" t="n"/>
      <c r="GR77" s="57" t="n"/>
      <c r="GS77" s="58">
        <f>GI77</f>
        <v/>
      </c>
      <c r="GT77" s="59" t="n"/>
      <c r="GU77" s="57" t="n"/>
      <c r="GV77" s="57" t="n"/>
      <c r="GW77" s="57" t="n"/>
      <c r="GX77" s="57" t="n"/>
      <c r="GY77" s="60">
        <f>SUM(GU77:GX77)</f>
        <v/>
      </c>
      <c r="GZ77" s="61" t="n"/>
      <c r="HA77" s="57" t="n"/>
      <c r="HB77" s="58">
        <f>GR77</f>
        <v/>
      </c>
      <c r="HC77" s="59" t="n"/>
      <c r="HD77" s="57" t="n"/>
      <c r="HE77" s="57" t="n"/>
      <c r="HF77" s="57" t="n"/>
      <c r="HG77" s="57" t="n"/>
      <c r="HH77" s="60">
        <f>SUM(HD77:HG77)</f>
        <v/>
      </c>
      <c r="HI77" s="61" t="n"/>
      <c r="HJ77" s="57" t="n"/>
      <c r="HK77" s="58">
        <f>HA77</f>
        <v/>
      </c>
      <c r="HL77" s="59" t="n"/>
      <c r="HM77" s="57" t="n"/>
      <c r="HN77" s="57" t="n"/>
      <c r="HO77" s="57" t="n"/>
      <c r="HP77" s="57" t="n"/>
      <c r="HQ77" s="60">
        <f>SUM(HM77:HP77)</f>
        <v/>
      </c>
      <c r="HR77" s="61" t="n"/>
      <c r="HS77" s="57" t="n"/>
      <c r="HT77" s="58">
        <f>HJ77</f>
        <v/>
      </c>
      <c r="HU77" s="59" t="n"/>
      <c r="HV77" s="57" t="n"/>
      <c r="HW77" s="57" t="n"/>
      <c r="HX77" s="57" t="n"/>
      <c r="HY77" s="57" t="n"/>
      <c r="HZ77" s="60">
        <f>SUM(HV77:HY77)</f>
        <v/>
      </c>
      <c r="IA77" s="61" t="n"/>
      <c r="IB77" s="57" t="n"/>
      <c r="IC77" s="58">
        <f>HS77</f>
        <v/>
      </c>
      <c r="ID77" s="59" t="n"/>
      <c r="IE77" s="57" t="n"/>
      <c r="IF77" s="57" t="n"/>
      <c r="IG77" s="57" t="n"/>
      <c r="IH77" s="57" t="n"/>
      <c r="II77" s="60">
        <f>SUM(IE77:IH77)</f>
        <v/>
      </c>
      <c r="IJ77" s="61" t="n"/>
      <c r="IK77" s="57" t="n"/>
      <c r="IL77" s="58">
        <f>IB77</f>
        <v/>
      </c>
      <c r="IM77" s="59" t="n"/>
      <c r="IN77" s="57" t="n"/>
      <c r="IO77" s="57" t="n"/>
      <c r="IP77" s="57" t="n"/>
      <c r="IQ77" s="57" t="n"/>
      <c r="IR77" s="60">
        <f>SUM(IN77:IQ77)</f>
        <v/>
      </c>
      <c r="IS77" s="61" t="n"/>
      <c r="IT77" s="57" t="n"/>
      <c r="IU77" s="58">
        <f>IK77</f>
        <v/>
      </c>
      <c r="IV77" s="59" t="n"/>
      <c r="IW77" s="57" t="n"/>
      <c r="IX77" s="57" t="n"/>
      <c r="IY77" s="57" t="n"/>
      <c r="IZ77" s="57" t="n"/>
      <c r="JA77" s="60">
        <f>SUM(IW77:IZ77)</f>
        <v/>
      </c>
      <c r="JB77" s="61" t="n"/>
      <c r="JC77" s="57" t="n"/>
      <c r="JD77" s="58">
        <f>IT77</f>
        <v/>
      </c>
      <c r="JE77" s="59" t="n"/>
      <c r="JF77" s="57" t="n"/>
      <c r="JG77" s="57" t="n"/>
      <c r="JH77" s="57" t="n"/>
      <c r="JI77" s="57" t="n"/>
      <c r="JJ77" s="60">
        <f>SUM(JF77:JI77)</f>
        <v/>
      </c>
      <c r="JK77" s="61" t="n"/>
      <c r="JL77" s="57" t="n"/>
      <c r="JM77" s="58">
        <f>JC77</f>
        <v/>
      </c>
      <c r="JN77" s="59" t="n"/>
      <c r="JO77" s="57" t="n"/>
      <c r="JP77" s="57" t="n"/>
      <c r="JQ77" s="57" t="n"/>
      <c r="JR77" s="57" t="n"/>
      <c r="JS77" s="60">
        <f>SUM(JO77:JR77)</f>
        <v/>
      </c>
      <c r="JT77" s="61" t="n"/>
      <c r="JU77" s="62">
        <f>I77+R77+AA77+AJ77+AS77+BB77+BK77+BT77+CC77+CL77+CU77+DD77+DM77+DV77+EE77+EN77+EW77+FF77+FO77+FX77+GG77+GP77+GY77+HH77+HQ77+HZ77+II77+IR77+JA77+JJ77+JS77</f>
        <v/>
      </c>
      <c r="JV77" s="63">
        <f>D77+M77+V77+AE77+AN77+AW77+BF77+BO77+BX77+CG77+CP77+CY77+DH77+DQ77+DZ77+EI77+ER77+FA77+FJ77+FS77+GB77+GK77+GT77+HC77+HL77+HU77+ID77+IM77+IV77+JE77+JN77</f>
        <v/>
      </c>
      <c r="JW77" s="62">
        <f>CHOOSE($Z$3,B77, K77, T77, AC77, AL77, AU77, BD77, BM77, BV77, CE77, CN77, CW77, DF77, DO77, DX77, EG77, EP77, EY77, FH77, FQ77, FZ77, GI77, GR77, HA77, HJ77, HS77, IB77, IK77, IT77, JC77, JL77)</f>
        <v/>
      </c>
      <c r="JX77" s="62">
        <f>IFERROR(JU77/$Z$3,0)</f>
        <v/>
      </c>
      <c r="JY77" s="62">
        <f>Configurações!$C$17</f>
        <v/>
      </c>
      <c r="JZ77" s="64">
        <f>IF(JY77=0,"— Sem meta",IF(JU77&gt;=JY77,"✓ Atingida","Em andamento"))</f>
        <v/>
      </c>
      <c r="KA77" s="65">
        <f>JU77+(3*0.0000001)</f>
        <v/>
      </c>
    </row>
    <row r="78" ht="20" customHeight="1">
      <c r="A78" s="56">
        <f>IF(Configurações!$B$18="","Assessor 12",Configurações!$B$18)</f>
        <v/>
      </c>
      <c r="B78" s="57" t="n"/>
      <c r="C78" s="66">
        <f>'Setembro'!$JW78</f>
        <v/>
      </c>
      <c r="D78" s="59" t="n"/>
      <c r="E78" s="57" t="n"/>
      <c r="F78" s="57" t="n"/>
      <c r="G78" s="57" t="n"/>
      <c r="H78" s="57" t="n"/>
      <c r="I78" s="67">
        <f>SUM(E78:H78)</f>
        <v/>
      </c>
      <c r="J78" s="61" t="n"/>
      <c r="K78" s="57" t="n"/>
      <c r="L78" s="66">
        <f>B78</f>
        <v/>
      </c>
      <c r="M78" s="59" t="n"/>
      <c r="N78" s="57" t="n"/>
      <c r="O78" s="57" t="n"/>
      <c r="P78" s="57" t="n"/>
      <c r="Q78" s="57" t="n"/>
      <c r="R78" s="67">
        <f>SUM(N78:Q78)</f>
        <v/>
      </c>
      <c r="S78" s="61" t="n"/>
      <c r="T78" s="57" t="n"/>
      <c r="U78" s="66">
        <f>K78</f>
        <v/>
      </c>
      <c r="V78" s="59" t="n"/>
      <c r="W78" s="57" t="n"/>
      <c r="X78" s="57" t="n"/>
      <c r="Y78" s="57" t="n"/>
      <c r="Z78" s="57" t="n"/>
      <c r="AA78" s="67">
        <f>SUM(W78:Z78)</f>
        <v/>
      </c>
      <c r="AB78" s="61" t="n"/>
      <c r="AC78" s="57" t="n"/>
      <c r="AD78" s="66">
        <f>T78</f>
        <v/>
      </c>
      <c r="AE78" s="59" t="n"/>
      <c r="AF78" s="57" t="n"/>
      <c r="AG78" s="57" t="n"/>
      <c r="AH78" s="57" t="n"/>
      <c r="AI78" s="57" t="n"/>
      <c r="AJ78" s="67">
        <f>SUM(AF78:AI78)</f>
        <v/>
      </c>
      <c r="AK78" s="61" t="n"/>
      <c r="AL78" s="57" t="n"/>
      <c r="AM78" s="66">
        <f>AC78</f>
        <v/>
      </c>
      <c r="AN78" s="59" t="n"/>
      <c r="AO78" s="57" t="n"/>
      <c r="AP78" s="57" t="n"/>
      <c r="AQ78" s="57" t="n"/>
      <c r="AR78" s="57" t="n"/>
      <c r="AS78" s="67">
        <f>SUM(AO78:AR78)</f>
        <v/>
      </c>
      <c r="AT78" s="61" t="n"/>
      <c r="AU78" s="57" t="n"/>
      <c r="AV78" s="66">
        <f>AL78</f>
        <v/>
      </c>
      <c r="AW78" s="59" t="n"/>
      <c r="AX78" s="57" t="n"/>
      <c r="AY78" s="57" t="n"/>
      <c r="AZ78" s="57" t="n"/>
      <c r="BA78" s="57" t="n"/>
      <c r="BB78" s="67">
        <f>SUM(AX78:BA78)</f>
        <v/>
      </c>
      <c r="BC78" s="61" t="n"/>
      <c r="BD78" s="57" t="n"/>
      <c r="BE78" s="66">
        <f>AU78</f>
        <v/>
      </c>
      <c r="BF78" s="59" t="n"/>
      <c r="BG78" s="57" t="n"/>
      <c r="BH78" s="57" t="n"/>
      <c r="BI78" s="57" t="n"/>
      <c r="BJ78" s="57" t="n"/>
      <c r="BK78" s="67">
        <f>SUM(BG78:BJ78)</f>
        <v/>
      </c>
      <c r="BL78" s="61" t="n"/>
      <c r="BM78" s="57" t="n"/>
      <c r="BN78" s="66">
        <f>BD78</f>
        <v/>
      </c>
      <c r="BO78" s="59" t="n"/>
      <c r="BP78" s="57" t="n"/>
      <c r="BQ78" s="57" t="n"/>
      <c r="BR78" s="57" t="n"/>
      <c r="BS78" s="57" t="n"/>
      <c r="BT78" s="67">
        <f>SUM(BP78:BS78)</f>
        <v/>
      </c>
      <c r="BU78" s="61" t="n"/>
      <c r="BV78" s="57" t="n"/>
      <c r="BW78" s="66">
        <f>BM78</f>
        <v/>
      </c>
      <c r="BX78" s="59" t="n"/>
      <c r="BY78" s="57" t="n"/>
      <c r="BZ78" s="57" t="n"/>
      <c r="CA78" s="57" t="n"/>
      <c r="CB78" s="57" t="n"/>
      <c r="CC78" s="67">
        <f>SUM(BY78:CB78)</f>
        <v/>
      </c>
      <c r="CD78" s="61" t="n"/>
      <c r="CE78" s="57" t="n"/>
      <c r="CF78" s="66">
        <f>BV78</f>
        <v/>
      </c>
      <c r="CG78" s="59" t="n"/>
      <c r="CH78" s="57" t="n"/>
      <c r="CI78" s="57" t="n"/>
      <c r="CJ78" s="57" t="n"/>
      <c r="CK78" s="57" t="n"/>
      <c r="CL78" s="67">
        <f>SUM(CH78:CK78)</f>
        <v/>
      </c>
      <c r="CM78" s="61" t="n"/>
      <c r="CN78" s="57" t="n"/>
      <c r="CO78" s="66">
        <f>CE78</f>
        <v/>
      </c>
      <c r="CP78" s="59" t="n"/>
      <c r="CQ78" s="57" t="n"/>
      <c r="CR78" s="57" t="n"/>
      <c r="CS78" s="57" t="n"/>
      <c r="CT78" s="57" t="n"/>
      <c r="CU78" s="67">
        <f>SUM(CQ78:CT78)</f>
        <v/>
      </c>
      <c r="CV78" s="61" t="n"/>
      <c r="CW78" s="57" t="n"/>
      <c r="CX78" s="66">
        <f>CN78</f>
        <v/>
      </c>
      <c r="CY78" s="59" t="n"/>
      <c r="CZ78" s="57" t="n"/>
      <c r="DA78" s="57" t="n"/>
      <c r="DB78" s="57" t="n"/>
      <c r="DC78" s="57" t="n"/>
      <c r="DD78" s="67">
        <f>SUM(CZ78:DC78)</f>
        <v/>
      </c>
      <c r="DE78" s="61" t="n"/>
      <c r="DF78" s="57" t="n"/>
      <c r="DG78" s="66">
        <f>CW78</f>
        <v/>
      </c>
      <c r="DH78" s="59" t="n"/>
      <c r="DI78" s="57" t="n"/>
      <c r="DJ78" s="57" t="n"/>
      <c r="DK78" s="57" t="n"/>
      <c r="DL78" s="57" t="n"/>
      <c r="DM78" s="67">
        <f>SUM(DI78:DL78)</f>
        <v/>
      </c>
      <c r="DN78" s="61" t="n"/>
      <c r="DO78" s="57" t="n"/>
      <c r="DP78" s="66">
        <f>DF78</f>
        <v/>
      </c>
      <c r="DQ78" s="59" t="n"/>
      <c r="DR78" s="57" t="n"/>
      <c r="DS78" s="57" t="n"/>
      <c r="DT78" s="57" t="n"/>
      <c r="DU78" s="57" t="n"/>
      <c r="DV78" s="67">
        <f>SUM(DR78:DU78)</f>
        <v/>
      </c>
      <c r="DW78" s="61" t="n"/>
      <c r="DX78" s="57" t="n"/>
      <c r="DY78" s="66">
        <f>DO78</f>
        <v/>
      </c>
      <c r="DZ78" s="59" t="n"/>
      <c r="EA78" s="57" t="n"/>
      <c r="EB78" s="57" t="n"/>
      <c r="EC78" s="57" t="n"/>
      <c r="ED78" s="57" t="n"/>
      <c r="EE78" s="67">
        <f>SUM(EA78:ED78)</f>
        <v/>
      </c>
      <c r="EF78" s="61" t="n"/>
      <c r="EG78" s="57" t="n"/>
      <c r="EH78" s="66">
        <f>DX78</f>
        <v/>
      </c>
      <c r="EI78" s="59" t="n"/>
      <c r="EJ78" s="57" t="n"/>
      <c r="EK78" s="57" t="n"/>
      <c r="EL78" s="57" t="n"/>
      <c r="EM78" s="57" t="n"/>
      <c r="EN78" s="67">
        <f>SUM(EJ78:EM78)</f>
        <v/>
      </c>
      <c r="EO78" s="61" t="n"/>
      <c r="EP78" s="57" t="n"/>
      <c r="EQ78" s="66">
        <f>EG78</f>
        <v/>
      </c>
      <c r="ER78" s="59" t="n"/>
      <c r="ES78" s="57" t="n"/>
      <c r="ET78" s="57" t="n"/>
      <c r="EU78" s="57" t="n"/>
      <c r="EV78" s="57" t="n"/>
      <c r="EW78" s="67">
        <f>SUM(ES78:EV78)</f>
        <v/>
      </c>
      <c r="EX78" s="61" t="n"/>
      <c r="EY78" s="57" t="n"/>
      <c r="EZ78" s="66">
        <f>EP78</f>
        <v/>
      </c>
      <c r="FA78" s="59" t="n"/>
      <c r="FB78" s="57" t="n"/>
      <c r="FC78" s="57" t="n"/>
      <c r="FD78" s="57" t="n"/>
      <c r="FE78" s="57" t="n"/>
      <c r="FF78" s="67">
        <f>SUM(FB78:FE78)</f>
        <v/>
      </c>
      <c r="FG78" s="61" t="n"/>
      <c r="FH78" s="57" t="n"/>
      <c r="FI78" s="66">
        <f>EY78</f>
        <v/>
      </c>
      <c r="FJ78" s="59" t="n"/>
      <c r="FK78" s="57" t="n"/>
      <c r="FL78" s="57" t="n"/>
      <c r="FM78" s="57" t="n"/>
      <c r="FN78" s="57" t="n"/>
      <c r="FO78" s="67">
        <f>SUM(FK78:FN78)</f>
        <v/>
      </c>
      <c r="FP78" s="61" t="n"/>
      <c r="FQ78" s="57" t="n"/>
      <c r="FR78" s="66">
        <f>FH78</f>
        <v/>
      </c>
      <c r="FS78" s="59" t="n"/>
      <c r="FT78" s="57" t="n"/>
      <c r="FU78" s="57" t="n"/>
      <c r="FV78" s="57" t="n"/>
      <c r="FW78" s="57" t="n"/>
      <c r="FX78" s="67">
        <f>SUM(FT78:FW78)</f>
        <v/>
      </c>
      <c r="FY78" s="61" t="n"/>
      <c r="FZ78" s="57" t="n"/>
      <c r="GA78" s="66">
        <f>FQ78</f>
        <v/>
      </c>
      <c r="GB78" s="59" t="n"/>
      <c r="GC78" s="57" t="n"/>
      <c r="GD78" s="57" t="n"/>
      <c r="GE78" s="57" t="n"/>
      <c r="GF78" s="57" t="n"/>
      <c r="GG78" s="67">
        <f>SUM(GC78:GF78)</f>
        <v/>
      </c>
      <c r="GH78" s="61" t="n"/>
      <c r="GI78" s="57" t="n"/>
      <c r="GJ78" s="66">
        <f>FZ78</f>
        <v/>
      </c>
      <c r="GK78" s="59" t="n"/>
      <c r="GL78" s="57" t="n"/>
      <c r="GM78" s="57" t="n"/>
      <c r="GN78" s="57" t="n"/>
      <c r="GO78" s="57" t="n"/>
      <c r="GP78" s="67">
        <f>SUM(GL78:GO78)</f>
        <v/>
      </c>
      <c r="GQ78" s="61" t="n"/>
      <c r="GR78" s="57" t="n"/>
      <c r="GS78" s="66">
        <f>GI78</f>
        <v/>
      </c>
      <c r="GT78" s="59" t="n"/>
      <c r="GU78" s="57" t="n"/>
      <c r="GV78" s="57" t="n"/>
      <c r="GW78" s="57" t="n"/>
      <c r="GX78" s="57" t="n"/>
      <c r="GY78" s="67">
        <f>SUM(GU78:GX78)</f>
        <v/>
      </c>
      <c r="GZ78" s="61" t="n"/>
      <c r="HA78" s="57" t="n"/>
      <c r="HB78" s="66">
        <f>GR78</f>
        <v/>
      </c>
      <c r="HC78" s="59" t="n"/>
      <c r="HD78" s="57" t="n"/>
      <c r="HE78" s="57" t="n"/>
      <c r="HF78" s="57" t="n"/>
      <c r="HG78" s="57" t="n"/>
      <c r="HH78" s="67">
        <f>SUM(HD78:HG78)</f>
        <v/>
      </c>
      <c r="HI78" s="61" t="n"/>
      <c r="HJ78" s="57" t="n"/>
      <c r="HK78" s="66">
        <f>HA78</f>
        <v/>
      </c>
      <c r="HL78" s="59" t="n"/>
      <c r="HM78" s="57" t="n"/>
      <c r="HN78" s="57" t="n"/>
      <c r="HO78" s="57" t="n"/>
      <c r="HP78" s="57" t="n"/>
      <c r="HQ78" s="67">
        <f>SUM(HM78:HP78)</f>
        <v/>
      </c>
      <c r="HR78" s="61" t="n"/>
      <c r="HS78" s="57" t="n"/>
      <c r="HT78" s="66">
        <f>HJ78</f>
        <v/>
      </c>
      <c r="HU78" s="59" t="n"/>
      <c r="HV78" s="57" t="n"/>
      <c r="HW78" s="57" t="n"/>
      <c r="HX78" s="57" t="n"/>
      <c r="HY78" s="57" t="n"/>
      <c r="HZ78" s="67">
        <f>SUM(HV78:HY78)</f>
        <v/>
      </c>
      <c r="IA78" s="61" t="n"/>
      <c r="IB78" s="57" t="n"/>
      <c r="IC78" s="66">
        <f>HS78</f>
        <v/>
      </c>
      <c r="ID78" s="59" t="n"/>
      <c r="IE78" s="57" t="n"/>
      <c r="IF78" s="57" t="n"/>
      <c r="IG78" s="57" t="n"/>
      <c r="IH78" s="57" t="n"/>
      <c r="II78" s="67">
        <f>SUM(IE78:IH78)</f>
        <v/>
      </c>
      <c r="IJ78" s="61" t="n"/>
      <c r="IK78" s="57" t="n"/>
      <c r="IL78" s="66">
        <f>IB78</f>
        <v/>
      </c>
      <c r="IM78" s="59" t="n"/>
      <c r="IN78" s="57" t="n"/>
      <c r="IO78" s="57" t="n"/>
      <c r="IP78" s="57" t="n"/>
      <c r="IQ78" s="57" t="n"/>
      <c r="IR78" s="67">
        <f>SUM(IN78:IQ78)</f>
        <v/>
      </c>
      <c r="IS78" s="61" t="n"/>
      <c r="IT78" s="57" t="n"/>
      <c r="IU78" s="66">
        <f>IK78</f>
        <v/>
      </c>
      <c r="IV78" s="59" t="n"/>
      <c r="IW78" s="57" t="n"/>
      <c r="IX78" s="57" t="n"/>
      <c r="IY78" s="57" t="n"/>
      <c r="IZ78" s="57" t="n"/>
      <c r="JA78" s="67">
        <f>SUM(IW78:IZ78)</f>
        <v/>
      </c>
      <c r="JB78" s="61" t="n"/>
      <c r="JC78" s="57" t="n"/>
      <c r="JD78" s="66">
        <f>IT78</f>
        <v/>
      </c>
      <c r="JE78" s="59" t="n"/>
      <c r="JF78" s="57" t="n"/>
      <c r="JG78" s="57" t="n"/>
      <c r="JH78" s="57" t="n"/>
      <c r="JI78" s="57" t="n"/>
      <c r="JJ78" s="67">
        <f>SUM(JF78:JI78)</f>
        <v/>
      </c>
      <c r="JK78" s="61" t="n"/>
      <c r="JL78" s="57" t="n"/>
      <c r="JM78" s="66">
        <f>JC78</f>
        <v/>
      </c>
      <c r="JN78" s="59" t="n"/>
      <c r="JO78" s="57" t="n"/>
      <c r="JP78" s="57" t="n"/>
      <c r="JQ78" s="57" t="n"/>
      <c r="JR78" s="57" t="n"/>
      <c r="JS78" s="67">
        <f>SUM(JO78:JR78)</f>
        <v/>
      </c>
      <c r="JT78" s="61" t="n"/>
      <c r="JU78" s="62">
        <f>I78+R78+AA78+AJ78+AS78+BB78+BK78+BT78+CC78+CL78+CU78+DD78+DM78+DV78+EE78+EN78+EW78+FF78+FO78+FX78+GG78+GP78+GY78+HH78+HQ78+HZ78+II78+IR78+JA78+JJ78+JS78</f>
        <v/>
      </c>
      <c r="JV78" s="63">
        <f>D78+M78+V78+AE78+AN78+AW78+BF78+BO78+BX78+CG78+CP78+CY78+DH78+DQ78+DZ78+EI78+ER78+FA78+FJ78+FS78+GB78+GK78+GT78+HC78+HL78+HU78+ID78+IM78+IV78+JE78+JN78</f>
        <v/>
      </c>
      <c r="JW78" s="62">
        <f>CHOOSE($Z$3,B78, K78, T78, AC78, AL78, AU78, BD78, BM78, BV78, CE78, CN78, CW78, DF78, DO78, DX78, EG78, EP78, EY78, FH78, FQ78, FZ78, GI78, GR78, HA78, HJ78, HS78, IB78, IK78, IT78, JC78, JL78)</f>
        <v/>
      </c>
      <c r="JX78" s="62">
        <f>IFERROR(JU78/$Z$3,0)</f>
        <v/>
      </c>
      <c r="JY78" s="62">
        <f>Configurações!$C$18</f>
        <v/>
      </c>
      <c r="JZ78" s="64">
        <f>IF(JY78=0,"— Sem meta",IF(JU78&gt;=JY78,"✓ Atingida","Em andamento"))</f>
        <v/>
      </c>
      <c r="KA78" s="65">
        <f>JU78+(2*0.0000001)</f>
        <v/>
      </c>
    </row>
    <row r="79" ht="20" customHeight="1">
      <c r="A79" s="56">
        <f>IF(Configurações!$B$19="","Assessor 13",Configurações!$B$19)</f>
        <v/>
      </c>
      <c r="B79" s="57" t="n"/>
      <c r="C79" s="58">
        <f>'Setembro'!$JW79</f>
        <v/>
      </c>
      <c r="D79" s="59" t="n"/>
      <c r="E79" s="57" t="n"/>
      <c r="F79" s="57" t="n"/>
      <c r="G79" s="57" t="n"/>
      <c r="H79" s="57" t="n"/>
      <c r="I79" s="60">
        <f>SUM(E79:H79)</f>
        <v/>
      </c>
      <c r="J79" s="61" t="n"/>
      <c r="K79" s="57" t="n"/>
      <c r="L79" s="58">
        <f>B79</f>
        <v/>
      </c>
      <c r="M79" s="59" t="n"/>
      <c r="N79" s="57" t="n"/>
      <c r="O79" s="57" t="n"/>
      <c r="P79" s="57" t="n"/>
      <c r="Q79" s="57" t="n"/>
      <c r="R79" s="60">
        <f>SUM(N79:Q79)</f>
        <v/>
      </c>
      <c r="S79" s="61" t="n"/>
      <c r="T79" s="57" t="n"/>
      <c r="U79" s="58">
        <f>K79</f>
        <v/>
      </c>
      <c r="V79" s="59" t="n"/>
      <c r="W79" s="57" t="n"/>
      <c r="X79" s="57" t="n"/>
      <c r="Y79" s="57" t="n"/>
      <c r="Z79" s="57" t="n"/>
      <c r="AA79" s="60">
        <f>SUM(W79:Z79)</f>
        <v/>
      </c>
      <c r="AB79" s="61" t="n"/>
      <c r="AC79" s="57" t="n"/>
      <c r="AD79" s="58">
        <f>T79</f>
        <v/>
      </c>
      <c r="AE79" s="59" t="n"/>
      <c r="AF79" s="57" t="n"/>
      <c r="AG79" s="57" t="n"/>
      <c r="AH79" s="57" t="n"/>
      <c r="AI79" s="57" t="n"/>
      <c r="AJ79" s="60">
        <f>SUM(AF79:AI79)</f>
        <v/>
      </c>
      <c r="AK79" s="61" t="n"/>
      <c r="AL79" s="57" t="n"/>
      <c r="AM79" s="58">
        <f>AC79</f>
        <v/>
      </c>
      <c r="AN79" s="59" t="n"/>
      <c r="AO79" s="57" t="n"/>
      <c r="AP79" s="57" t="n"/>
      <c r="AQ79" s="57" t="n"/>
      <c r="AR79" s="57" t="n"/>
      <c r="AS79" s="60">
        <f>SUM(AO79:AR79)</f>
        <v/>
      </c>
      <c r="AT79" s="61" t="n"/>
      <c r="AU79" s="57" t="n"/>
      <c r="AV79" s="58">
        <f>AL79</f>
        <v/>
      </c>
      <c r="AW79" s="59" t="n"/>
      <c r="AX79" s="57" t="n"/>
      <c r="AY79" s="57" t="n"/>
      <c r="AZ79" s="57" t="n"/>
      <c r="BA79" s="57" t="n"/>
      <c r="BB79" s="60">
        <f>SUM(AX79:BA79)</f>
        <v/>
      </c>
      <c r="BC79" s="61" t="n"/>
      <c r="BD79" s="57" t="n"/>
      <c r="BE79" s="58">
        <f>AU79</f>
        <v/>
      </c>
      <c r="BF79" s="59" t="n"/>
      <c r="BG79" s="57" t="n"/>
      <c r="BH79" s="57" t="n"/>
      <c r="BI79" s="57" t="n"/>
      <c r="BJ79" s="57" t="n"/>
      <c r="BK79" s="60">
        <f>SUM(BG79:BJ79)</f>
        <v/>
      </c>
      <c r="BL79" s="61" t="n"/>
      <c r="BM79" s="57" t="n"/>
      <c r="BN79" s="58">
        <f>BD79</f>
        <v/>
      </c>
      <c r="BO79" s="59" t="n"/>
      <c r="BP79" s="57" t="n"/>
      <c r="BQ79" s="57" t="n"/>
      <c r="BR79" s="57" t="n"/>
      <c r="BS79" s="57" t="n"/>
      <c r="BT79" s="60">
        <f>SUM(BP79:BS79)</f>
        <v/>
      </c>
      <c r="BU79" s="61" t="n"/>
      <c r="BV79" s="57" t="n"/>
      <c r="BW79" s="58">
        <f>BM79</f>
        <v/>
      </c>
      <c r="BX79" s="59" t="n"/>
      <c r="BY79" s="57" t="n"/>
      <c r="BZ79" s="57" t="n"/>
      <c r="CA79" s="57" t="n"/>
      <c r="CB79" s="57" t="n"/>
      <c r="CC79" s="60">
        <f>SUM(BY79:CB79)</f>
        <v/>
      </c>
      <c r="CD79" s="61" t="n"/>
      <c r="CE79" s="57" t="n"/>
      <c r="CF79" s="58">
        <f>BV79</f>
        <v/>
      </c>
      <c r="CG79" s="59" t="n"/>
      <c r="CH79" s="57" t="n"/>
      <c r="CI79" s="57" t="n"/>
      <c r="CJ79" s="57" t="n"/>
      <c r="CK79" s="57" t="n"/>
      <c r="CL79" s="60">
        <f>SUM(CH79:CK79)</f>
        <v/>
      </c>
      <c r="CM79" s="61" t="n"/>
      <c r="CN79" s="57" t="n"/>
      <c r="CO79" s="58">
        <f>CE79</f>
        <v/>
      </c>
      <c r="CP79" s="59" t="n"/>
      <c r="CQ79" s="57" t="n"/>
      <c r="CR79" s="57" t="n"/>
      <c r="CS79" s="57" t="n"/>
      <c r="CT79" s="57" t="n"/>
      <c r="CU79" s="60">
        <f>SUM(CQ79:CT79)</f>
        <v/>
      </c>
      <c r="CV79" s="61" t="n"/>
      <c r="CW79" s="57" t="n"/>
      <c r="CX79" s="58">
        <f>CN79</f>
        <v/>
      </c>
      <c r="CY79" s="59" t="n"/>
      <c r="CZ79" s="57" t="n"/>
      <c r="DA79" s="57" t="n"/>
      <c r="DB79" s="57" t="n"/>
      <c r="DC79" s="57" t="n"/>
      <c r="DD79" s="60">
        <f>SUM(CZ79:DC79)</f>
        <v/>
      </c>
      <c r="DE79" s="61" t="n"/>
      <c r="DF79" s="57" t="n"/>
      <c r="DG79" s="58">
        <f>CW79</f>
        <v/>
      </c>
      <c r="DH79" s="59" t="n"/>
      <c r="DI79" s="57" t="n"/>
      <c r="DJ79" s="57" t="n"/>
      <c r="DK79" s="57" t="n"/>
      <c r="DL79" s="57" t="n"/>
      <c r="DM79" s="60">
        <f>SUM(DI79:DL79)</f>
        <v/>
      </c>
      <c r="DN79" s="61" t="n"/>
      <c r="DO79" s="57" t="n"/>
      <c r="DP79" s="58">
        <f>DF79</f>
        <v/>
      </c>
      <c r="DQ79" s="59" t="n"/>
      <c r="DR79" s="57" t="n"/>
      <c r="DS79" s="57" t="n"/>
      <c r="DT79" s="57" t="n"/>
      <c r="DU79" s="57" t="n"/>
      <c r="DV79" s="60">
        <f>SUM(DR79:DU79)</f>
        <v/>
      </c>
      <c r="DW79" s="61" t="n"/>
      <c r="DX79" s="57" t="n"/>
      <c r="DY79" s="58">
        <f>DO79</f>
        <v/>
      </c>
      <c r="DZ79" s="59" t="n"/>
      <c r="EA79" s="57" t="n"/>
      <c r="EB79" s="57" t="n"/>
      <c r="EC79" s="57" t="n"/>
      <c r="ED79" s="57" t="n"/>
      <c r="EE79" s="60">
        <f>SUM(EA79:ED79)</f>
        <v/>
      </c>
      <c r="EF79" s="61" t="n"/>
      <c r="EG79" s="57" t="n"/>
      <c r="EH79" s="58">
        <f>DX79</f>
        <v/>
      </c>
      <c r="EI79" s="59" t="n"/>
      <c r="EJ79" s="57" t="n"/>
      <c r="EK79" s="57" t="n"/>
      <c r="EL79" s="57" t="n"/>
      <c r="EM79" s="57" t="n"/>
      <c r="EN79" s="60">
        <f>SUM(EJ79:EM79)</f>
        <v/>
      </c>
      <c r="EO79" s="61" t="n"/>
      <c r="EP79" s="57" t="n"/>
      <c r="EQ79" s="58">
        <f>EG79</f>
        <v/>
      </c>
      <c r="ER79" s="59" t="n"/>
      <c r="ES79" s="57" t="n"/>
      <c r="ET79" s="57" t="n"/>
      <c r="EU79" s="57" t="n"/>
      <c r="EV79" s="57" t="n"/>
      <c r="EW79" s="60">
        <f>SUM(ES79:EV79)</f>
        <v/>
      </c>
      <c r="EX79" s="61" t="n"/>
      <c r="EY79" s="57" t="n"/>
      <c r="EZ79" s="58">
        <f>EP79</f>
        <v/>
      </c>
      <c r="FA79" s="59" t="n"/>
      <c r="FB79" s="57" t="n"/>
      <c r="FC79" s="57" t="n"/>
      <c r="FD79" s="57" t="n"/>
      <c r="FE79" s="57" t="n"/>
      <c r="FF79" s="60">
        <f>SUM(FB79:FE79)</f>
        <v/>
      </c>
      <c r="FG79" s="61" t="n"/>
      <c r="FH79" s="57" t="n"/>
      <c r="FI79" s="58">
        <f>EY79</f>
        <v/>
      </c>
      <c r="FJ79" s="59" t="n"/>
      <c r="FK79" s="57" t="n"/>
      <c r="FL79" s="57" t="n"/>
      <c r="FM79" s="57" t="n"/>
      <c r="FN79" s="57" t="n"/>
      <c r="FO79" s="60">
        <f>SUM(FK79:FN79)</f>
        <v/>
      </c>
      <c r="FP79" s="61" t="n"/>
      <c r="FQ79" s="57" t="n"/>
      <c r="FR79" s="58">
        <f>FH79</f>
        <v/>
      </c>
      <c r="FS79" s="59" t="n"/>
      <c r="FT79" s="57" t="n"/>
      <c r="FU79" s="57" t="n"/>
      <c r="FV79" s="57" t="n"/>
      <c r="FW79" s="57" t="n"/>
      <c r="FX79" s="60">
        <f>SUM(FT79:FW79)</f>
        <v/>
      </c>
      <c r="FY79" s="61" t="n"/>
      <c r="FZ79" s="57" t="n"/>
      <c r="GA79" s="58">
        <f>FQ79</f>
        <v/>
      </c>
      <c r="GB79" s="59" t="n"/>
      <c r="GC79" s="57" t="n"/>
      <c r="GD79" s="57" t="n"/>
      <c r="GE79" s="57" t="n"/>
      <c r="GF79" s="57" t="n"/>
      <c r="GG79" s="60">
        <f>SUM(GC79:GF79)</f>
        <v/>
      </c>
      <c r="GH79" s="61" t="n"/>
      <c r="GI79" s="57" t="n"/>
      <c r="GJ79" s="58">
        <f>FZ79</f>
        <v/>
      </c>
      <c r="GK79" s="59" t="n"/>
      <c r="GL79" s="57" t="n"/>
      <c r="GM79" s="57" t="n"/>
      <c r="GN79" s="57" t="n"/>
      <c r="GO79" s="57" t="n"/>
      <c r="GP79" s="60">
        <f>SUM(GL79:GO79)</f>
        <v/>
      </c>
      <c r="GQ79" s="61" t="n"/>
      <c r="GR79" s="57" t="n"/>
      <c r="GS79" s="58">
        <f>GI79</f>
        <v/>
      </c>
      <c r="GT79" s="59" t="n"/>
      <c r="GU79" s="57" t="n"/>
      <c r="GV79" s="57" t="n"/>
      <c r="GW79" s="57" t="n"/>
      <c r="GX79" s="57" t="n"/>
      <c r="GY79" s="60">
        <f>SUM(GU79:GX79)</f>
        <v/>
      </c>
      <c r="GZ79" s="61" t="n"/>
      <c r="HA79" s="57" t="n"/>
      <c r="HB79" s="58">
        <f>GR79</f>
        <v/>
      </c>
      <c r="HC79" s="59" t="n"/>
      <c r="HD79" s="57" t="n"/>
      <c r="HE79" s="57" t="n"/>
      <c r="HF79" s="57" t="n"/>
      <c r="HG79" s="57" t="n"/>
      <c r="HH79" s="60">
        <f>SUM(HD79:HG79)</f>
        <v/>
      </c>
      <c r="HI79" s="61" t="n"/>
      <c r="HJ79" s="57" t="n"/>
      <c r="HK79" s="58">
        <f>HA79</f>
        <v/>
      </c>
      <c r="HL79" s="59" t="n"/>
      <c r="HM79" s="57" t="n"/>
      <c r="HN79" s="57" t="n"/>
      <c r="HO79" s="57" t="n"/>
      <c r="HP79" s="57" t="n"/>
      <c r="HQ79" s="60">
        <f>SUM(HM79:HP79)</f>
        <v/>
      </c>
      <c r="HR79" s="61" t="n"/>
      <c r="HS79" s="57" t="n"/>
      <c r="HT79" s="58">
        <f>HJ79</f>
        <v/>
      </c>
      <c r="HU79" s="59" t="n"/>
      <c r="HV79" s="57" t="n"/>
      <c r="HW79" s="57" t="n"/>
      <c r="HX79" s="57" t="n"/>
      <c r="HY79" s="57" t="n"/>
      <c r="HZ79" s="60">
        <f>SUM(HV79:HY79)</f>
        <v/>
      </c>
      <c r="IA79" s="61" t="n"/>
      <c r="IB79" s="57" t="n"/>
      <c r="IC79" s="58">
        <f>HS79</f>
        <v/>
      </c>
      <c r="ID79" s="59" t="n"/>
      <c r="IE79" s="57" t="n"/>
      <c r="IF79" s="57" t="n"/>
      <c r="IG79" s="57" t="n"/>
      <c r="IH79" s="57" t="n"/>
      <c r="II79" s="60">
        <f>SUM(IE79:IH79)</f>
        <v/>
      </c>
      <c r="IJ79" s="61" t="n"/>
      <c r="IK79" s="57" t="n"/>
      <c r="IL79" s="58">
        <f>IB79</f>
        <v/>
      </c>
      <c r="IM79" s="59" t="n"/>
      <c r="IN79" s="57" t="n"/>
      <c r="IO79" s="57" t="n"/>
      <c r="IP79" s="57" t="n"/>
      <c r="IQ79" s="57" t="n"/>
      <c r="IR79" s="60">
        <f>SUM(IN79:IQ79)</f>
        <v/>
      </c>
      <c r="IS79" s="61" t="n"/>
      <c r="IT79" s="57" t="n"/>
      <c r="IU79" s="58">
        <f>IK79</f>
        <v/>
      </c>
      <c r="IV79" s="59" t="n"/>
      <c r="IW79" s="57" t="n"/>
      <c r="IX79" s="57" t="n"/>
      <c r="IY79" s="57" t="n"/>
      <c r="IZ79" s="57" t="n"/>
      <c r="JA79" s="60">
        <f>SUM(IW79:IZ79)</f>
        <v/>
      </c>
      <c r="JB79" s="61" t="n"/>
      <c r="JC79" s="57" t="n"/>
      <c r="JD79" s="58">
        <f>IT79</f>
        <v/>
      </c>
      <c r="JE79" s="59" t="n"/>
      <c r="JF79" s="57" t="n"/>
      <c r="JG79" s="57" t="n"/>
      <c r="JH79" s="57" t="n"/>
      <c r="JI79" s="57" t="n"/>
      <c r="JJ79" s="60">
        <f>SUM(JF79:JI79)</f>
        <v/>
      </c>
      <c r="JK79" s="61" t="n"/>
      <c r="JL79" s="57" t="n"/>
      <c r="JM79" s="58">
        <f>JC79</f>
        <v/>
      </c>
      <c r="JN79" s="59" t="n"/>
      <c r="JO79" s="57" t="n"/>
      <c r="JP79" s="57" t="n"/>
      <c r="JQ79" s="57" t="n"/>
      <c r="JR79" s="57" t="n"/>
      <c r="JS79" s="60">
        <f>SUM(JO79:JR79)</f>
        <v/>
      </c>
      <c r="JT79" s="61" t="n"/>
      <c r="JU79" s="62">
        <f>I79+R79+AA79+AJ79+AS79+BB79+BK79+BT79+CC79+CL79+CU79+DD79+DM79+DV79+EE79+EN79+EW79+FF79+FO79+FX79+GG79+GP79+GY79+HH79+HQ79+HZ79+II79+IR79+JA79+JJ79+JS79</f>
        <v/>
      </c>
      <c r="JV79" s="63">
        <f>D79+M79+V79+AE79+AN79+AW79+BF79+BO79+BX79+CG79+CP79+CY79+DH79+DQ79+DZ79+EI79+ER79+FA79+FJ79+FS79+GB79+GK79+GT79+HC79+HL79+HU79+ID79+IM79+IV79+JE79+JN79</f>
        <v/>
      </c>
      <c r="JW79" s="62">
        <f>CHOOSE($Z$3,B79, K79, T79, AC79, AL79, AU79, BD79, BM79, BV79, CE79, CN79, CW79, DF79, DO79, DX79, EG79, EP79, EY79, FH79, FQ79, FZ79, GI79, GR79, HA79, HJ79, HS79, IB79, IK79, IT79, JC79, JL79)</f>
        <v/>
      </c>
      <c r="JX79" s="62">
        <f>IFERROR(JU79/$Z$3,0)</f>
        <v/>
      </c>
      <c r="JY79" s="62">
        <f>Configurações!$C$19</f>
        <v/>
      </c>
      <c r="JZ79" s="64">
        <f>IF(JY79=0,"— Sem meta",IF(JU79&gt;=JY79,"✓ Atingida","Em andamento"))</f>
        <v/>
      </c>
      <c r="KA79" s="65">
        <f>JU79+(1*0.0000001)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66:JZ79"/>
  <mergeCells count="65">
    <mergeCell ref="C6:D6"/>
    <mergeCell ref="I6:J6"/>
    <mergeCell ref="G10:I10"/>
    <mergeCell ref="T65:AB65"/>
    <mergeCell ref="CW65:DE65"/>
    <mergeCell ref="IK65:IS65"/>
    <mergeCell ref="FH65:FP65"/>
    <mergeCell ref="JV65:JV66"/>
    <mergeCell ref="C5:D5"/>
    <mergeCell ref="EY65:FG65"/>
    <mergeCell ref="JY65:JY66"/>
    <mergeCell ref="A2:KA2"/>
    <mergeCell ref="E5:F5"/>
    <mergeCell ref="K5:L5"/>
    <mergeCell ref="J9:L9"/>
    <mergeCell ref="AU65:BC65"/>
    <mergeCell ref="GI65:GQ65"/>
    <mergeCell ref="HJ65:HR65"/>
    <mergeCell ref="A6:B6"/>
    <mergeCell ref="A12:L12"/>
    <mergeCell ref="A65:A66"/>
    <mergeCell ref="JL65:JT65"/>
    <mergeCell ref="A8:L8"/>
    <mergeCell ref="FQ65:FY65"/>
    <mergeCell ref="D9:F9"/>
    <mergeCell ref="G6:H6"/>
    <mergeCell ref="B65:J65"/>
    <mergeCell ref="HS65:IA65"/>
    <mergeCell ref="AC65:AK65"/>
    <mergeCell ref="BD65:BL65"/>
    <mergeCell ref="A4:L4"/>
    <mergeCell ref="DO65:DW65"/>
    <mergeCell ref="A10:C10"/>
    <mergeCell ref="CE65:CM65"/>
    <mergeCell ref="DF65:DN65"/>
    <mergeCell ref="E6:F6"/>
    <mergeCell ref="EG65:EO65"/>
    <mergeCell ref="JX65:JX66"/>
    <mergeCell ref="JZ65:JZ66"/>
    <mergeCell ref="K65:S65"/>
    <mergeCell ref="A5:B5"/>
    <mergeCell ref="G5:H5"/>
    <mergeCell ref="A9:C9"/>
    <mergeCell ref="G9:I9"/>
    <mergeCell ref="I5:J5"/>
    <mergeCell ref="A64:KA64"/>
    <mergeCell ref="IT65:JB65"/>
    <mergeCell ref="A1:KA1"/>
    <mergeCell ref="D10:F10"/>
    <mergeCell ref="BV65:CD65"/>
    <mergeCell ref="IB65:IJ65"/>
    <mergeCell ref="CN65:CV65"/>
    <mergeCell ref="BM65:BU65"/>
    <mergeCell ref="DX65:EF65"/>
    <mergeCell ref="JU65:JU66"/>
    <mergeCell ref="J10:L10"/>
    <mergeCell ref="EP65:EX65"/>
    <mergeCell ref="JW65:JW66"/>
    <mergeCell ref="FZ65:GH65"/>
    <mergeCell ref="KA65:KA66"/>
    <mergeCell ref="HA65:HI65"/>
    <mergeCell ref="AL65:AT65"/>
    <mergeCell ref="GR65:GZ65"/>
    <mergeCell ref="JC65:JK65"/>
    <mergeCell ref="K6:L6"/>
  </mergeCells>
  <conditionalFormatting sqref="H14:H26">
    <cfRule type="expression" priority="1" dxfId="0">
      <formula>ISNUMBER(SEARCH("Atingida",H14))</formula>
    </cfRule>
  </conditionalFormatting>
  <conditionalFormatting sqref="B65:JT79">
    <cfRule type="expression" priority="2" dxfId="1">
      <formula>$Z$3&lt;INT((COLUMN()-2)/9)+1</formula>
    </cfRule>
  </conditionalFormatting>
  <conditionalFormatting sqref="D67:D79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I67:I79">
    <cfRule type="colorScale" priority="5">
      <colorScale>
        <cfvo type="min"/>
        <cfvo type="max"/>
        <color rgb="00FFFFFF"/>
        <color rgb="0063BE7B"/>
      </colorScale>
    </cfRule>
  </conditionalFormatting>
  <conditionalFormatting sqref="M67:M79">
    <cfRule type="cellIs" priority="6" operator="greaterThan" dxfId="2">
      <formula>0</formula>
    </cfRule>
    <cfRule type="cellIs" priority="7" operator="lessThan" dxfId="3">
      <formula>0</formula>
    </cfRule>
  </conditionalFormatting>
  <conditionalFormatting sqref="R67:R79">
    <cfRule type="colorScale" priority="8">
      <colorScale>
        <cfvo type="min"/>
        <cfvo type="max"/>
        <color rgb="00FFFFFF"/>
        <color rgb="0063BE7B"/>
      </colorScale>
    </cfRule>
  </conditionalFormatting>
  <conditionalFormatting sqref="V67:V79">
    <cfRule type="cellIs" priority="9" operator="greaterThan" dxfId="2">
      <formula>0</formula>
    </cfRule>
    <cfRule type="cellIs" priority="10" operator="lessThan" dxfId="3">
      <formula>0</formula>
    </cfRule>
  </conditionalFormatting>
  <conditionalFormatting sqref="AA67:AA79">
    <cfRule type="colorScale" priority="11">
      <colorScale>
        <cfvo type="min"/>
        <cfvo type="max"/>
        <color rgb="00FFFFFF"/>
        <color rgb="0063BE7B"/>
      </colorScale>
    </cfRule>
  </conditionalFormatting>
  <conditionalFormatting sqref="AE67:AE79">
    <cfRule type="cellIs" priority="12" operator="greaterThan" dxfId="2">
      <formula>0</formula>
    </cfRule>
    <cfRule type="cellIs" priority="13" operator="lessThan" dxfId="3">
      <formula>0</formula>
    </cfRule>
  </conditionalFormatting>
  <conditionalFormatting sqref="AJ67:AJ79">
    <cfRule type="colorScale" priority="14">
      <colorScale>
        <cfvo type="min"/>
        <cfvo type="max"/>
        <color rgb="00FFFFFF"/>
        <color rgb="0063BE7B"/>
      </colorScale>
    </cfRule>
  </conditionalFormatting>
  <conditionalFormatting sqref="AN67:AN79">
    <cfRule type="cellIs" priority="15" operator="greaterThan" dxfId="2">
      <formula>0</formula>
    </cfRule>
    <cfRule type="cellIs" priority="16" operator="lessThan" dxfId="3">
      <formula>0</formula>
    </cfRule>
  </conditionalFormatting>
  <conditionalFormatting sqref="AS67:AS79">
    <cfRule type="colorScale" priority="17">
      <colorScale>
        <cfvo type="min"/>
        <cfvo type="max"/>
        <color rgb="00FFFFFF"/>
        <color rgb="0063BE7B"/>
      </colorScale>
    </cfRule>
  </conditionalFormatting>
  <conditionalFormatting sqref="AW67:AW79">
    <cfRule type="cellIs" priority="18" operator="greaterThan" dxfId="2">
      <formula>0</formula>
    </cfRule>
    <cfRule type="cellIs" priority="19" operator="lessThan" dxfId="3">
      <formula>0</formula>
    </cfRule>
  </conditionalFormatting>
  <conditionalFormatting sqref="BB67:BB79">
    <cfRule type="colorScale" priority="20">
      <colorScale>
        <cfvo type="min"/>
        <cfvo type="max"/>
        <color rgb="00FFFFFF"/>
        <color rgb="0063BE7B"/>
      </colorScale>
    </cfRule>
  </conditionalFormatting>
  <conditionalFormatting sqref="BF67:BF79">
    <cfRule type="cellIs" priority="21" operator="greaterThan" dxfId="2">
      <formula>0</formula>
    </cfRule>
    <cfRule type="cellIs" priority="22" operator="lessThan" dxfId="3">
      <formula>0</formula>
    </cfRule>
  </conditionalFormatting>
  <conditionalFormatting sqref="BK67:BK79">
    <cfRule type="colorScale" priority="23">
      <colorScale>
        <cfvo type="min"/>
        <cfvo type="max"/>
        <color rgb="00FFFFFF"/>
        <color rgb="0063BE7B"/>
      </colorScale>
    </cfRule>
  </conditionalFormatting>
  <conditionalFormatting sqref="BO67:BO79">
    <cfRule type="cellIs" priority="24" operator="greaterThan" dxfId="2">
      <formula>0</formula>
    </cfRule>
    <cfRule type="cellIs" priority="25" operator="lessThan" dxfId="3">
      <formula>0</formula>
    </cfRule>
  </conditionalFormatting>
  <conditionalFormatting sqref="BT67:BT79">
    <cfRule type="colorScale" priority="26">
      <colorScale>
        <cfvo type="min"/>
        <cfvo type="max"/>
        <color rgb="00FFFFFF"/>
        <color rgb="0063BE7B"/>
      </colorScale>
    </cfRule>
  </conditionalFormatting>
  <conditionalFormatting sqref="BX67:BX79">
    <cfRule type="cellIs" priority="27" operator="greaterThan" dxfId="2">
      <formula>0</formula>
    </cfRule>
    <cfRule type="cellIs" priority="28" operator="lessThan" dxfId="3">
      <formula>0</formula>
    </cfRule>
  </conditionalFormatting>
  <conditionalFormatting sqref="CC67:CC79">
    <cfRule type="colorScale" priority="29">
      <colorScale>
        <cfvo type="min"/>
        <cfvo type="max"/>
        <color rgb="00FFFFFF"/>
        <color rgb="0063BE7B"/>
      </colorScale>
    </cfRule>
  </conditionalFormatting>
  <conditionalFormatting sqref="CG67:CG79">
    <cfRule type="cellIs" priority="30" operator="greaterThan" dxfId="2">
      <formula>0</formula>
    </cfRule>
    <cfRule type="cellIs" priority="31" operator="lessThan" dxfId="3">
      <formula>0</formula>
    </cfRule>
  </conditionalFormatting>
  <conditionalFormatting sqref="CL67:CL79">
    <cfRule type="colorScale" priority="32">
      <colorScale>
        <cfvo type="min"/>
        <cfvo type="max"/>
        <color rgb="00FFFFFF"/>
        <color rgb="0063BE7B"/>
      </colorScale>
    </cfRule>
  </conditionalFormatting>
  <conditionalFormatting sqref="CP67:CP79">
    <cfRule type="cellIs" priority="33" operator="greaterThan" dxfId="2">
      <formula>0</formula>
    </cfRule>
    <cfRule type="cellIs" priority="34" operator="lessThan" dxfId="3">
      <formula>0</formula>
    </cfRule>
  </conditionalFormatting>
  <conditionalFormatting sqref="CU67:CU79">
    <cfRule type="colorScale" priority="35">
      <colorScale>
        <cfvo type="min"/>
        <cfvo type="max"/>
        <color rgb="00FFFFFF"/>
        <color rgb="0063BE7B"/>
      </colorScale>
    </cfRule>
  </conditionalFormatting>
  <conditionalFormatting sqref="CY67:CY79">
    <cfRule type="cellIs" priority="36" operator="greaterThan" dxfId="2">
      <formula>0</formula>
    </cfRule>
    <cfRule type="cellIs" priority="37" operator="lessThan" dxfId="3">
      <formula>0</formula>
    </cfRule>
  </conditionalFormatting>
  <conditionalFormatting sqref="DD67:DD79">
    <cfRule type="colorScale" priority="38">
      <colorScale>
        <cfvo type="min"/>
        <cfvo type="max"/>
        <color rgb="00FFFFFF"/>
        <color rgb="0063BE7B"/>
      </colorScale>
    </cfRule>
  </conditionalFormatting>
  <conditionalFormatting sqref="DH67:DH79">
    <cfRule type="cellIs" priority="39" operator="greaterThan" dxfId="2">
      <formula>0</formula>
    </cfRule>
    <cfRule type="cellIs" priority="40" operator="lessThan" dxfId="3">
      <formula>0</formula>
    </cfRule>
  </conditionalFormatting>
  <conditionalFormatting sqref="DM67:DM79">
    <cfRule type="colorScale" priority="41">
      <colorScale>
        <cfvo type="min"/>
        <cfvo type="max"/>
        <color rgb="00FFFFFF"/>
        <color rgb="0063BE7B"/>
      </colorScale>
    </cfRule>
  </conditionalFormatting>
  <conditionalFormatting sqref="DQ67:DQ79">
    <cfRule type="cellIs" priority="42" operator="greaterThan" dxfId="2">
      <formula>0</formula>
    </cfRule>
    <cfRule type="cellIs" priority="43" operator="lessThan" dxfId="3">
      <formula>0</formula>
    </cfRule>
  </conditionalFormatting>
  <conditionalFormatting sqref="DV67:DV79">
    <cfRule type="colorScale" priority="44">
      <colorScale>
        <cfvo type="min"/>
        <cfvo type="max"/>
        <color rgb="00FFFFFF"/>
        <color rgb="0063BE7B"/>
      </colorScale>
    </cfRule>
  </conditionalFormatting>
  <conditionalFormatting sqref="DZ67:DZ79">
    <cfRule type="cellIs" priority="45" operator="greaterThan" dxfId="2">
      <formula>0</formula>
    </cfRule>
    <cfRule type="cellIs" priority="46" operator="lessThan" dxfId="3">
      <formula>0</formula>
    </cfRule>
  </conditionalFormatting>
  <conditionalFormatting sqref="EE67:EE79">
    <cfRule type="colorScale" priority="47">
      <colorScale>
        <cfvo type="min"/>
        <cfvo type="max"/>
        <color rgb="00FFFFFF"/>
        <color rgb="0063BE7B"/>
      </colorScale>
    </cfRule>
  </conditionalFormatting>
  <conditionalFormatting sqref="EI67:EI79">
    <cfRule type="cellIs" priority="48" operator="greaterThan" dxfId="2">
      <formula>0</formula>
    </cfRule>
    <cfRule type="cellIs" priority="49" operator="lessThan" dxfId="3">
      <formula>0</formula>
    </cfRule>
  </conditionalFormatting>
  <conditionalFormatting sqref="EN67:EN79">
    <cfRule type="colorScale" priority="50">
      <colorScale>
        <cfvo type="min"/>
        <cfvo type="max"/>
        <color rgb="00FFFFFF"/>
        <color rgb="0063BE7B"/>
      </colorScale>
    </cfRule>
  </conditionalFormatting>
  <conditionalFormatting sqref="ER67:ER79">
    <cfRule type="cellIs" priority="51" operator="greaterThan" dxfId="2">
      <formula>0</formula>
    </cfRule>
    <cfRule type="cellIs" priority="52" operator="lessThan" dxfId="3">
      <formula>0</formula>
    </cfRule>
  </conditionalFormatting>
  <conditionalFormatting sqref="EW67:EW79">
    <cfRule type="colorScale" priority="53">
      <colorScale>
        <cfvo type="min"/>
        <cfvo type="max"/>
        <color rgb="00FFFFFF"/>
        <color rgb="0063BE7B"/>
      </colorScale>
    </cfRule>
  </conditionalFormatting>
  <conditionalFormatting sqref="FA67:FA79">
    <cfRule type="cellIs" priority="54" operator="greaterThan" dxfId="2">
      <formula>0</formula>
    </cfRule>
    <cfRule type="cellIs" priority="55" operator="lessThan" dxfId="3">
      <formula>0</formula>
    </cfRule>
  </conditionalFormatting>
  <conditionalFormatting sqref="FF67:FF79">
    <cfRule type="colorScale" priority="56">
      <colorScale>
        <cfvo type="min"/>
        <cfvo type="max"/>
        <color rgb="00FFFFFF"/>
        <color rgb="0063BE7B"/>
      </colorScale>
    </cfRule>
  </conditionalFormatting>
  <conditionalFormatting sqref="FJ67:FJ79">
    <cfRule type="cellIs" priority="57" operator="greaterThan" dxfId="2">
      <formula>0</formula>
    </cfRule>
    <cfRule type="cellIs" priority="58" operator="lessThan" dxfId="3">
      <formula>0</formula>
    </cfRule>
  </conditionalFormatting>
  <conditionalFormatting sqref="FO67:FO79">
    <cfRule type="colorScale" priority="59">
      <colorScale>
        <cfvo type="min"/>
        <cfvo type="max"/>
        <color rgb="00FFFFFF"/>
        <color rgb="0063BE7B"/>
      </colorScale>
    </cfRule>
  </conditionalFormatting>
  <conditionalFormatting sqref="FS67:FS79">
    <cfRule type="cellIs" priority="60" operator="greaterThan" dxfId="2">
      <formula>0</formula>
    </cfRule>
    <cfRule type="cellIs" priority="61" operator="lessThan" dxfId="3">
      <formula>0</formula>
    </cfRule>
  </conditionalFormatting>
  <conditionalFormatting sqref="FX67:FX79">
    <cfRule type="colorScale" priority="62">
      <colorScale>
        <cfvo type="min"/>
        <cfvo type="max"/>
        <color rgb="00FFFFFF"/>
        <color rgb="0063BE7B"/>
      </colorScale>
    </cfRule>
  </conditionalFormatting>
  <conditionalFormatting sqref="GB67:GB79">
    <cfRule type="cellIs" priority="63" operator="greaterThan" dxfId="2">
      <formula>0</formula>
    </cfRule>
    <cfRule type="cellIs" priority="64" operator="lessThan" dxfId="3">
      <formula>0</formula>
    </cfRule>
  </conditionalFormatting>
  <conditionalFormatting sqref="GG67:GG79">
    <cfRule type="colorScale" priority="65">
      <colorScale>
        <cfvo type="min"/>
        <cfvo type="max"/>
        <color rgb="00FFFFFF"/>
        <color rgb="0063BE7B"/>
      </colorScale>
    </cfRule>
  </conditionalFormatting>
  <conditionalFormatting sqref="GK67:GK79">
    <cfRule type="cellIs" priority="66" operator="greaterThan" dxfId="2">
      <formula>0</formula>
    </cfRule>
    <cfRule type="cellIs" priority="67" operator="lessThan" dxfId="3">
      <formula>0</formula>
    </cfRule>
  </conditionalFormatting>
  <conditionalFormatting sqref="GP67:GP79">
    <cfRule type="colorScale" priority="68">
      <colorScale>
        <cfvo type="min"/>
        <cfvo type="max"/>
        <color rgb="00FFFFFF"/>
        <color rgb="0063BE7B"/>
      </colorScale>
    </cfRule>
  </conditionalFormatting>
  <conditionalFormatting sqref="GT67:GT79">
    <cfRule type="cellIs" priority="69" operator="greaterThan" dxfId="2">
      <formula>0</formula>
    </cfRule>
    <cfRule type="cellIs" priority="70" operator="lessThan" dxfId="3">
      <formula>0</formula>
    </cfRule>
  </conditionalFormatting>
  <conditionalFormatting sqref="GY67:GY79">
    <cfRule type="colorScale" priority="71">
      <colorScale>
        <cfvo type="min"/>
        <cfvo type="max"/>
        <color rgb="00FFFFFF"/>
        <color rgb="0063BE7B"/>
      </colorScale>
    </cfRule>
  </conditionalFormatting>
  <conditionalFormatting sqref="HC67:HC79">
    <cfRule type="cellIs" priority="72" operator="greaterThan" dxfId="2">
      <formula>0</formula>
    </cfRule>
    <cfRule type="cellIs" priority="73" operator="lessThan" dxfId="3">
      <formula>0</formula>
    </cfRule>
  </conditionalFormatting>
  <conditionalFormatting sqref="HH67:HH79">
    <cfRule type="colorScale" priority="74">
      <colorScale>
        <cfvo type="min"/>
        <cfvo type="max"/>
        <color rgb="00FFFFFF"/>
        <color rgb="0063BE7B"/>
      </colorScale>
    </cfRule>
  </conditionalFormatting>
  <conditionalFormatting sqref="HL67:HL79">
    <cfRule type="cellIs" priority="75" operator="greaterThan" dxfId="2">
      <formula>0</formula>
    </cfRule>
    <cfRule type="cellIs" priority="76" operator="lessThan" dxfId="3">
      <formula>0</formula>
    </cfRule>
  </conditionalFormatting>
  <conditionalFormatting sqref="HQ67:HQ79">
    <cfRule type="colorScale" priority="77">
      <colorScale>
        <cfvo type="min"/>
        <cfvo type="max"/>
        <color rgb="00FFFFFF"/>
        <color rgb="0063BE7B"/>
      </colorScale>
    </cfRule>
  </conditionalFormatting>
  <conditionalFormatting sqref="HU67:HU79">
    <cfRule type="cellIs" priority="78" operator="greaterThan" dxfId="2">
      <formula>0</formula>
    </cfRule>
    <cfRule type="cellIs" priority="79" operator="lessThan" dxfId="3">
      <formula>0</formula>
    </cfRule>
  </conditionalFormatting>
  <conditionalFormatting sqref="HZ67:HZ79">
    <cfRule type="colorScale" priority="80">
      <colorScale>
        <cfvo type="min"/>
        <cfvo type="max"/>
        <color rgb="00FFFFFF"/>
        <color rgb="0063BE7B"/>
      </colorScale>
    </cfRule>
  </conditionalFormatting>
  <conditionalFormatting sqref="ID67:ID79">
    <cfRule type="cellIs" priority="81" operator="greaterThan" dxfId="2">
      <formula>0</formula>
    </cfRule>
    <cfRule type="cellIs" priority="82" operator="lessThan" dxfId="3">
      <formula>0</formula>
    </cfRule>
  </conditionalFormatting>
  <conditionalFormatting sqref="II67:II79">
    <cfRule type="colorScale" priority="83">
      <colorScale>
        <cfvo type="min"/>
        <cfvo type="max"/>
        <color rgb="00FFFFFF"/>
        <color rgb="0063BE7B"/>
      </colorScale>
    </cfRule>
  </conditionalFormatting>
  <conditionalFormatting sqref="IM67:IM79">
    <cfRule type="cellIs" priority="84" operator="greaterThan" dxfId="2">
      <formula>0</formula>
    </cfRule>
    <cfRule type="cellIs" priority="85" operator="lessThan" dxfId="3">
      <formula>0</formula>
    </cfRule>
  </conditionalFormatting>
  <conditionalFormatting sqref="IR67:IR79">
    <cfRule type="colorScale" priority="86">
      <colorScale>
        <cfvo type="min"/>
        <cfvo type="max"/>
        <color rgb="00FFFFFF"/>
        <color rgb="0063BE7B"/>
      </colorScale>
    </cfRule>
  </conditionalFormatting>
  <conditionalFormatting sqref="IV67:IV79">
    <cfRule type="cellIs" priority="87" operator="greaterThan" dxfId="2">
      <formula>0</formula>
    </cfRule>
    <cfRule type="cellIs" priority="88" operator="lessThan" dxfId="3">
      <formula>0</formula>
    </cfRule>
  </conditionalFormatting>
  <conditionalFormatting sqref="JA67:JA79">
    <cfRule type="colorScale" priority="89">
      <colorScale>
        <cfvo type="min"/>
        <cfvo type="max"/>
        <color rgb="00FFFFFF"/>
        <color rgb="0063BE7B"/>
      </colorScale>
    </cfRule>
  </conditionalFormatting>
  <conditionalFormatting sqref="JE67:JE79">
    <cfRule type="cellIs" priority="90" operator="greaterThan" dxfId="2">
      <formula>0</formula>
    </cfRule>
    <cfRule type="cellIs" priority="91" operator="lessThan" dxfId="3">
      <formula>0</formula>
    </cfRule>
  </conditionalFormatting>
  <conditionalFormatting sqref="JJ67:JJ79">
    <cfRule type="colorScale" priority="92">
      <colorScale>
        <cfvo type="min"/>
        <cfvo type="max"/>
        <color rgb="00FFFFFF"/>
        <color rgb="0063BE7B"/>
      </colorScale>
    </cfRule>
  </conditionalFormatting>
  <conditionalFormatting sqref="JN67:JN79">
    <cfRule type="cellIs" priority="93" operator="greaterThan" dxfId="2">
      <formula>0</formula>
    </cfRule>
    <cfRule type="cellIs" priority="94" operator="lessThan" dxfId="3">
      <formula>0</formula>
    </cfRule>
  </conditionalFormatting>
  <conditionalFormatting sqref="JS67:JS79">
    <cfRule type="colorScale" priority="95">
      <colorScale>
        <cfvo type="min"/>
        <cfvo type="max"/>
        <color rgb="00FFFFFF"/>
        <color rgb="0063BE7B"/>
      </colorScale>
    </cfRule>
  </conditionalFormatting>
  <conditionalFormatting sqref="JZ67:JZ79">
    <cfRule type="expression" priority="96" dxfId="0">
      <formula>ISNUMBER(SEARCH("Atingida",JZ67))</formula>
    </cfRule>
  </conditionalFormatting>
  <dataValidations count="4">
    <dataValidation sqref="B67:B79 K67:K79 T67:T79 AC67:AC79 AL67:AL79 AU67:AU79 BD67:BD79 BM67:BM79 BV67:BV79 CE67:CE79 CN67:CN79 CW67:CW79 DF67:DF79 DO67:DO79 DX67:DX79 EG67:EG79 EP67:EP79 EY67:EY79 FH67:FH79 FQ67:FQ79 FZ67:FZ79 GI67:GI79 GR67:GR79 HA67:HA79 HJ67:HJ79 HS67:HS79 IB67:IB79 IK67:IK79 IT67:IT79 JC67:JC79 JL67:JL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D67:D79 M67:M79 V67:V79 AE67:AE79 AN67:AN79 AW67:AW79 BF67:BF79 BO67:BO79 BX67:BX79 CG67:CG79 CP67:CP79 CY67:CY79 DH67:DH79 DQ67:DQ79 DZ67:DZ79 EI67:EI79 ER67:ER79 FA67:FA79 FJ67:FJ79 FS67:FS79 GB67:GB79 GK67:GK79 GT67:GT79 HC67:HC79 HL67:HL79 HU67:HU79 ID67:ID79 IM67:IM79 IV67:IV79 JE67:JE79 JN67:JN79" showDropDown="0" showInputMessage="0" showErrorMessage="1" allowBlank="1" errorTitle="Valor inválido" error="Informe um valor numérico (positivo ou negativo)." type="decimal" operator="between">
      <formula1>-999999999</formula1>
      <formula2>999999999</formula2>
    </dataValidation>
    <dataValidation sqref="E67:E79 F67:F79 G67:G79 H67:H79 N67:N79 O67:O79 P67:P79 Q67:Q79 W67:W79 X67:X79 Y67:Y79 Z67:Z79 AF67:AF79 AG67:AG79 AH67:AH79 AI67:AI79 AO67:AO79 AP67:AP79 AQ67:AQ79 AR67:AR79 AX67:AX79 AY67:AY79 AZ67:AZ79 BA67:BA79 BG67:BG79 BH67:BH79 BI67:BI79 BJ67:BJ79 BP67:BP79 BQ67:BQ79 BR67:BR79 BS67:BS79 BY67:BY79 BZ67:BZ79 CA67:CA79 CB67:CB79 CH67:CH79 CI67:CI79 CJ67:CJ79 CK67:CK79 CQ67:CQ79 CR67:CR79 CS67:CS79 CT67:CT79 CZ67:CZ79 DA67:DA79 DB67:DB79 DC67:DC79 DI67:DI79 DJ67:DJ79 DK67:DK79 DL67:DL79 DR67:DR79 DS67:DS79 DT67:DT79 DU67:DU79 EA67:EA79 EB67:EB79 EC67:EC79 ED67:ED79 EJ67:EJ79 EK67:EK79 EL67:EL79 EM67:EM79 ES67:ES79 ET67:ET79 EU67:EU79 EV67:EV79 FB67:FB79 FC67:FC79 FD67:FD79 FE67:FE79 FK67:FK79 FL67:FL79 FM67:FM79 FN67:FN79 FT67:FT79 FU67:FU79 FV67:FV79 FW67:FW79 GC67:GC79 GD67:GD79 GE67:GE79 GF67:GF79 GL67:GL79 GM67:GM79 GN67:GN79 GO67:GO79 GU67:GU79 GV67:GV79 GW67:GW79 GX67:GX79 HD67:HD79 HE67:HE79 HF67:HF79 HG67:HG79 HM67:HM79 HN67:HN79 HO67:HO79 HP67:HP79 HV67:HV79 HW67:HW79 HX67:HX79 HY67:HY79 IE67:IE79 IF67:IF79 IG67:IG79 IH67:IH79 IN67:IN79 IO67:IO79 IP67:IP79 IQ67:IQ79 IW67:IW79 IX67:IX79 IY67:IY79 IZ67:IZ79 JF67:JF79 JG67:JG79 JH67:JH79 JI67:JI79 JO67:JO79 JP67:JP79 JQ67:JQ79 JR67:JR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J67:J79 S67:S79 AB67:AB79 AK67:AK79 AT67:AT79 BC67:BC79 BL67:BL79 BU67:BU79 CD67:CD79 CM67:CM79 CV67:CV79 DE67:DE79 DN67:DN79 DW67:DW79 EF67:EF79 EO67:EO79 EX67:EX79 FG67:FG79 FP67:FP79 FY67:FY79 GH67:GH79 GQ67:GQ79 GZ67:GZ79 HI67:HI79 HR67:HR79 IA67:IA79 IJ67:IJ79 IS67:IS79 JB67:JB79 JK67:JK79 JT67:JT79" showDropDown="0" showInputMessage="0" showErrorMessage="1" allowBlank="1" errorTitle="Texto muito longo" error="Limite de 300 caracteres." type="textLength" operator="lessThanOrEqual">
      <formula1>300</formula1>
    </dataValidation>
  </dataValidations>
  <pageMargins left="0.75" right="0.75" top="1" bottom="1" header="0.5" footer="0.5"/>
  <pageSetup orientation="landscape" fitToHeight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I79"/>
  <sheetViews>
    <sheetView showGridLines="0" zoomScale="90" workbookViewId="0">
      <pane xSplit="1" ySplit="66" topLeftCell="B6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11" customWidth="1" min="5" max="5"/>
    <col width="12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4" customWidth="1" min="13" max="13"/>
    <col width="11" customWidth="1" min="14" max="14"/>
    <col width="12" customWidth="1" min="15" max="15"/>
    <col width="13" customWidth="1" min="16" max="16"/>
    <col width="13" customWidth="1" min="17" max="17"/>
    <col width="13" customWidth="1" min="18" max="18"/>
    <col width="20" customWidth="1" min="19" max="19"/>
    <col width="13" customWidth="1" min="20" max="20"/>
    <col width="13" customWidth="1" min="21" max="21"/>
    <col width="14" customWidth="1" min="22" max="22"/>
    <col width="11" customWidth="1" min="23" max="23"/>
    <col width="12" customWidth="1" min="24" max="24"/>
    <col width="13" customWidth="1" min="25" max="25"/>
    <col width="13" customWidth="1" min="26" max="26"/>
    <col width="13" customWidth="1" min="27" max="27"/>
    <col width="20" customWidth="1" min="28" max="28"/>
    <col width="13" customWidth="1" min="29" max="29"/>
    <col width="13" customWidth="1" min="30" max="30"/>
    <col width="14" customWidth="1" min="31" max="31"/>
    <col width="11" customWidth="1" min="32" max="32"/>
    <col width="12" customWidth="1" min="33" max="33"/>
    <col width="13" customWidth="1" min="34" max="34"/>
    <col width="13" customWidth="1" min="35" max="35"/>
    <col width="13" customWidth="1" min="36" max="36"/>
    <col width="20" customWidth="1" min="37" max="37"/>
    <col width="13" customWidth="1" min="38" max="38"/>
    <col width="13" customWidth="1" min="39" max="39"/>
    <col width="14" customWidth="1" min="40" max="40"/>
    <col width="11" customWidth="1" min="41" max="41"/>
    <col width="12" customWidth="1" min="42" max="42"/>
    <col width="13" customWidth="1" min="43" max="43"/>
    <col width="13" customWidth="1" min="44" max="44"/>
    <col width="13" customWidth="1" min="45" max="45"/>
    <col width="20" customWidth="1" min="46" max="46"/>
    <col width="13" customWidth="1" min="47" max="47"/>
    <col width="13" customWidth="1" min="48" max="48"/>
    <col width="14" customWidth="1" min="49" max="49"/>
    <col width="11" customWidth="1" min="50" max="50"/>
    <col width="12" customWidth="1" min="51" max="51"/>
    <col width="13" customWidth="1" min="52" max="52"/>
    <col width="13" customWidth="1" min="53" max="53"/>
    <col width="13" customWidth="1" min="54" max="54"/>
    <col width="20" customWidth="1" min="55" max="55"/>
    <col width="13" customWidth="1" min="56" max="56"/>
    <col width="13" customWidth="1" min="57" max="57"/>
    <col width="14" customWidth="1" min="58" max="58"/>
    <col width="11" customWidth="1" min="59" max="59"/>
    <col width="12" customWidth="1" min="60" max="60"/>
    <col width="13" customWidth="1" min="61" max="61"/>
    <col width="13" customWidth="1" min="62" max="62"/>
    <col width="13" customWidth="1" min="63" max="63"/>
    <col width="20" customWidth="1" min="64" max="64"/>
    <col width="13" customWidth="1" min="65" max="65"/>
    <col width="13" customWidth="1" min="66" max="66"/>
    <col width="14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20" customWidth="1" min="73" max="73"/>
    <col width="13" customWidth="1" min="74" max="74"/>
    <col width="13" customWidth="1" min="75" max="75"/>
    <col width="14" customWidth="1" min="76" max="76"/>
    <col width="11" customWidth="1" min="77" max="77"/>
    <col width="12" customWidth="1" min="78" max="78"/>
    <col width="13" customWidth="1" min="79" max="79"/>
    <col width="13" customWidth="1" min="80" max="80"/>
    <col width="13" customWidth="1" min="81" max="81"/>
    <col width="20" customWidth="1" min="82" max="82"/>
    <col width="13" customWidth="1" min="83" max="83"/>
    <col width="13" customWidth="1" min="84" max="84"/>
    <col width="14" customWidth="1" min="85" max="85"/>
    <col width="11" customWidth="1" min="86" max="86"/>
    <col width="12" customWidth="1" min="87" max="87"/>
    <col width="13" customWidth="1" min="88" max="88"/>
    <col width="13" customWidth="1" min="89" max="89"/>
    <col width="13" customWidth="1" min="90" max="90"/>
    <col width="20" customWidth="1" min="91" max="91"/>
    <col width="13" customWidth="1" min="92" max="92"/>
    <col width="13" customWidth="1" min="93" max="93"/>
    <col width="14" customWidth="1" min="94" max="94"/>
    <col width="11" customWidth="1" min="95" max="95"/>
    <col width="12" customWidth="1" min="96" max="96"/>
    <col width="13" customWidth="1" min="97" max="97"/>
    <col width="13" customWidth="1" min="98" max="98"/>
    <col width="13" customWidth="1" min="99" max="99"/>
    <col width="20" customWidth="1" min="100" max="100"/>
    <col width="13" customWidth="1" min="101" max="101"/>
    <col width="13" customWidth="1" min="102" max="102"/>
    <col width="14" customWidth="1" min="103" max="103"/>
    <col width="11" customWidth="1" min="104" max="104"/>
    <col width="12" customWidth="1" min="105" max="105"/>
    <col width="13" customWidth="1" min="106" max="106"/>
    <col width="13" customWidth="1" min="107" max="107"/>
    <col width="13" customWidth="1" min="108" max="108"/>
    <col width="20" customWidth="1" min="109" max="109"/>
    <col width="13" customWidth="1" min="110" max="110"/>
    <col width="13" customWidth="1" min="111" max="111"/>
    <col width="14" customWidth="1" min="112" max="112"/>
    <col width="11" customWidth="1" min="113" max="113"/>
    <col width="12" customWidth="1" min="114" max="114"/>
    <col width="13" customWidth="1" min="115" max="115"/>
    <col width="13" customWidth="1" min="116" max="116"/>
    <col width="13" customWidth="1" min="117" max="117"/>
    <col width="20" customWidth="1" min="118" max="118"/>
    <col width="13" customWidth="1" min="119" max="119"/>
    <col width="13" customWidth="1" min="120" max="120"/>
    <col width="14" customWidth="1" min="121" max="121"/>
    <col width="11" customWidth="1" min="122" max="122"/>
    <col width="12" customWidth="1" min="123" max="123"/>
    <col width="13" customWidth="1" min="124" max="124"/>
    <col width="13" customWidth="1" min="125" max="125"/>
    <col width="13" customWidth="1" min="126" max="126"/>
    <col width="20" customWidth="1" min="127" max="127"/>
    <col width="13" customWidth="1" min="128" max="128"/>
    <col width="13" customWidth="1" min="129" max="129"/>
    <col width="14" customWidth="1" min="130" max="130"/>
    <col width="11" customWidth="1" min="131" max="131"/>
    <col width="12" customWidth="1" min="132" max="132"/>
    <col width="13" customWidth="1" min="133" max="133"/>
    <col width="13" customWidth="1" min="134" max="134"/>
    <col width="13" customWidth="1" min="135" max="135"/>
    <col width="20" customWidth="1" min="136" max="136"/>
    <col width="13" customWidth="1" min="137" max="137"/>
    <col width="13" customWidth="1" min="138" max="138"/>
    <col width="14" customWidth="1" min="139" max="139"/>
    <col width="11" customWidth="1" min="140" max="140"/>
    <col width="12" customWidth="1" min="141" max="141"/>
    <col width="13" customWidth="1" min="142" max="142"/>
    <col width="13" customWidth="1" min="143" max="143"/>
    <col width="13" customWidth="1" min="144" max="144"/>
    <col width="20" customWidth="1" min="145" max="145"/>
    <col width="13" customWidth="1" min="146" max="146"/>
    <col width="13" customWidth="1" min="147" max="147"/>
    <col width="14" customWidth="1" min="148" max="148"/>
    <col width="11" customWidth="1" min="149" max="149"/>
    <col width="12" customWidth="1" min="150" max="150"/>
    <col width="13" customWidth="1" min="151" max="151"/>
    <col width="13" customWidth="1" min="152" max="152"/>
    <col width="13" customWidth="1" min="153" max="153"/>
    <col width="20" customWidth="1" min="154" max="154"/>
    <col width="13" customWidth="1" min="155" max="155"/>
    <col width="13" customWidth="1" min="156" max="156"/>
    <col width="14" customWidth="1" min="157" max="157"/>
    <col width="11" customWidth="1" min="158" max="158"/>
    <col width="12" customWidth="1" min="159" max="159"/>
    <col width="13" customWidth="1" min="160" max="160"/>
    <col width="13" customWidth="1" min="161" max="161"/>
    <col width="13" customWidth="1" min="162" max="162"/>
    <col width="20" customWidth="1" min="163" max="163"/>
    <col width="13" customWidth="1" min="164" max="164"/>
    <col width="13" customWidth="1" min="165" max="165"/>
    <col width="14" customWidth="1" min="166" max="166"/>
    <col width="11" customWidth="1" min="167" max="167"/>
    <col width="12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13" customWidth="1" min="173" max="173"/>
    <col width="13" customWidth="1" min="174" max="174"/>
    <col width="14" customWidth="1" min="175" max="175"/>
    <col width="11" customWidth="1" min="176" max="176"/>
    <col width="12" customWidth="1" min="177" max="177"/>
    <col width="13" customWidth="1" min="178" max="178"/>
    <col width="13" customWidth="1" min="179" max="179"/>
    <col width="13" customWidth="1" min="180" max="180"/>
    <col width="20" customWidth="1" min="181" max="181"/>
    <col width="13" customWidth="1" min="182" max="182"/>
    <col width="13" customWidth="1" min="183" max="183"/>
    <col width="14" customWidth="1" min="184" max="184"/>
    <col width="11" customWidth="1" min="185" max="185"/>
    <col width="12" customWidth="1" min="186" max="186"/>
    <col width="13" customWidth="1" min="187" max="187"/>
    <col width="13" customWidth="1" min="188" max="188"/>
    <col width="13" customWidth="1" min="189" max="189"/>
    <col width="20" customWidth="1" min="190" max="190"/>
    <col width="13" customWidth="1" min="191" max="191"/>
    <col width="13" customWidth="1" min="192" max="192"/>
    <col width="14" customWidth="1" min="193" max="193"/>
    <col width="11" customWidth="1" min="194" max="194"/>
    <col width="12" customWidth="1" min="195" max="195"/>
    <col width="13" customWidth="1" min="196" max="196"/>
    <col width="13" customWidth="1" min="197" max="197"/>
    <col width="13" customWidth="1" min="198" max="198"/>
    <col width="20" customWidth="1" min="199" max="199"/>
    <col width="13" customWidth="1" min="200" max="200"/>
    <col width="13" customWidth="1" min="201" max="201"/>
    <col width="14" customWidth="1" min="202" max="202"/>
    <col width="11" customWidth="1" min="203" max="203"/>
    <col width="12" customWidth="1" min="204" max="204"/>
    <col width="13" customWidth="1" min="205" max="205"/>
    <col width="13" customWidth="1" min="206" max="206"/>
    <col width="13" customWidth="1" min="207" max="207"/>
    <col width="20" customWidth="1" min="208" max="208"/>
    <col width="13" customWidth="1" min="209" max="209"/>
    <col width="13" customWidth="1" min="210" max="210"/>
    <col width="14" customWidth="1" min="211" max="211"/>
    <col width="11" customWidth="1" min="212" max="212"/>
    <col width="12" customWidth="1" min="213" max="213"/>
    <col width="13" customWidth="1" min="214" max="214"/>
    <col width="13" customWidth="1" min="215" max="215"/>
    <col width="13" customWidth="1" min="216" max="216"/>
    <col width="20" customWidth="1" min="217" max="217"/>
    <col width="13" customWidth="1" min="218" max="218"/>
    <col width="13" customWidth="1" min="219" max="219"/>
    <col width="14" customWidth="1" min="220" max="220"/>
    <col width="11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20" customWidth="1" min="226" max="226"/>
    <col width="13" customWidth="1" min="227" max="227"/>
    <col width="13" customWidth="1" min="228" max="228"/>
    <col width="14" customWidth="1" min="229" max="229"/>
    <col width="11" customWidth="1" min="230" max="230"/>
    <col width="12" customWidth="1" min="231" max="231"/>
    <col width="13" customWidth="1" min="232" max="232"/>
    <col width="13" customWidth="1" min="233" max="233"/>
    <col width="13" customWidth="1" min="234" max="234"/>
    <col width="20" customWidth="1" min="235" max="235"/>
    <col width="13" customWidth="1" min="236" max="236"/>
    <col width="13" customWidth="1" min="237" max="237"/>
    <col width="14" customWidth="1" min="238" max="238"/>
    <col width="11" customWidth="1" min="239" max="239"/>
    <col width="12" customWidth="1" min="240" max="240"/>
    <col width="13" customWidth="1" min="241" max="241"/>
    <col width="13" customWidth="1" min="242" max="242"/>
    <col width="13" customWidth="1" min="243" max="243"/>
    <col width="20" customWidth="1" min="244" max="244"/>
    <col width="13" customWidth="1" min="245" max="245"/>
    <col width="13" customWidth="1" min="246" max="246"/>
    <col width="14" customWidth="1" min="247" max="247"/>
    <col width="11" customWidth="1" min="248" max="248"/>
    <col width="12" customWidth="1" min="249" max="249"/>
    <col width="13" customWidth="1" min="250" max="250"/>
    <col width="13" customWidth="1" min="251" max="251"/>
    <col width="13" customWidth="1" min="252" max="252"/>
    <col width="20" customWidth="1" min="253" max="253"/>
    <col width="13" customWidth="1" min="254" max="254"/>
    <col width="13" customWidth="1" min="255" max="255"/>
    <col width="14" customWidth="1" min="256" max="256"/>
    <col width="11" customWidth="1" min="257" max="257"/>
    <col width="12" customWidth="1" min="258" max="258"/>
    <col width="13" customWidth="1" min="259" max="259"/>
    <col width="13" customWidth="1" min="260" max="260"/>
    <col width="13" customWidth="1" min="261" max="261"/>
    <col width="20" customWidth="1" min="262" max="262"/>
    <col width="13" customWidth="1" min="263" max="263"/>
    <col width="13" customWidth="1" min="264" max="264"/>
    <col width="14" customWidth="1" min="265" max="265"/>
    <col width="11" customWidth="1" min="266" max="266"/>
    <col width="12" customWidth="1" min="267" max="267"/>
    <col width="13" customWidth="1" min="268" max="268"/>
    <col width="13" customWidth="1" min="269" max="269"/>
    <col width="13" customWidth="1" min="270" max="270"/>
    <col width="20" customWidth="1" min="271" max="271"/>
    <col width="13" customWidth="1" min="272" max="272"/>
    <col width="13" customWidth="1" min="273" max="273"/>
    <col width="14" customWidth="1" min="274" max="274"/>
    <col width="11" customWidth="1" min="275" max="275"/>
    <col width="12" customWidth="1" min="276" max="276"/>
    <col width="13" customWidth="1" min="277" max="277"/>
    <col width="13" customWidth="1" min="278" max="278"/>
    <col width="13" customWidth="1" min="279" max="279"/>
    <col width="20" customWidth="1" min="280" max="280"/>
    <col width="16" customWidth="1" min="281" max="281"/>
    <col width="16" customWidth="1" min="282" max="282"/>
    <col width="16" customWidth="1" min="283" max="283"/>
    <col width="14" customWidth="1" min="284" max="284"/>
    <col width="14" customWidth="1" min="285" max="285"/>
    <col width="14" customWidth="1" min="286" max="286"/>
    <col hidden="1" width="10" customWidth="1" min="287" max="287"/>
    <col hidden="1" width="16" customWidth="1" min="289" max="289"/>
    <col hidden="1" width="16" customWidth="1" min="290" max="290"/>
    <col hidden="1" width="16" customWidth="1" min="291" max="291"/>
    <col hidden="1" width="16" customWidth="1" min="292" max="292"/>
    <col hidden="1" width="16" customWidth="1" min="294" max="294"/>
    <col hidden="1" width="16" customWidth="1" min="295" max="295"/>
  </cols>
  <sheetData>
    <row r="1" ht="32" customHeight="1">
      <c r="A1" s="11">
        <f>"ACOMPANHAMENTO DIÁRIO DE ASSESSORES — NOVEMBRO / "&amp;Configurações!$B$3</f>
        <v/>
      </c>
      <c r="KC1" t="inlineStr">
        <is>
          <t>Dia</t>
        </is>
      </c>
      <c r="KD1" t="inlineStr">
        <is>
          <t>Data</t>
        </is>
      </c>
      <c r="KE1" t="inlineStr">
        <is>
          <t>Produção do Dia</t>
        </is>
      </c>
      <c r="KF1" t="inlineStr">
        <is>
          <t>Captação do Dia</t>
        </is>
      </c>
    </row>
    <row r="2" ht="18" customHeight="1">
      <c r="A2" s="12">
        <f>"Dias no mês: "&amp;$Z$3&amp;"   |   Cada assessor ocupa 1 linha. Role para a direita para ver os dias. Apenas as células destacadas em amarelo são editáveis."</f>
        <v/>
      </c>
      <c r="KC2" s="13" t="n">
        <v>1</v>
      </c>
      <c r="KD2" s="14">
        <f>IF(1&lt;=$Z$3,DATE(Configurações!$B$3,11,1),"")</f>
        <v/>
      </c>
      <c r="KE2" s="13">
        <f>SUM($I$67:$I$79)</f>
        <v/>
      </c>
      <c r="KF2" s="13">
        <f>SUM($D$67:$D$79)</f>
        <v/>
      </c>
      <c r="KH2" t="inlineStr">
        <is>
          <t>COE</t>
        </is>
      </c>
      <c r="KI2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</row>
    <row r="3">
      <c r="Y3" s="15" t="inlineStr">
        <is>
          <t>Dias no mês</t>
        </is>
      </c>
      <c r="Z3" s="16">
        <f>DAY(EOMONTH(DATE(Configurações!$B$3,11,1),0))</f>
        <v/>
      </c>
      <c r="KC3" s="13" t="n">
        <v>2</v>
      </c>
      <c r="KD3" s="14">
        <f>IF(2&lt;=$Z$3,DATE(Configurações!$B$3,11,2),"")</f>
        <v/>
      </c>
      <c r="KE3" s="13">
        <f>SUM($R$67:$R$79)</f>
        <v/>
      </c>
      <c r="KF3" s="13">
        <f>SUM($M$67:$M$79)</f>
        <v/>
      </c>
      <c r="KH3" t="inlineStr">
        <is>
          <t>PREVIDÊNCIA</t>
        </is>
      </c>
      <c r="KI3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</row>
    <row r="4" ht="22" customHeight="1">
      <c r="A4" s="17" t="inlineStr">
        <is>
          <t>📊  INDICADORES DO MÊS</t>
        </is>
      </c>
      <c r="KC4" s="13" t="n">
        <v>3</v>
      </c>
      <c r="KD4" s="14">
        <f>IF(3&lt;=$Z$3,DATE(Configurações!$B$3,11,3),"")</f>
        <v/>
      </c>
      <c r="KE4" s="13">
        <f>SUM($AA$67:$AA$79)</f>
        <v/>
      </c>
      <c r="KF4" s="13">
        <f>SUM($V$67:$V$79)</f>
        <v/>
      </c>
      <c r="KH4" t="inlineStr">
        <is>
          <t>CRÉDITO PRIVADO</t>
        </is>
      </c>
      <c r="KI4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</row>
    <row r="5" ht="26" customHeight="1">
      <c r="A5" s="18" t="inlineStr">
        <is>
          <t>PRODUÇÃO TOTAL DO MÊS</t>
        </is>
      </c>
      <c r="C5" s="18" t="inlineStr">
        <is>
          <t>CAPTAÇÃO LÍQUIDA DO MÊS</t>
        </is>
      </c>
      <c r="E5" s="18" t="inlineStr">
        <is>
          <t>SALDO PULSO TOTAL (ATUAL)</t>
        </is>
      </c>
      <c r="G5" s="18" t="inlineStr">
        <is>
          <t>MÉDIA DIÁRIA DA EQUIPE</t>
        </is>
      </c>
      <c r="I5" s="18" t="inlineStr">
        <is>
          <t>MELHOR DIA DE PRODUÇÃO</t>
        </is>
      </c>
      <c r="K5" s="18" t="inlineStr">
        <is>
          <t>MELHOR ASSESSOR DO MÊS</t>
        </is>
      </c>
      <c r="KC5" s="13" t="n">
        <v>4</v>
      </c>
      <c r="KD5" s="14">
        <f>IF(4&lt;=$Z$3,DATE(Configurações!$B$3,11,4),"")</f>
        <v/>
      </c>
      <c r="KE5" s="13">
        <f>SUM($AJ$67:$AJ$79)</f>
        <v/>
      </c>
      <c r="KF5" s="13">
        <f>SUM($AE$67:$AE$79)</f>
        <v/>
      </c>
      <c r="KH5" t="inlineStr">
        <is>
          <t>TÍTULOS PÚBLICOS</t>
        </is>
      </c>
      <c r="KI5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</row>
    <row r="6" ht="30" customHeight="1">
      <c r="A6" s="19">
        <f>SUM($JU$67:$JU$79)</f>
        <v/>
      </c>
      <c r="C6" s="19">
        <f>SUM($JV$67:$JV$79)</f>
        <v/>
      </c>
      <c r="E6" s="19">
        <f>SUM($JW$67:$JW$79)</f>
        <v/>
      </c>
      <c r="G6" s="19">
        <f>IFERROR(SUM($JU$67:$JU$79)/$Z$3,0)</f>
        <v/>
      </c>
      <c r="I6" s="20">
        <f>IFERROR("Dia "&amp;TEXT(INDEX($KD$2:$KD$32,MATCH(MAX($KE$2:$KE$32),$KE$2:$KE$32,0)),"dd/mm")&amp;"  -  "&amp;TEXT(MAX($KE$2:$KE$32),"R$ #,##0"),"—")</f>
        <v/>
      </c>
      <c r="K6" s="20">
        <f>IFERROR($B$14&amp;"  -  "&amp;TEXT($C$14,"R$ #,##0"),"—")</f>
        <v/>
      </c>
      <c r="KC6" s="13" t="n">
        <v>5</v>
      </c>
      <c r="KD6" s="14">
        <f>IF(5&lt;=$Z$3,DATE(Configurações!$B$3,11,5),"")</f>
        <v/>
      </c>
      <c r="KE6" s="13">
        <f>SUM($AS$67:$AS$79)</f>
        <v/>
      </c>
      <c r="KF6" s="13">
        <f>SUM($AN$67:$AN$79)</f>
        <v/>
      </c>
    </row>
    <row r="7">
      <c r="KC7" s="13" t="n">
        <v>6</v>
      </c>
      <c r="KD7" s="14">
        <f>IF(6&lt;=$Z$3,DATE(Configurações!$B$3,11,6),"")</f>
        <v/>
      </c>
      <c r="KE7" s="13">
        <f>SUM($BB$67:$BB$79)</f>
        <v/>
      </c>
      <c r="KF7" s="13">
        <f>SUM($AW$67:$AW$79)</f>
        <v/>
      </c>
    </row>
    <row r="8" ht="22" customHeight="1">
      <c r="A8" s="17" t="inlineStr">
        <is>
          <t>💰  TOTAIS POR PRODUTO</t>
        </is>
      </c>
      <c r="KC8" s="13" t="n">
        <v>7</v>
      </c>
      <c r="KD8" s="14">
        <f>IF(7&lt;=$Z$3,DATE(Configurações!$B$3,11,7),"")</f>
        <v/>
      </c>
      <c r="KE8" s="13">
        <f>SUM($BK$67:$BK$79)</f>
        <v/>
      </c>
      <c r="KF8" s="13">
        <f>SUM($BF$67:$BF$79)</f>
        <v/>
      </c>
    </row>
    <row r="9" ht="20" customHeight="1">
      <c r="A9" s="18" t="inlineStr">
        <is>
          <t>COE</t>
        </is>
      </c>
      <c r="D9" s="18" t="inlineStr">
        <is>
          <t>PREVIDÊNCIA</t>
        </is>
      </c>
      <c r="G9" s="18" t="inlineStr">
        <is>
          <t>CRÉDITO PRIVADO</t>
        </is>
      </c>
      <c r="J9" s="18" t="inlineStr">
        <is>
          <t>TÍTULOS PÚBLICOS</t>
        </is>
      </c>
      <c r="KC9" s="13" t="n">
        <v>8</v>
      </c>
      <c r="KD9" s="14">
        <f>IF(8&lt;=$Z$3,DATE(Configurações!$B$3,11,8),"")</f>
        <v/>
      </c>
      <c r="KE9" s="13">
        <f>SUM($BT$67:$BT$79)</f>
        <v/>
      </c>
      <c r="KF9" s="13">
        <f>SUM($BO$67:$BO$79)</f>
        <v/>
      </c>
    </row>
    <row r="10" ht="26" customHeight="1">
      <c r="A10" s="19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  <c r="D10" s="19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  <c r="G10" s="19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  <c r="J10" s="19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  <c r="KC10" s="13" t="n">
        <v>9</v>
      </c>
      <c r="KD10" s="14">
        <f>IF(9&lt;=$Z$3,DATE(Configurações!$B$3,11,9),"")</f>
        <v/>
      </c>
      <c r="KE10" s="13">
        <f>SUM($CC$67:$CC$79)</f>
        <v/>
      </c>
      <c r="KF10" s="13">
        <f>SUM($BX$67:$BX$79)</f>
        <v/>
      </c>
    </row>
    <row r="11">
      <c r="KC11" s="13" t="n">
        <v>10</v>
      </c>
      <c r="KD11" s="14">
        <f>IF(10&lt;=$Z$3,DATE(Configurações!$B$3,11,10),"")</f>
        <v/>
      </c>
      <c r="KE11" s="13">
        <f>SUM($CL$67:$CL$79)</f>
        <v/>
      </c>
      <c r="KF11" s="13">
        <f>SUM($CG$67:$CG$79)</f>
        <v/>
      </c>
    </row>
    <row r="12" ht="22" customHeight="1">
      <c r="A12" s="17" t="inlineStr">
        <is>
          <t>🏆  RANKING DE ASSESSORES (TOP 5 EM DESTAQUE)</t>
        </is>
      </c>
      <c r="KC12" s="13" t="n">
        <v>11</v>
      </c>
      <c r="KD12" s="14">
        <f>IF(11&lt;=$Z$3,DATE(Configurações!$B$3,11,11),"")</f>
        <v/>
      </c>
      <c r="KE12" s="13">
        <f>SUM($CU$67:$CU$79)</f>
        <v/>
      </c>
      <c r="KF12" s="13">
        <f>SUM($CP$67:$CP$79)</f>
        <v/>
      </c>
    </row>
    <row r="13" ht="22" customHeight="1">
      <c r="A13" s="5" t="inlineStr">
        <is>
          <t>Pos.</t>
        </is>
      </c>
      <c r="B13" s="5" t="inlineStr">
        <is>
          <t>Assessor</t>
        </is>
      </c>
      <c r="C13" s="5" t="inlineStr">
        <is>
          <t>Produção Total</t>
        </is>
      </c>
      <c r="D13" s="5" t="inlineStr">
        <is>
          <t>Captação Líquida</t>
        </is>
      </c>
      <c r="E13" s="5" t="inlineStr">
        <is>
          <t>Saldo Pulso Atual</t>
        </is>
      </c>
      <c r="F13" s="5" t="inlineStr">
        <is>
          <t>Média Diária</t>
        </is>
      </c>
      <c r="G13" s="5" t="inlineStr">
        <is>
          <t>Meta Mensal</t>
        </is>
      </c>
      <c r="H13" s="5" t="inlineStr">
        <is>
          <t>Status</t>
        </is>
      </c>
      <c r="KC13" s="13" t="n">
        <v>12</v>
      </c>
      <c r="KD13" s="14">
        <f>IF(12&lt;=$Z$3,DATE(Configurações!$B$3,11,12),"")</f>
        <v/>
      </c>
      <c r="KE13" s="13">
        <f>SUM($DD$67:$DD$79)</f>
        <v/>
      </c>
      <c r="KF13" s="13">
        <f>SUM($CY$67:$CY$79)</f>
        <v/>
      </c>
    </row>
    <row r="14" ht="18" customHeight="1">
      <c r="A14" s="21" t="n">
        <v>1</v>
      </c>
      <c r="B14" s="22">
        <f>INDEX($A$67:$A$79,MATCH(LARGE($KA$67:$KA$79,1),$KA$67:$KA$79,0))</f>
        <v/>
      </c>
      <c r="C14" s="23">
        <f>INDEX($JU$67:$JU$79,MATCH(LARGE($KA$67:$KA$79,1),$KA$67:$KA$79,0))</f>
        <v/>
      </c>
      <c r="D14" s="24">
        <f>INDEX($JV$67:$JV$79,MATCH(LARGE($KA$67:$KA$79,1),$KA$67:$KA$79,0))</f>
        <v/>
      </c>
      <c r="E14" s="23">
        <f>INDEX($JW$67:$JW$79,MATCH(LARGE($KA$67:$KA$79,1),$KA$67:$KA$79,0))</f>
        <v/>
      </c>
      <c r="F14" s="23">
        <f>INDEX($JX$67:$JX$79,MATCH(LARGE($KA$67:$KA$79,1),$KA$67:$KA$79,0))</f>
        <v/>
      </c>
      <c r="G14" s="23">
        <f>INDEX($JY$67:$JY$79,MATCH(LARGE($KA$67:$KA$79,1),$KA$67:$KA$79,0))</f>
        <v/>
      </c>
      <c r="H14" s="25">
        <f>IF(G14=0,"— Sem meta",IF(C14&gt;=G14,"✓ Meta atingida","Em andamento"))</f>
        <v/>
      </c>
      <c r="KC14" s="13" t="n">
        <v>13</v>
      </c>
      <c r="KD14" s="14">
        <f>IF(13&lt;=$Z$3,DATE(Configurações!$B$3,11,13),"")</f>
        <v/>
      </c>
      <c r="KE14" s="13">
        <f>SUM($DM$67:$DM$79)</f>
        <v/>
      </c>
      <c r="KF14" s="13">
        <f>SUM($DH$67:$DH$79)</f>
        <v/>
      </c>
    </row>
    <row r="15" ht="18" customHeight="1">
      <c r="A15" s="26" t="n">
        <v>2</v>
      </c>
      <c r="B15" s="27">
        <f>INDEX($A$67:$A$79,MATCH(LARGE($KA$67:$KA$79,2),$KA$67:$KA$79,0))</f>
        <v/>
      </c>
      <c r="C15" s="28">
        <f>INDEX($JU$67:$JU$79,MATCH(LARGE($KA$67:$KA$79,2),$KA$67:$KA$79,0))</f>
        <v/>
      </c>
      <c r="D15" s="29">
        <f>INDEX($JV$67:$JV$79,MATCH(LARGE($KA$67:$KA$79,2),$KA$67:$KA$79,0))</f>
        <v/>
      </c>
      <c r="E15" s="28">
        <f>INDEX($JW$67:$JW$79,MATCH(LARGE($KA$67:$KA$79,2),$KA$67:$KA$79,0))</f>
        <v/>
      </c>
      <c r="F15" s="28">
        <f>INDEX($JX$67:$JX$79,MATCH(LARGE($KA$67:$KA$79,2),$KA$67:$KA$79,0))</f>
        <v/>
      </c>
      <c r="G15" s="28">
        <f>INDEX($JY$67:$JY$79,MATCH(LARGE($KA$67:$KA$79,2),$KA$67:$KA$79,0))</f>
        <v/>
      </c>
      <c r="H15" s="30">
        <f>IF(G15=0,"— Sem meta",IF(C15&gt;=G15,"✓ Meta atingida","Em andamento"))</f>
        <v/>
      </c>
      <c r="KC15" s="13" t="n">
        <v>14</v>
      </c>
      <c r="KD15" s="14">
        <f>IF(14&lt;=$Z$3,DATE(Configurações!$B$3,11,14),"")</f>
        <v/>
      </c>
      <c r="KE15" s="13">
        <f>SUM($DV$67:$DV$79)</f>
        <v/>
      </c>
      <c r="KF15" s="13">
        <f>SUM($DQ$67:$DQ$79)</f>
        <v/>
      </c>
    </row>
    <row r="16" ht="18" customHeight="1">
      <c r="A16" s="31" t="n">
        <v>3</v>
      </c>
      <c r="B16" s="32">
        <f>INDEX($A$67:$A$79,MATCH(LARGE($KA$67:$KA$79,3),$KA$67:$KA$79,0))</f>
        <v/>
      </c>
      <c r="C16" s="33">
        <f>INDEX($JU$67:$JU$79,MATCH(LARGE($KA$67:$KA$79,3),$KA$67:$KA$79,0))</f>
        <v/>
      </c>
      <c r="D16" s="34">
        <f>INDEX($JV$67:$JV$79,MATCH(LARGE($KA$67:$KA$79,3),$KA$67:$KA$79,0))</f>
        <v/>
      </c>
      <c r="E16" s="33">
        <f>INDEX($JW$67:$JW$79,MATCH(LARGE($KA$67:$KA$79,3),$KA$67:$KA$79,0))</f>
        <v/>
      </c>
      <c r="F16" s="33">
        <f>INDEX($JX$67:$JX$79,MATCH(LARGE($KA$67:$KA$79,3),$KA$67:$KA$79,0))</f>
        <v/>
      </c>
      <c r="G16" s="33">
        <f>INDEX($JY$67:$JY$79,MATCH(LARGE($KA$67:$KA$79,3),$KA$67:$KA$79,0))</f>
        <v/>
      </c>
      <c r="H16" s="35">
        <f>IF(G16=0,"— Sem meta",IF(C16&gt;=G16,"✓ Meta atingida","Em andamento"))</f>
        <v/>
      </c>
      <c r="KC16" s="13" t="n">
        <v>15</v>
      </c>
      <c r="KD16" s="14">
        <f>IF(15&lt;=$Z$3,DATE(Configurações!$B$3,11,15),"")</f>
        <v/>
      </c>
      <c r="KE16" s="13">
        <f>SUM($EE$67:$EE$79)</f>
        <v/>
      </c>
      <c r="KF16" s="13">
        <f>SUM($DZ$67:$DZ$79)</f>
        <v/>
      </c>
    </row>
    <row r="17" ht="18" customHeight="1">
      <c r="A17" s="36" t="n">
        <v>4</v>
      </c>
      <c r="B17" s="37">
        <f>INDEX($A$67:$A$79,MATCH(LARGE($KA$67:$KA$79,4),$KA$67:$KA$79,0))</f>
        <v/>
      </c>
      <c r="C17" s="38">
        <f>INDEX($JU$67:$JU$79,MATCH(LARGE($KA$67:$KA$79,4),$KA$67:$KA$79,0))</f>
        <v/>
      </c>
      <c r="D17" s="39">
        <f>INDEX($JV$67:$JV$79,MATCH(LARGE($KA$67:$KA$79,4),$KA$67:$KA$79,0))</f>
        <v/>
      </c>
      <c r="E17" s="38">
        <f>INDEX($JW$67:$JW$79,MATCH(LARGE($KA$67:$KA$79,4),$KA$67:$KA$79,0))</f>
        <v/>
      </c>
      <c r="F17" s="38">
        <f>INDEX($JX$67:$JX$79,MATCH(LARGE($KA$67:$KA$79,4),$KA$67:$KA$79,0))</f>
        <v/>
      </c>
      <c r="G17" s="38">
        <f>INDEX($JY$67:$JY$79,MATCH(LARGE($KA$67:$KA$79,4),$KA$67:$KA$79,0))</f>
        <v/>
      </c>
      <c r="H17" s="40">
        <f>IF(G17=0,"— Sem meta",IF(C17&gt;=G17,"✓ Meta atingida","Em andamento"))</f>
        <v/>
      </c>
      <c r="KC17" s="13" t="n">
        <v>16</v>
      </c>
      <c r="KD17" s="14">
        <f>IF(16&lt;=$Z$3,DATE(Configurações!$B$3,11,16),"")</f>
        <v/>
      </c>
      <c r="KE17" s="13">
        <f>SUM($EN$67:$EN$79)</f>
        <v/>
      </c>
      <c r="KF17" s="13">
        <f>SUM($EI$67:$EI$79)</f>
        <v/>
      </c>
    </row>
    <row r="18" ht="18" customHeight="1">
      <c r="A18" s="36" t="n">
        <v>5</v>
      </c>
      <c r="B18" s="37">
        <f>INDEX($A$67:$A$79,MATCH(LARGE($KA$67:$KA$79,5),$KA$67:$KA$79,0))</f>
        <v/>
      </c>
      <c r="C18" s="38">
        <f>INDEX($JU$67:$JU$79,MATCH(LARGE($KA$67:$KA$79,5),$KA$67:$KA$79,0))</f>
        <v/>
      </c>
      <c r="D18" s="39">
        <f>INDEX($JV$67:$JV$79,MATCH(LARGE($KA$67:$KA$79,5),$KA$67:$KA$79,0))</f>
        <v/>
      </c>
      <c r="E18" s="38">
        <f>INDEX($JW$67:$JW$79,MATCH(LARGE($KA$67:$KA$79,5),$KA$67:$KA$79,0))</f>
        <v/>
      </c>
      <c r="F18" s="38">
        <f>INDEX($JX$67:$JX$79,MATCH(LARGE($KA$67:$KA$79,5),$KA$67:$KA$79,0))</f>
        <v/>
      </c>
      <c r="G18" s="38">
        <f>INDEX($JY$67:$JY$79,MATCH(LARGE($KA$67:$KA$79,5),$KA$67:$KA$79,0))</f>
        <v/>
      </c>
      <c r="H18" s="40">
        <f>IF(G18=0,"— Sem meta",IF(C18&gt;=G18,"✓ Meta atingida","Em andamento"))</f>
        <v/>
      </c>
      <c r="KC18" s="13" t="n">
        <v>17</v>
      </c>
      <c r="KD18" s="14">
        <f>IF(17&lt;=$Z$3,DATE(Configurações!$B$3,11,17),"")</f>
        <v/>
      </c>
      <c r="KE18" s="13">
        <f>SUM($EW$67:$EW$79)</f>
        <v/>
      </c>
      <c r="KF18" s="13">
        <f>SUM($ER$67:$ER$79)</f>
        <v/>
      </c>
    </row>
    <row r="19" ht="18" customHeight="1">
      <c r="A19" s="41" t="n">
        <v>6</v>
      </c>
      <c r="B19" s="42">
        <f>INDEX($A$67:$A$79,MATCH(LARGE($KA$67:$KA$79,6),$KA$67:$KA$79,0))</f>
        <v/>
      </c>
      <c r="C19" s="43">
        <f>INDEX($JU$67:$JU$79,MATCH(LARGE($KA$67:$KA$79,6),$KA$67:$KA$79,0))</f>
        <v/>
      </c>
      <c r="D19" s="44">
        <f>INDEX($JV$67:$JV$79,MATCH(LARGE($KA$67:$KA$79,6),$KA$67:$KA$79,0))</f>
        <v/>
      </c>
      <c r="E19" s="43">
        <f>INDEX($JW$67:$JW$79,MATCH(LARGE($KA$67:$KA$79,6),$KA$67:$KA$79,0))</f>
        <v/>
      </c>
      <c r="F19" s="43">
        <f>INDEX($JX$67:$JX$79,MATCH(LARGE($KA$67:$KA$79,6),$KA$67:$KA$79,0))</f>
        <v/>
      </c>
      <c r="G19" s="43">
        <f>INDEX($JY$67:$JY$79,MATCH(LARGE($KA$67:$KA$79,6),$KA$67:$KA$79,0))</f>
        <v/>
      </c>
      <c r="H19" s="45">
        <f>IF(G19=0,"— Sem meta",IF(C19&gt;=G19,"✓ Meta atingida","Em andamento"))</f>
        <v/>
      </c>
      <c r="KC19" s="13" t="n">
        <v>18</v>
      </c>
      <c r="KD19" s="14">
        <f>IF(18&lt;=$Z$3,DATE(Configurações!$B$3,11,18),"")</f>
        <v/>
      </c>
      <c r="KE19" s="13">
        <f>SUM($FF$67:$FF$79)</f>
        <v/>
      </c>
      <c r="KF19" s="13">
        <f>SUM($FA$67:$FA$79)</f>
        <v/>
      </c>
    </row>
    <row r="20" ht="18" customHeight="1">
      <c r="A20" s="46" t="n">
        <v>7</v>
      </c>
      <c r="B20" s="47">
        <f>INDEX($A$67:$A$79,MATCH(LARGE($KA$67:$KA$79,7),$KA$67:$KA$79,0))</f>
        <v/>
      </c>
      <c r="C20" s="48">
        <f>INDEX($JU$67:$JU$79,MATCH(LARGE($KA$67:$KA$79,7),$KA$67:$KA$79,0))</f>
        <v/>
      </c>
      <c r="D20" s="49">
        <f>INDEX($JV$67:$JV$79,MATCH(LARGE($KA$67:$KA$79,7),$KA$67:$KA$79,0))</f>
        <v/>
      </c>
      <c r="E20" s="48">
        <f>INDEX($JW$67:$JW$79,MATCH(LARGE($KA$67:$KA$79,7),$KA$67:$KA$79,0))</f>
        <v/>
      </c>
      <c r="F20" s="48">
        <f>INDEX($JX$67:$JX$79,MATCH(LARGE($KA$67:$KA$79,7),$KA$67:$KA$79,0))</f>
        <v/>
      </c>
      <c r="G20" s="48">
        <f>INDEX($JY$67:$JY$79,MATCH(LARGE($KA$67:$KA$79,7),$KA$67:$KA$79,0))</f>
        <v/>
      </c>
      <c r="H20" s="50">
        <f>IF(G20=0,"— Sem meta",IF(C20&gt;=G20,"✓ Meta atingida","Em andamento"))</f>
        <v/>
      </c>
      <c r="KC20" s="13" t="n">
        <v>19</v>
      </c>
      <c r="KD20" s="14">
        <f>IF(19&lt;=$Z$3,DATE(Configurações!$B$3,11,19),"")</f>
        <v/>
      </c>
      <c r="KE20" s="13">
        <f>SUM($FO$67:$FO$79)</f>
        <v/>
      </c>
      <c r="KF20" s="13">
        <f>SUM($FJ$67:$FJ$79)</f>
        <v/>
      </c>
    </row>
    <row r="21" ht="18" customHeight="1">
      <c r="A21" s="41" t="n">
        <v>8</v>
      </c>
      <c r="B21" s="42">
        <f>INDEX($A$67:$A$79,MATCH(LARGE($KA$67:$KA$79,8),$KA$67:$KA$79,0))</f>
        <v/>
      </c>
      <c r="C21" s="43">
        <f>INDEX($JU$67:$JU$79,MATCH(LARGE($KA$67:$KA$79,8),$KA$67:$KA$79,0))</f>
        <v/>
      </c>
      <c r="D21" s="44">
        <f>INDEX($JV$67:$JV$79,MATCH(LARGE($KA$67:$KA$79,8),$KA$67:$KA$79,0))</f>
        <v/>
      </c>
      <c r="E21" s="43">
        <f>INDEX($JW$67:$JW$79,MATCH(LARGE($KA$67:$KA$79,8),$KA$67:$KA$79,0))</f>
        <v/>
      </c>
      <c r="F21" s="43">
        <f>INDEX($JX$67:$JX$79,MATCH(LARGE($KA$67:$KA$79,8),$KA$67:$KA$79,0))</f>
        <v/>
      </c>
      <c r="G21" s="43">
        <f>INDEX($JY$67:$JY$79,MATCH(LARGE($KA$67:$KA$79,8),$KA$67:$KA$79,0))</f>
        <v/>
      </c>
      <c r="H21" s="45">
        <f>IF(G21=0,"— Sem meta",IF(C21&gt;=G21,"✓ Meta atingida","Em andamento"))</f>
        <v/>
      </c>
      <c r="KC21" s="13" t="n">
        <v>20</v>
      </c>
      <c r="KD21" s="14">
        <f>IF(20&lt;=$Z$3,DATE(Configurações!$B$3,11,20),"")</f>
        <v/>
      </c>
      <c r="KE21" s="13">
        <f>SUM($FX$67:$FX$79)</f>
        <v/>
      </c>
      <c r="KF21" s="13">
        <f>SUM($FS$67:$FS$79)</f>
        <v/>
      </c>
    </row>
    <row r="22" ht="18" customHeight="1">
      <c r="A22" s="46" t="n">
        <v>9</v>
      </c>
      <c r="B22" s="47">
        <f>INDEX($A$67:$A$79,MATCH(LARGE($KA$67:$KA$79,9),$KA$67:$KA$79,0))</f>
        <v/>
      </c>
      <c r="C22" s="48">
        <f>INDEX($JU$67:$JU$79,MATCH(LARGE($KA$67:$KA$79,9),$KA$67:$KA$79,0))</f>
        <v/>
      </c>
      <c r="D22" s="49">
        <f>INDEX($JV$67:$JV$79,MATCH(LARGE($KA$67:$KA$79,9),$KA$67:$KA$79,0))</f>
        <v/>
      </c>
      <c r="E22" s="48">
        <f>INDEX($JW$67:$JW$79,MATCH(LARGE($KA$67:$KA$79,9),$KA$67:$KA$79,0))</f>
        <v/>
      </c>
      <c r="F22" s="48">
        <f>INDEX($JX$67:$JX$79,MATCH(LARGE($KA$67:$KA$79,9),$KA$67:$KA$79,0))</f>
        <v/>
      </c>
      <c r="G22" s="48">
        <f>INDEX($JY$67:$JY$79,MATCH(LARGE($KA$67:$KA$79,9),$KA$67:$KA$79,0))</f>
        <v/>
      </c>
      <c r="H22" s="50">
        <f>IF(G22=0,"— Sem meta",IF(C22&gt;=G22,"✓ Meta atingida","Em andamento"))</f>
        <v/>
      </c>
      <c r="KC22" s="13" t="n">
        <v>21</v>
      </c>
      <c r="KD22" s="14">
        <f>IF(21&lt;=$Z$3,DATE(Configurações!$B$3,11,21),"")</f>
        <v/>
      </c>
      <c r="KE22" s="13">
        <f>SUM($GG$67:$GG$79)</f>
        <v/>
      </c>
      <c r="KF22" s="13">
        <f>SUM($GB$67:$GB$79)</f>
        <v/>
      </c>
    </row>
    <row r="23" ht="18" customHeight="1">
      <c r="A23" s="41" t="n">
        <v>10</v>
      </c>
      <c r="B23" s="42">
        <f>INDEX($A$67:$A$79,MATCH(LARGE($KA$67:$KA$79,10),$KA$67:$KA$79,0))</f>
        <v/>
      </c>
      <c r="C23" s="43">
        <f>INDEX($JU$67:$JU$79,MATCH(LARGE($KA$67:$KA$79,10),$KA$67:$KA$79,0))</f>
        <v/>
      </c>
      <c r="D23" s="44">
        <f>INDEX($JV$67:$JV$79,MATCH(LARGE($KA$67:$KA$79,10),$KA$67:$KA$79,0))</f>
        <v/>
      </c>
      <c r="E23" s="43">
        <f>INDEX($JW$67:$JW$79,MATCH(LARGE($KA$67:$KA$79,10),$KA$67:$KA$79,0))</f>
        <v/>
      </c>
      <c r="F23" s="43">
        <f>INDEX($JX$67:$JX$79,MATCH(LARGE($KA$67:$KA$79,10),$KA$67:$KA$79,0))</f>
        <v/>
      </c>
      <c r="G23" s="43">
        <f>INDEX($JY$67:$JY$79,MATCH(LARGE($KA$67:$KA$79,10),$KA$67:$KA$79,0))</f>
        <v/>
      </c>
      <c r="H23" s="45">
        <f>IF(G23=0,"— Sem meta",IF(C23&gt;=G23,"✓ Meta atingida","Em andamento"))</f>
        <v/>
      </c>
      <c r="KC23" s="13" t="n">
        <v>22</v>
      </c>
      <c r="KD23" s="14">
        <f>IF(22&lt;=$Z$3,DATE(Configurações!$B$3,11,22),"")</f>
        <v/>
      </c>
      <c r="KE23" s="13">
        <f>SUM($GP$67:$GP$79)</f>
        <v/>
      </c>
      <c r="KF23" s="13">
        <f>SUM($GK$67:$GK$79)</f>
        <v/>
      </c>
    </row>
    <row r="24" ht="18" customHeight="1">
      <c r="A24" s="46" t="n">
        <v>11</v>
      </c>
      <c r="B24" s="47">
        <f>INDEX($A$67:$A$79,MATCH(LARGE($KA$67:$KA$79,11),$KA$67:$KA$79,0))</f>
        <v/>
      </c>
      <c r="C24" s="48">
        <f>INDEX($JU$67:$JU$79,MATCH(LARGE($KA$67:$KA$79,11),$KA$67:$KA$79,0))</f>
        <v/>
      </c>
      <c r="D24" s="49">
        <f>INDEX($JV$67:$JV$79,MATCH(LARGE($KA$67:$KA$79,11),$KA$67:$KA$79,0))</f>
        <v/>
      </c>
      <c r="E24" s="48">
        <f>INDEX($JW$67:$JW$79,MATCH(LARGE($KA$67:$KA$79,11),$KA$67:$KA$79,0))</f>
        <v/>
      </c>
      <c r="F24" s="48">
        <f>INDEX($JX$67:$JX$79,MATCH(LARGE($KA$67:$KA$79,11),$KA$67:$KA$79,0))</f>
        <v/>
      </c>
      <c r="G24" s="48">
        <f>INDEX($JY$67:$JY$79,MATCH(LARGE($KA$67:$KA$79,11),$KA$67:$KA$79,0))</f>
        <v/>
      </c>
      <c r="H24" s="50">
        <f>IF(G24=0,"— Sem meta",IF(C24&gt;=G24,"✓ Meta atingida","Em andamento"))</f>
        <v/>
      </c>
      <c r="KC24" s="13" t="n">
        <v>23</v>
      </c>
      <c r="KD24" s="14">
        <f>IF(23&lt;=$Z$3,DATE(Configurações!$B$3,11,23),"")</f>
        <v/>
      </c>
      <c r="KE24" s="13">
        <f>SUM($GY$67:$GY$79)</f>
        <v/>
      </c>
      <c r="KF24" s="13">
        <f>SUM($GT$67:$GT$79)</f>
        <v/>
      </c>
    </row>
    <row r="25" ht="18" customHeight="1">
      <c r="A25" s="41" t="n">
        <v>12</v>
      </c>
      <c r="B25" s="42">
        <f>INDEX($A$67:$A$79,MATCH(LARGE($KA$67:$KA$79,12),$KA$67:$KA$79,0))</f>
        <v/>
      </c>
      <c r="C25" s="43">
        <f>INDEX($JU$67:$JU$79,MATCH(LARGE($KA$67:$KA$79,12),$KA$67:$KA$79,0))</f>
        <v/>
      </c>
      <c r="D25" s="44">
        <f>INDEX($JV$67:$JV$79,MATCH(LARGE($KA$67:$KA$79,12),$KA$67:$KA$79,0))</f>
        <v/>
      </c>
      <c r="E25" s="43">
        <f>INDEX($JW$67:$JW$79,MATCH(LARGE($KA$67:$KA$79,12),$KA$67:$KA$79,0))</f>
        <v/>
      </c>
      <c r="F25" s="43">
        <f>INDEX($JX$67:$JX$79,MATCH(LARGE($KA$67:$KA$79,12),$KA$67:$KA$79,0))</f>
        <v/>
      </c>
      <c r="G25" s="43">
        <f>INDEX($JY$67:$JY$79,MATCH(LARGE($KA$67:$KA$79,12),$KA$67:$KA$79,0))</f>
        <v/>
      </c>
      <c r="H25" s="45">
        <f>IF(G25=0,"— Sem meta",IF(C25&gt;=G25,"✓ Meta atingida","Em andamento"))</f>
        <v/>
      </c>
      <c r="KC25" s="13" t="n">
        <v>24</v>
      </c>
      <c r="KD25" s="14">
        <f>IF(24&lt;=$Z$3,DATE(Configurações!$B$3,11,24),"")</f>
        <v/>
      </c>
      <c r="KE25" s="13">
        <f>SUM($HH$67:$HH$79)</f>
        <v/>
      </c>
      <c r="KF25" s="13">
        <f>SUM($HC$67:$HC$79)</f>
        <v/>
      </c>
    </row>
    <row r="26" ht="18" customHeight="1">
      <c r="A26" s="46" t="n">
        <v>13</v>
      </c>
      <c r="B26" s="47">
        <f>INDEX($A$67:$A$79,MATCH(LARGE($KA$67:$KA$79,13),$KA$67:$KA$79,0))</f>
        <v/>
      </c>
      <c r="C26" s="48">
        <f>INDEX($JU$67:$JU$79,MATCH(LARGE($KA$67:$KA$79,13),$KA$67:$KA$79,0))</f>
        <v/>
      </c>
      <c r="D26" s="49">
        <f>INDEX($JV$67:$JV$79,MATCH(LARGE($KA$67:$KA$79,13),$KA$67:$KA$79,0))</f>
        <v/>
      </c>
      <c r="E26" s="48">
        <f>INDEX($JW$67:$JW$79,MATCH(LARGE($KA$67:$KA$79,13),$KA$67:$KA$79,0))</f>
        <v/>
      </c>
      <c r="F26" s="48">
        <f>INDEX($JX$67:$JX$79,MATCH(LARGE($KA$67:$KA$79,13),$KA$67:$KA$79,0))</f>
        <v/>
      </c>
      <c r="G26" s="48">
        <f>INDEX($JY$67:$JY$79,MATCH(LARGE($KA$67:$KA$79,13),$KA$67:$KA$79,0))</f>
        <v/>
      </c>
      <c r="H26" s="50">
        <f>IF(G26=0,"— Sem meta",IF(C26&gt;=G26,"✓ Meta atingida","Em andamento"))</f>
        <v/>
      </c>
      <c r="KC26" s="13" t="n">
        <v>25</v>
      </c>
      <c r="KD26" s="14">
        <f>IF(25&lt;=$Z$3,DATE(Configurações!$B$3,11,25),"")</f>
        <v/>
      </c>
      <c r="KE26" s="13">
        <f>SUM($HQ$67:$HQ$79)</f>
        <v/>
      </c>
      <c r="KF26" s="13">
        <f>SUM($HL$67:$HL$79)</f>
        <v/>
      </c>
    </row>
    <row r="27">
      <c r="KC27" s="13" t="n">
        <v>26</v>
      </c>
      <c r="KD27" s="14">
        <f>IF(26&lt;=$Z$3,DATE(Configurações!$B$3,11,26),"")</f>
        <v/>
      </c>
      <c r="KE27" s="13">
        <f>SUM($HZ$67:$HZ$79)</f>
        <v/>
      </c>
      <c r="KF27" s="13">
        <f>SUM($HU$67:$HU$79)</f>
        <v/>
      </c>
    </row>
    <row r="28">
      <c r="KC28" s="13" t="n">
        <v>27</v>
      </c>
      <c r="KD28" s="14">
        <f>IF(27&lt;=$Z$3,DATE(Configurações!$B$3,11,27),"")</f>
        <v/>
      </c>
      <c r="KE28" s="13">
        <f>SUM($II$67:$II$79)</f>
        <v/>
      </c>
      <c r="KF28" s="13">
        <f>SUM($ID$67:$ID$79)</f>
        <v/>
      </c>
    </row>
    <row r="29">
      <c r="KC29" s="13" t="n">
        <v>28</v>
      </c>
      <c r="KD29" s="14">
        <f>IF(28&lt;=$Z$3,DATE(Configurações!$B$3,11,28),"")</f>
        <v/>
      </c>
      <c r="KE29" s="13">
        <f>SUM($IR$67:$IR$79)</f>
        <v/>
      </c>
      <c r="KF29" s="13">
        <f>SUM($IM$67:$IM$79)</f>
        <v/>
      </c>
    </row>
    <row r="30">
      <c r="KC30" s="13" t="n">
        <v>29</v>
      </c>
      <c r="KD30" s="14">
        <f>IF(29&lt;=$Z$3,DATE(Configurações!$B$3,11,29),"")</f>
        <v/>
      </c>
      <c r="KE30" s="13">
        <f>SUM($JA$67:$JA$79)</f>
        <v/>
      </c>
      <c r="KF30" s="13">
        <f>SUM($IV$67:$IV$79)</f>
        <v/>
      </c>
    </row>
    <row r="31">
      <c r="KC31" s="13" t="n">
        <v>30</v>
      </c>
      <c r="KD31" s="14">
        <f>IF(30&lt;=$Z$3,DATE(Configurações!$B$3,11,30),"")</f>
        <v/>
      </c>
      <c r="KE31" s="13">
        <f>SUM($JJ$67:$JJ$79)</f>
        <v/>
      </c>
      <c r="KF31" s="13">
        <f>SUM($JE$67:$JE$79)</f>
        <v/>
      </c>
    </row>
    <row r="32">
      <c r="KC32" s="13" t="n">
        <v>31</v>
      </c>
      <c r="KD32" s="14">
        <f>IF(31&lt;=$Z$3,DATE(Configurações!$B$3,11,31),"")</f>
        <v/>
      </c>
      <c r="KE32" s="13">
        <f>SUM($JS$67:$JS$79)</f>
        <v/>
      </c>
      <c r="KF32" s="13">
        <f>SUM($JN$67:$JN$79)</f>
        <v/>
      </c>
    </row>
    <row r="64" ht="22" customHeight="1">
      <c r="A64" s="51" t="inlineStr">
        <is>
          <t>📋  LANÇAMENTOS DIÁRIOS POR ASSESSOR (role para a direita)</t>
        </is>
      </c>
    </row>
    <row r="65" ht="20" customHeight="1">
      <c r="A65" s="52" t="inlineStr">
        <is>
          <t>Assessor</t>
        </is>
      </c>
      <c r="B65" s="18">
        <f>"Dia 1 — "&amp;IF(1&lt;=$Z$3,TEXT(DATE(Configurações!$B$3,11,1),"dd/mm")&amp;" ("&amp;CHOOSE(WEEKDAY(DATE(Configurações!$B$3,11,1)),"Dom","Seg","Ter","Qua","Qui","Sex","Sáb")&amp;")","—")</f>
        <v/>
      </c>
      <c r="K65" s="18">
        <f>"Dia 2 — "&amp;IF(2&lt;=$Z$3,TEXT(DATE(Configurações!$B$3,11,2),"dd/mm")&amp;" ("&amp;CHOOSE(WEEKDAY(DATE(Configurações!$B$3,11,2)),"Dom","Seg","Ter","Qua","Qui","Sex","Sáb")&amp;")","—")</f>
        <v/>
      </c>
      <c r="T65" s="18">
        <f>"Dia 3 — "&amp;IF(3&lt;=$Z$3,TEXT(DATE(Configurações!$B$3,11,3),"dd/mm")&amp;" ("&amp;CHOOSE(WEEKDAY(DATE(Configurações!$B$3,11,3)),"Dom","Seg","Ter","Qua","Qui","Sex","Sáb")&amp;")","—")</f>
        <v/>
      </c>
      <c r="AC65" s="18">
        <f>"Dia 4 — "&amp;IF(4&lt;=$Z$3,TEXT(DATE(Configurações!$B$3,11,4),"dd/mm")&amp;" ("&amp;CHOOSE(WEEKDAY(DATE(Configurações!$B$3,11,4)),"Dom","Seg","Ter","Qua","Qui","Sex","Sáb")&amp;")","—")</f>
        <v/>
      </c>
      <c r="AL65" s="18">
        <f>"Dia 5 — "&amp;IF(5&lt;=$Z$3,TEXT(DATE(Configurações!$B$3,11,5),"dd/mm")&amp;" ("&amp;CHOOSE(WEEKDAY(DATE(Configurações!$B$3,11,5)),"Dom","Seg","Ter","Qua","Qui","Sex","Sáb")&amp;")","—")</f>
        <v/>
      </c>
      <c r="AU65" s="18">
        <f>"Dia 6 — "&amp;IF(6&lt;=$Z$3,TEXT(DATE(Configurações!$B$3,11,6),"dd/mm")&amp;" ("&amp;CHOOSE(WEEKDAY(DATE(Configurações!$B$3,11,6)),"Dom","Seg","Ter","Qua","Qui","Sex","Sáb")&amp;")","—")</f>
        <v/>
      </c>
      <c r="BD65" s="18">
        <f>"Dia 7 — "&amp;IF(7&lt;=$Z$3,TEXT(DATE(Configurações!$B$3,11,7),"dd/mm")&amp;" ("&amp;CHOOSE(WEEKDAY(DATE(Configurações!$B$3,11,7)),"Dom","Seg","Ter","Qua","Qui","Sex","Sáb")&amp;")","—")</f>
        <v/>
      </c>
      <c r="BM65" s="18">
        <f>"Dia 8 — "&amp;IF(8&lt;=$Z$3,TEXT(DATE(Configurações!$B$3,11,8),"dd/mm")&amp;" ("&amp;CHOOSE(WEEKDAY(DATE(Configurações!$B$3,11,8)),"Dom","Seg","Ter","Qua","Qui","Sex","Sáb")&amp;")","—")</f>
        <v/>
      </c>
      <c r="BV65" s="18">
        <f>"Dia 9 — "&amp;IF(9&lt;=$Z$3,TEXT(DATE(Configurações!$B$3,11,9),"dd/mm")&amp;" ("&amp;CHOOSE(WEEKDAY(DATE(Configurações!$B$3,11,9)),"Dom","Seg","Ter","Qua","Qui","Sex","Sáb")&amp;")","—")</f>
        <v/>
      </c>
      <c r="CE65" s="18">
        <f>"Dia 10 — "&amp;IF(10&lt;=$Z$3,TEXT(DATE(Configurações!$B$3,11,10),"dd/mm")&amp;" ("&amp;CHOOSE(WEEKDAY(DATE(Configurações!$B$3,11,10)),"Dom","Seg","Ter","Qua","Qui","Sex","Sáb")&amp;")","—")</f>
        <v/>
      </c>
      <c r="CN65" s="18">
        <f>"Dia 11 — "&amp;IF(11&lt;=$Z$3,TEXT(DATE(Configurações!$B$3,11,11),"dd/mm")&amp;" ("&amp;CHOOSE(WEEKDAY(DATE(Configurações!$B$3,11,11)),"Dom","Seg","Ter","Qua","Qui","Sex","Sáb")&amp;")","—")</f>
        <v/>
      </c>
      <c r="CW65" s="18">
        <f>"Dia 12 — "&amp;IF(12&lt;=$Z$3,TEXT(DATE(Configurações!$B$3,11,12),"dd/mm")&amp;" ("&amp;CHOOSE(WEEKDAY(DATE(Configurações!$B$3,11,12)),"Dom","Seg","Ter","Qua","Qui","Sex","Sáb")&amp;")","—")</f>
        <v/>
      </c>
      <c r="DF65" s="18">
        <f>"Dia 13 — "&amp;IF(13&lt;=$Z$3,TEXT(DATE(Configurações!$B$3,11,13),"dd/mm")&amp;" ("&amp;CHOOSE(WEEKDAY(DATE(Configurações!$B$3,11,13)),"Dom","Seg","Ter","Qua","Qui","Sex","Sáb")&amp;")","—")</f>
        <v/>
      </c>
      <c r="DO65" s="18">
        <f>"Dia 14 — "&amp;IF(14&lt;=$Z$3,TEXT(DATE(Configurações!$B$3,11,14),"dd/mm")&amp;" ("&amp;CHOOSE(WEEKDAY(DATE(Configurações!$B$3,11,14)),"Dom","Seg","Ter","Qua","Qui","Sex","Sáb")&amp;")","—")</f>
        <v/>
      </c>
      <c r="DX65" s="18">
        <f>"Dia 15 — "&amp;IF(15&lt;=$Z$3,TEXT(DATE(Configurações!$B$3,11,15),"dd/mm")&amp;" ("&amp;CHOOSE(WEEKDAY(DATE(Configurações!$B$3,11,15)),"Dom","Seg","Ter","Qua","Qui","Sex","Sáb")&amp;")","—")</f>
        <v/>
      </c>
      <c r="EG65" s="18">
        <f>"Dia 16 — "&amp;IF(16&lt;=$Z$3,TEXT(DATE(Configurações!$B$3,11,16),"dd/mm")&amp;" ("&amp;CHOOSE(WEEKDAY(DATE(Configurações!$B$3,11,16)),"Dom","Seg","Ter","Qua","Qui","Sex","Sáb")&amp;")","—")</f>
        <v/>
      </c>
      <c r="EP65" s="18">
        <f>"Dia 17 — "&amp;IF(17&lt;=$Z$3,TEXT(DATE(Configurações!$B$3,11,17),"dd/mm")&amp;" ("&amp;CHOOSE(WEEKDAY(DATE(Configurações!$B$3,11,17)),"Dom","Seg","Ter","Qua","Qui","Sex","Sáb")&amp;")","—")</f>
        <v/>
      </c>
      <c r="EY65" s="18">
        <f>"Dia 18 — "&amp;IF(18&lt;=$Z$3,TEXT(DATE(Configurações!$B$3,11,18),"dd/mm")&amp;" ("&amp;CHOOSE(WEEKDAY(DATE(Configurações!$B$3,11,18)),"Dom","Seg","Ter","Qua","Qui","Sex","Sáb")&amp;")","—")</f>
        <v/>
      </c>
      <c r="FH65" s="18">
        <f>"Dia 19 — "&amp;IF(19&lt;=$Z$3,TEXT(DATE(Configurações!$B$3,11,19),"dd/mm")&amp;" ("&amp;CHOOSE(WEEKDAY(DATE(Configurações!$B$3,11,19)),"Dom","Seg","Ter","Qua","Qui","Sex","Sáb")&amp;")","—")</f>
        <v/>
      </c>
      <c r="FQ65" s="18">
        <f>"Dia 20 — "&amp;IF(20&lt;=$Z$3,TEXT(DATE(Configurações!$B$3,11,20),"dd/mm")&amp;" ("&amp;CHOOSE(WEEKDAY(DATE(Configurações!$B$3,11,20)),"Dom","Seg","Ter","Qua","Qui","Sex","Sáb")&amp;")","—")</f>
        <v/>
      </c>
      <c r="FZ65" s="18">
        <f>"Dia 21 — "&amp;IF(21&lt;=$Z$3,TEXT(DATE(Configurações!$B$3,11,21),"dd/mm")&amp;" ("&amp;CHOOSE(WEEKDAY(DATE(Configurações!$B$3,11,21)),"Dom","Seg","Ter","Qua","Qui","Sex","Sáb")&amp;")","—")</f>
        <v/>
      </c>
      <c r="GI65" s="18">
        <f>"Dia 22 — "&amp;IF(22&lt;=$Z$3,TEXT(DATE(Configurações!$B$3,11,22),"dd/mm")&amp;" ("&amp;CHOOSE(WEEKDAY(DATE(Configurações!$B$3,11,22)),"Dom","Seg","Ter","Qua","Qui","Sex","Sáb")&amp;")","—")</f>
        <v/>
      </c>
      <c r="GR65" s="18">
        <f>"Dia 23 — "&amp;IF(23&lt;=$Z$3,TEXT(DATE(Configurações!$B$3,11,23),"dd/mm")&amp;" ("&amp;CHOOSE(WEEKDAY(DATE(Configurações!$B$3,11,23)),"Dom","Seg","Ter","Qua","Qui","Sex","Sáb")&amp;")","—")</f>
        <v/>
      </c>
      <c r="HA65" s="18">
        <f>"Dia 24 — "&amp;IF(24&lt;=$Z$3,TEXT(DATE(Configurações!$B$3,11,24),"dd/mm")&amp;" ("&amp;CHOOSE(WEEKDAY(DATE(Configurações!$B$3,11,24)),"Dom","Seg","Ter","Qua","Qui","Sex","Sáb")&amp;")","—")</f>
        <v/>
      </c>
      <c r="HJ65" s="18">
        <f>"Dia 25 — "&amp;IF(25&lt;=$Z$3,TEXT(DATE(Configurações!$B$3,11,25),"dd/mm")&amp;" ("&amp;CHOOSE(WEEKDAY(DATE(Configurações!$B$3,11,25)),"Dom","Seg","Ter","Qua","Qui","Sex","Sáb")&amp;")","—")</f>
        <v/>
      </c>
      <c r="HS65" s="18">
        <f>"Dia 26 — "&amp;IF(26&lt;=$Z$3,TEXT(DATE(Configurações!$B$3,11,26),"dd/mm")&amp;" ("&amp;CHOOSE(WEEKDAY(DATE(Configurações!$B$3,11,26)),"Dom","Seg","Ter","Qua","Qui","Sex","Sáb")&amp;")","—")</f>
        <v/>
      </c>
      <c r="IB65" s="18">
        <f>"Dia 27 — "&amp;IF(27&lt;=$Z$3,TEXT(DATE(Configurações!$B$3,11,27),"dd/mm")&amp;" ("&amp;CHOOSE(WEEKDAY(DATE(Configurações!$B$3,11,27)),"Dom","Seg","Ter","Qua","Qui","Sex","Sáb")&amp;")","—")</f>
        <v/>
      </c>
      <c r="IK65" s="18">
        <f>"Dia 28 — "&amp;IF(28&lt;=$Z$3,TEXT(DATE(Configurações!$B$3,11,28),"dd/mm")&amp;" ("&amp;CHOOSE(WEEKDAY(DATE(Configurações!$B$3,11,28)),"Dom","Seg","Ter","Qua","Qui","Sex","Sáb")&amp;")","—")</f>
        <v/>
      </c>
      <c r="IT65" s="18">
        <f>"Dia 29 — "&amp;IF(29&lt;=$Z$3,TEXT(DATE(Configurações!$B$3,11,29),"dd/mm")&amp;" ("&amp;CHOOSE(WEEKDAY(DATE(Configurações!$B$3,11,29)),"Dom","Seg","Ter","Qua","Qui","Sex","Sáb")&amp;")","—")</f>
        <v/>
      </c>
      <c r="JC65" s="18">
        <f>"Dia 30 — "&amp;IF(30&lt;=$Z$3,TEXT(DATE(Configurações!$B$3,11,30),"dd/mm")&amp;" ("&amp;CHOOSE(WEEKDAY(DATE(Configurações!$B$3,11,30)),"Dom","Seg","Ter","Qua","Qui","Sex","Sáb")&amp;")","—")</f>
        <v/>
      </c>
      <c r="JL65" s="18">
        <f>"Dia 31 — "&amp;IF(31&lt;=$Z$3,TEXT(DATE(Configurações!$B$3,11,31),"dd/mm")&amp;" ("&amp;CHOOSE(WEEKDAY(DATE(Configurações!$B$3,11,31)),"Dom","Seg","Ter","Qua","Qui","Sex","Sáb")&amp;")","—")</f>
        <v/>
      </c>
      <c r="JU65" s="53" t="inlineStr">
        <is>
          <t>Produção Total (Mês)</t>
        </is>
      </c>
      <c r="JV65" s="53" t="inlineStr">
        <is>
          <t>Captação Líquida (Mês)</t>
        </is>
      </c>
      <c r="JW65" s="53" t="inlineStr">
        <is>
          <t>Saldo Pulso Atual</t>
        </is>
      </c>
      <c r="JX65" s="53" t="inlineStr">
        <is>
          <t>Média Diária</t>
        </is>
      </c>
      <c r="JY65" s="53" t="inlineStr">
        <is>
          <t>Meta Mensal</t>
        </is>
      </c>
      <c r="JZ65" s="53" t="inlineStr">
        <is>
          <t>Status Meta</t>
        </is>
      </c>
      <c r="KA65" s="53" t="inlineStr"/>
    </row>
    <row r="66" ht="26" customHeight="1">
      <c r="B66" s="54" t="inlineStr">
        <is>
          <t>Saldo Pulso</t>
        </is>
      </c>
      <c r="C66" s="54" t="inlineStr">
        <is>
          <t>Saldo Anterior</t>
        </is>
      </c>
      <c r="D66" s="54" t="inlineStr">
        <is>
          <t>Captação Líq.</t>
        </is>
      </c>
      <c r="E66" s="54" t="inlineStr">
        <is>
          <t>COE</t>
        </is>
      </c>
      <c r="F66" s="54" t="inlineStr">
        <is>
          <t>Previdência</t>
        </is>
      </c>
      <c r="G66" s="54" t="inlineStr">
        <is>
          <t>Créd. Privado</t>
        </is>
      </c>
      <c r="H66" s="54" t="inlineStr">
        <is>
          <t>Tít. Públicos</t>
        </is>
      </c>
      <c r="I66" s="54" t="inlineStr">
        <is>
          <t>Produção Tot.</t>
        </is>
      </c>
      <c r="J66" s="54" t="inlineStr">
        <is>
          <t>Obs.</t>
        </is>
      </c>
      <c r="K66" s="54" t="inlineStr">
        <is>
          <t>Saldo Pulso</t>
        </is>
      </c>
      <c r="L66" s="54" t="inlineStr">
        <is>
          <t>Saldo Anterior</t>
        </is>
      </c>
      <c r="M66" s="54" t="inlineStr">
        <is>
          <t>Captação Líq.</t>
        </is>
      </c>
      <c r="N66" s="54" t="inlineStr">
        <is>
          <t>COE</t>
        </is>
      </c>
      <c r="O66" s="54" t="inlineStr">
        <is>
          <t>Previdência</t>
        </is>
      </c>
      <c r="P66" s="54" t="inlineStr">
        <is>
          <t>Créd. Privado</t>
        </is>
      </c>
      <c r="Q66" s="54" t="inlineStr">
        <is>
          <t>Tít. Públicos</t>
        </is>
      </c>
      <c r="R66" s="54" t="inlineStr">
        <is>
          <t>Produção Tot.</t>
        </is>
      </c>
      <c r="S66" s="54" t="inlineStr">
        <is>
          <t>Obs.</t>
        </is>
      </c>
      <c r="T66" s="54" t="inlineStr">
        <is>
          <t>Saldo Pulso</t>
        </is>
      </c>
      <c r="U66" s="54" t="inlineStr">
        <is>
          <t>Saldo Anterior</t>
        </is>
      </c>
      <c r="V66" s="54" t="inlineStr">
        <is>
          <t>Captação Líq.</t>
        </is>
      </c>
      <c r="W66" s="54" t="inlineStr">
        <is>
          <t>COE</t>
        </is>
      </c>
      <c r="X66" s="54" t="inlineStr">
        <is>
          <t>Previdência</t>
        </is>
      </c>
      <c r="Y66" s="54" t="inlineStr">
        <is>
          <t>Créd. Privado</t>
        </is>
      </c>
      <c r="Z66" s="54" t="inlineStr">
        <is>
          <t>Tít. Públicos</t>
        </is>
      </c>
      <c r="AA66" s="54" t="inlineStr">
        <is>
          <t>Produção Tot.</t>
        </is>
      </c>
      <c r="AB66" s="54" t="inlineStr">
        <is>
          <t>Obs.</t>
        </is>
      </c>
      <c r="AC66" s="54" t="inlineStr">
        <is>
          <t>Saldo Pulso</t>
        </is>
      </c>
      <c r="AD66" s="54" t="inlineStr">
        <is>
          <t>Saldo Anterior</t>
        </is>
      </c>
      <c r="AE66" s="54" t="inlineStr">
        <is>
          <t>Captação Líq.</t>
        </is>
      </c>
      <c r="AF66" s="54" t="inlineStr">
        <is>
          <t>COE</t>
        </is>
      </c>
      <c r="AG66" s="54" t="inlineStr">
        <is>
          <t>Previdência</t>
        </is>
      </c>
      <c r="AH66" s="54" t="inlineStr">
        <is>
          <t>Créd. Privado</t>
        </is>
      </c>
      <c r="AI66" s="54" t="inlineStr">
        <is>
          <t>Tít. Públicos</t>
        </is>
      </c>
      <c r="AJ66" s="54" t="inlineStr">
        <is>
          <t>Produção Tot.</t>
        </is>
      </c>
      <c r="AK66" s="54" t="inlineStr">
        <is>
          <t>Obs.</t>
        </is>
      </c>
      <c r="AL66" s="54" t="inlineStr">
        <is>
          <t>Saldo Pulso</t>
        </is>
      </c>
      <c r="AM66" s="54" t="inlineStr">
        <is>
          <t>Saldo Anterior</t>
        </is>
      </c>
      <c r="AN66" s="54" t="inlineStr">
        <is>
          <t>Captação Líq.</t>
        </is>
      </c>
      <c r="AO66" s="54" t="inlineStr">
        <is>
          <t>COE</t>
        </is>
      </c>
      <c r="AP66" s="54" t="inlineStr">
        <is>
          <t>Previdência</t>
        </is>
      </c>
      <c r="AQ66" s="54" t="inlineStr">
        <is>
          <t>Créd. Privado</t>
        </is>
      </c>
      <c r="AR66" s="54" t="inlineStr">
        <is>
          <t>Tít. Públicos</t>
        </is>
      </c>
      <c r="AS66" s="54" t="inlineStr">
        <is>
          <t>Produção Tot.</t>
        </is>
      </c>
      <c r="AT66" s="54" t="inlineStr">
        <is>
          <t>Obs.</t>
        </is>
      </c>
      <c r="AU66" s="54" t="inlineStr">
        <is>
          <t>Saldo Pulso</t>
        </is>
      </c>
      <c r="AV66" s="54" t="inlineStr">
        <is>
          <t>Saldo Anterior</t>
        </is>
      </c>
      <c r="AW66" s="54" t="inlineStr">
        <is>
          <t>Captação Líq.</t>
        </is>
      </c>
      <c r="AX66" s="54" t="inlineStr">
        <is>
          <t>COE</t>
        </is>
      </c>
      <c r="AY66" s="54" t="inlineStr">
        <is>
          <t>Previdência</t>
        </is>
      </c>
      <c r="AZ66" s="54" t="inlineStr">
        <is>
          <t>Créd. Privado</t>
        </is>
      </c>
      <c r="BA66" s="54" t="inlineStr">
        <is>
          <t>Tít. Públicos</t>
        </is>
      </c>
      <c r="BB66" s="54" t="inlineStr">
        <is>
          <t>Produção Tot.</t>
        </is>
      </c>
      <c r="BC66" s="54" t="inlineStr">
        <is>
          <t>Obs.</t>
        </is>
      </c>
      <c r="BD66" s="54" t="inlineStr">
        <is>
          <t>Saldo Pulso</t>
        </is>
      </c>
      <c r="BE66" s="54" t="inlineStr">
        <is>
          <t>Saldo Anterior</t>
        </is>
      </c>
      <c r="BF66" s="54" t="inlineStr">
        <is>
          <t>Captação Líq.</t>
        </is>
      </c>
      <c r="BG66" s="54" t="inlineStr">
        <is>
          <t>COE</t>
        </is>
      </c>
      <c r="BH66" s="54" t="inlineStr">
        <is>
          <t>Previdência</t>
        </is>
      </c>
      <c r="BI66" s="54" t="inlineStr">
        <is>
          <t>Créd. Privado</t>
        </is>
      </c>
      <c r="BJ66" s="54" t="inlineStr">
        <is>
          <t>Tít. Públicos</t>
        </is>
      </c>
      <c r="BK66" s="54" t="inlineStr">
        <is>
          <t>Produção Tot.</t>
        </is>
      </c>
      <c r="BL66" s="54" t="inlineStr">
        <is>
          <t>Obs.</t>
        </is>
      </c>
      <c r="BM66" s="54" t="inlineStr">
        <is>
          <t>Saldo Pulso</t>
        </is>
      </c>
      <c r="BN66" s="54" t="inlineStr">
        <is>
          <t>Saldo Anterior</t>
        </is>
      </c>
      <c r="BO66" s="54" t="inlineStr">
        <is>
          <t>Captação Líq.</t>
        </is>
      </c>
      <c r="BP66" s="54" t="inlineStr">
        <is>
          <t>COE</t>
        </is>
      </c>
      <c r="BQ66" s="54" t="inlineStr">
        <is>
          <t>Previdência</t>
        </is>
      </c>
      <c r="BR66" s="54" t="inlineStr">
        <is>
          <t>Créd. Privado</t>
        </is>
      </c>
      <c r="BS66" s="54" t="inlineStr">
        <is>
          <t>Tít. Públicos</t>
        </is>
      </c>
      <c r="BT66" s="54" t="inlineStr">
        <is>
          <t>Produção Tot.</t>
        </is>
      </c>
      <c r="BU66" s="54" t="inlineStr">
        <is>
          <t>Obs.</t>
        </is>
      </c>
      <c r="BV66" s="54" t="inlineStr">
        <is>
          <t>Saldo Pulso</t>
        </is>
      </c>
      <c r="BW66" s="54" t="inlineStr">
        <is>
          <t>Saldo Anterior</t>
        </is>
      </c>
      <c r="BX66" s="54" t="inlineStr">
        <is>
          <t>Captação Líq.</t>
        </is>
      </c>
      <c r="BY66" s="54" t="inlineStr">
        <is>
          <t>COE</t>
        </is>
      </c>
      <c r="BZ66" s="54" t="inlineStr">
        <is>
          <t>Previdência</t>
        </is>
      </c>
      <c r="CA66" s="54" t="inlineStr">
        <is>
          <t>Créd. Privado</t>
        </is>
      </c>
      <c r="CB66" s="54" t="inlineStr">
        <is>
          <t>Tít. Públicos</t>
        </is>
      </c>
      <c r="CC66" s="54" t="inlineStr">
        <is>
          <t>Produção Tot.</t>
        </is>
      </c>
      <c r="CD66" s="54" t="inlineStr">
        <is>
          <t>Obs.</t>
        </is>
      </c>
      <c r="CE66" s="54" t="inlineStr">
        <is>
          <t>Saldo Pulso</t>
        </is>
      </c>
      <c r="CF66" s="54" t="inlineStr">
        <is>
          <t>Saldo Anterior</t>
        </is>
      </c>
      <c r="CG66" s="54" t="inlineStr">
        <is>
          <t>Captação Líq.</t>
        </is>
      </c>
      <c r="CH66" s="54" t="inlineStr">
        <is>
          <t>COE</t>
        </is>
      </c>
      <c r="CI66" s="54" t="inlineStr">
        <is>
          <t>Previdência</t>
        </is>
      </c>
      <c r="CJ66" s="54" t="inlineStr">
        <is>
          <t>Créd. Privado</t>
        </is>
      </c>
      <c r="CK66" s="54" t="inlineStr">
        <is>
          <t>Tít. Públicos</t>
        </is>
      </c>
      <c r="CL66" s="54" t="inlineStr">
        <is>
          <t>Produção Tot.</t>
        </is>
      </c>
      <c r="CM66" s="54" t="inlineStr">
        <is>
          <t>Obs.</t>
        </is>
      </c>
      <c r="CN66" s="54" t="inlineStr">
        <is>
          <t>Saldo Pulso</t>
        </is>
      </c>
      <c r="CO66" s="54" t="inlineStr">
        <is>
          <t>Saldo Anterior</t>
        </is>
      </c>
      <c r="CP66" s="54" t="inlineStr">
        <is>
          <t>Captação Líq.</t>
        </is>
      </c>
      <c r="CQ66" s="54" t="inlineStr">
        <is>
          <t>COE</t>
        </is>
      </c>
      <c r="CR66" s="54" t="inlineStr">
        <is>
          <t>Previdência</t>
        </is>
      </c>
      <c r="CS66" s="54" t="inlineStr">
        <is>
          <t>Créd. Privado</t>
        </is>
      </c>
      <c r="CT66" s="54" t="inlineStr">
        <is>
          <t>Tít. Públicos</t>
        </is>
      </c>
      <c r="CU66" s="54" t="inlineStr">
        <is>
          <t>Produção Tot.</t>
        </is>
      </c>
      <c r="CV66" s="54" t="inlineStr">
        <is>
          <t>Obs.</t>
        </is>
      </c>
      <c r="CW66" s="54" t="inlineStr">
        <is>
          <t>Saldo Pulso</t>
        </is>
      </c>
      <c r="CX66" s="54" t="inlineStr">
        <is>
          <t>Saldo Anterior</t>
        </is>
      </c>
      <c r="CY66" s="54" t="inlineStr">
        <is>
          <t>Captação Líq.</t>
        </is>
      </c>
      <c r="CZ66" s="54" t="inlineStr">
        <is>
          <t>COE</t>
        </is>
      </c>
      <c r="DA66" s="54" t="inlineStr">
        <is>
          <t>Previdência</t>
        </is>
      </c>
      <c r="DB66" s="54" t="inlineStr">
        <is>
          <t>Créd. Privado</t>
        </is>
      </c>
      <c r="DC66" s="54" t="inlineStr">
        <is>
          <t>Tít. Públicos</t>
        </is>
      </c>
      <c r="DD66" s="54" t="inlineStr">
        <is>
          <t>Produção Tot.</t>
        </is>
      </c>
      <c r="DE66" s="54" t="inlineStr">
        <is>
          <t>Obs.</t>
        </is>
      </c>
      <c r="DF66" s="54" t="inlineStr">
        <is>
          <t>Saldo Pulso</t>
        </is>
      </c>
      <c r="DG66" s="54" t="inlineStr">
        <is>
          <t>Saldo Anterior</t>
        </is>
      </c>
      <c r="DH66" s="54" t="inlineStr">
        <is>
          <t>Captação Líq.</t>
        </is>
      </c>
      <c r="DI66" s="54" t="inlineStr">
        <is>
          <t>COE</t>
        </is>
      </c>
      <c r="DJ66" s="54" t="inlineStr">
        <is>
          <t>Previdência</t>
        </is>
      </c>
      <c r="DK66" s="54" t="inlineStr">
        <is>
          <t>Créd. Privado</t>
        </is>
      </c>
      <c r="DL66" s="54" t="inlineStr">
        <is>
          <t>Tít. Públicos</t>
        </is>
      </c>
      <c r="DM66" s="54" t="inlineStr">
        <is>
          <t>Produção Tot.</t>
        </is>
      </c>
      <c r="DN66" s="54" t="inlineStr">
        <is>
          <t>Obs.</t>
        </is>
      </c>
      <c r="DO66" s="54" t="inlineStr">
        <is>
          <t>Saldo Pulso</t>
        </is>
      </c>
      <c r="DP66" s="54" t="inlineStr">
        <is>
          <t>Saldo Anterior</t>
        </is>
      </c>
      <c r="DQ66" s="54" t="inlineStr">
        <is>
          <t>Captação Líq.</t>
        </is>
      </c>
      <c r="DR66" s="54" t="inlineStr">
        <is>
          <t>COE</t>
        </is>
      </c>
      <c r="DS66" s="54" t="inlineStr">
        <is>
          <t>Previdência</t>
        </is>
      </c>
      <c r="DT66" s="54" t="inlineStr">
        <is>
          <t>Créd. Privado</t>
        </is>
      </c>
      <c r="DU66" s="54" t="inlineStr">
        <is>
          <t>Tít. Públicos</t>
        </is>
      </c>
      <c r="DV66" s="54" t="inlineStr">
        <is>
          <t>Produção Tot.</t>
        </is>
      </c>
      <c r="DW66" s="54" t="inlineStr">
        <is>
          <t>Obs.</t>
        </is>
      </c>
      <c r="DX66" s="54" t="inlineStr">
        <is>
          <t>Saldo Pulso</t>
        </is>
      </c>
      <c r="DY66" s="54" t="inlineStr">
        <is>
          <t>Saldo Anterior</t>
        </is>
      </c>
      <c r="DZ66" s="54" t="inlineStr">
        <is>
          <t>Captação Líq.</t>
        </is>
      </c>
      <c r="EA66" s="54" t="inlineStr">
        <is>
          <t>COE</t>
        </is>
      </c>
      <c r="EB66" s="54" t="inlineStr">
        <is>
          <t>Previdência</t>
        </is>
      </c>
      <c r="EC66" s="54" t="inlineStr">
        <is>
          <t>Créd. Privado</t>
        </is>
      </c>
      <c r="ED66" s="54" t="inlineStr">
        <is>
          <t>Tít. Públicos</t>
        </is>
      </c>
      <c r="EE66" s="54" t="inlineStr">
        <is>
          <t>Produção Tot.</t>
        </is>
      </c>
      <c r="EF66" s="54" t="inlineStr">
        <is>
          <t>Obs.</t>
        </is>
      </c>
      <c r="EG66" s="54" t="inlineStr">
        <is>
          <t>Saldo Pulso</t>
        </is>
      </c>
      <c r="EH66" s="54" t="inlineStr">
        <is>
          <t>Saldo Anterior</t>
        </is>
      </c>
      <c r="EI66" s="54" t="inlineStr">
        <is>
          <t>Captação Líq.</t>
        </is>
      </c>
      <c r="EJ66" s="54" t="inlineStr">
        <is>
          <t>COE</t>
        </is>
      </c>
      <c r="EK66" s="54" t="inlineStr">
        <is>
          <t>Previdência</t>
        </is>
      </c>
      <c r="EL66" s="54" t="inlineStr">
        <is>
          <t>Créd. Privado</t>
        </is>
      </c>
      <c r="EM66" s="54" t="inlineStr">
        <is>
          <t>Tít. Públicos</t>
        </is>
      </c>
      <c r="EN66" s="54" t="inlineStr">
        <is>
          <t>Produção Tot.</t>
        </is>
      </c>
      <c r="EO66" s="54" t="inlineStr">
        <is>
          <t>Obs.</t>
        </is>
      </c>
      <c r="EP66" s="54" t="inlineStr">
        <is>
          <t>Saldo Pulso</t>
        </is>
      </c>
      <c r="EQ66" s="54" t="inlineStr">
        <is>
          <t>Saldo Anterior</t>
        </is>
      </c>
      <c r="ER66" s="54" t="inlineStr">
        <is>
          <t>Captação Líq.</t>
        </is>
      </c>
      <c r="ES66" s="54" t="inlineStr">
        <is>
          <t>COE</t>
        </is>
      </c>
      <c r="ET66" s="54" t="inlineStr">
        <is>
          <t>Previdência</t>
        </is>
      </c>
      <c r="EU66" s="54" t="inlineStr">
        <is>
          <t>Créd. Privado</t>
        </is>
      </c>
      <c r="EV66" s="54" t="inlineStr">
        <is>
          <t>Tít. Públicos</t>
        </is>
      </c>
      <c r="EW66" s="54" t="inlineStr">
        <is>
          <t>Produção Tot.</t>
        </is>
      </c>
      <c r="EX66" s="54" t="inlineStr">
        <is>
          <t>Obs.</t>
        </is>
      </c>
      <c r="EY66" s="54" t="inlineStr">
        <is>
          <t>Saldo Pulso</t>
        </is>
      </c>
      <c r="EZ66" s="54" t="inlineStr">
        <is>
          <t>Saldo Anterior</t>
        </is>
      </c>
      <c r="FA66" s="54" t="inlineStr">
        <is>
          <t>Captação Líq.</t>
        </is>
      </c>
      <c r="FB66" s="54" t="inlineStr">
        <is>
          <t>COE</t>
        </is>
      </c>
      <c r="FC66" s="54" t="inlineStr">
        <is>
          <t>Previdência</t>
        </is>
      </c>
      <c r="FD66" s="54" t="inlineStr">
        <is>
          <t>Créd. Privado</t>
        </is>
      </c>
      <c r="FE66" s="54" t="inlineStr">
        <is>
          <t>Tít. Públicos</t>
        </is>
      </c>
      <c r="FF66" s="54" t="inlineStr">
        <is>
          <t>Produção Tot.</t>
        </is>
      </c>
      <c r="FG66" s="54" t="inlineStr">
        <is>
          <t>Obs.</t>
        </is>
      </c>
      <c r="FH66" s="54" t="inlineStr">
        <is>
          <t>Saldo Pulso</t>
        </is>
      </c>
      <c r="FI66" s="54" t="inlineStr">
        <is>
          <t>Saldo Anterior</t>
        </is>
      </c>
      <c r="FJ66" s="54" t="inlineStr">
        <is>
          <t>Captação Líq.</t>
        </is>
      </c>
      <c r="FK66" s="54" t="inlineStr">
        <is>
          <t>COE</t>
        </is>
      </c>
      <c r="FL66" s="54" t="inlineStr">
        <is>
          <t>Previdência</t>
        </is>
      </c>
      <c r="FM66" s="54" t="inlineStr">
        <is>
          <t>Créd. Privado</t>
        </is>
      </c>
      <c r="FN66" s="54" t="inlineStr">
        <is>
          <t>Tít. Públicos</t>
        </is>
      </c>
      <c r="FO66" s="54" t="inlineStr">
        <is>
          <t>Produção Tot.</t>
        </is>
      </c>
      <c r="FP66" s="54" t="inlineStr">
        <is>
          <t>Obs.</t>
        </is>
      </c>
      <c r="FQ66" s="54" t="inlineStr">
        <is>
          <t>Saldo Pulso</t>
        </is>
      </c>
      <c r="FR66" s="54" t="inlineStr">
        <is>
          <t>Saldo Anterior</t>
        </is>
      </c>
      <c r="FS66" s="54" t="inlineStr">
        <is>
          <t>Captação Líq.</t>
        </is>
      </c>
      <c r="FT66" s="54" t="inlineStr">
        <is>
          <t>COE</t>
        </is>
      </c>
      <c r="FU66" s="54" t="inlineStr">
        <is>
          <t>Previdência</t>
        </is>
      </c>
      <c r="FV66" s="54" t="inlineStr">
        <is>
          <t>Créd. Privado</t>
        </is>
      </c>
      <c r="FW66" s="54" t="inlineStr">
        <is>
          <t>Tít. Públicos</t>
        </is>
      </c>
      <c r="FX66" s="54" t="inlineStr">
        <is>
          <t>Produção Tot.</t>
        </is>
      </c>
      <c r="FY66" s="54" t="inlineStr">
        <is>
          <t>Obs.</t>
        </is>
      </c>
      <c r="FZ66" s="54" t="inlineStr">
        <is>
          <t>Saldo Pulso</t>
        </is>
      </c>
      <c r="GA66" s="54" t="inlineStr">
        <is>
          <t>Saldo Anterior</t>
        </is>
      </c>
      <c r="GB66" s="54" t="inlineStr">
        <is>
          <t>Captação Líq.</t>
        </is>
      </c>
      <c r="GC66" s="54" t="inlineStr">
        <is>
          <t>COE</t>
        </is>
      </c>
      <c r="GD66" s="54" t="inlineStr">
        <is>
          <t>Previdência</t>
        </is>
      </c>
      <c r="GE66" s="54" t="inlineStr">
        <is>
          <t>Créd. Privado</t>
        </is>
      </c>
      <c r="GF66" s="54" t="inlineStr">
        <is>
          <t>Tít. Públicos</t>
        </is>
      </c>
      <c r="GG66" s="54" t="inlineStr">
        <is>
          <t>Produção Tot.</t>
        </is>
      </c>
      <c r="GH66" s="54" t="inlineStr">
        <is>
          <t>Obs.</t>
        </is>
      </c>
      <c r="GI66" s="54" t="inlineStr">
        <is>
          <t>Saldo Pulso</t>
        </is>
      </c>
      <c r="GJ66" s="54" t="inlineStr">
        <is>
          <t>Saldo Anterior</t>
        </is>
      </c>
      <c r="GK66" s="54" t="inlineStr">
        <is>
          <t>Captação Líq.</t>
        </is>
      </c>
      <c r="GL66" s="54" t="inlineStr">
        <is>
          <t>COE</t>
        </is>
      </c>
      <c r="GM66" s="54" t="inlineStr">
        <is>
          <t>Previdência</t>
        </is>
      </c>
      <c r="GN66" s="54" t="inlineStr">
        <is>
          <t>Créd. Privado</t>
        </is>
      </c>
      <c r="GO66" s="54" t="inlineStr">
        <is>
          <t>Tít. Públicos</t>
        </is>
      </c>
      <c r="GP66" s="54" t="inlineStr">
        <is>
          <t>Produção Tot.</t>
        </is>
      </c>
      <c r="GQ66" s="54" t="inlineStr">
        <is>
          <t>Obs.</t>
        </is>
      </c>
      <c r="GR66" s="54" t="inlineStr">
        <is>
          <t>Saldo Pulso</t>
        </is>
      </c>
      <c r="GS66" s="54" t="inlineStr">
        <is>
          <t>Saldo Anterior</t>
        </is>
      </c>
      <c r="GT66" s="54" t="inlineStr">
        <is>
          <t>Captação Líq.</t>
        </is>
      </c>
      <c r="GU66" s="54" t="inlineStr">
        <is>
          <t>COE</t>
        </is>
      </c>
      <c r="GV66" s="54" t="inlineStr">
        <is>
          <t>Previdência</t>
        </is>
      </c>
      <c r="GW66" s="54" t="inlineStr">
        <is>
          <t>Créd. Privado</t>
        </is>
      </c>
      <c r="GX66" s="54" t="inlineStr">
        <is>
          <t>Tít. Públicos</t>
        </is>
      </c>
      <c r="GY66" s="54" t="inlineStr">
        <is>
          <t>Produção Tot.</t>
        </is>
      </c>
      <c r="GZ66" s="54" t="inlineStr">
        <is>
          <t>Obs.</t>
        </is>
      </c>
      <c r="HA66" s="54" t="inlineStr">
        <is>
          <t>Saldo Pulso</t>
        </is>
      </c>
      <c r="HB66" s="54" t="inlineStr">
        <is>
          <t>Saldo Anterior</t>
        </is>
      </c>
      <c r="HC66" s="54" t="inlineStr">
        <is>
          <t>Captação Líq.</t>
        </is>
      </c>
      <c r="HD66" s="54" t="inlineStr">
        <is>
          <t>COE</t>
        </is>
      </c>
      <c r="HE66" s="54" t="inlineStr">
        <is>
          <t>Previdência</t>
        </is>
      </c>
      <c r="HF66" s="54" t="inlineStr">
        <is>
          <t>Créd. Privado</t>
        </is>
      </c>
      <c r="HG66" s="54" t="inlineStr">
        <is>
          <t>Tít. Públicos</t>
        </is>
      </c>
      <c r="HH66" s="54" t="inlineStr">
        <is>
          <t>Produção Tot.</t>
        </is>
      </c>
      <c r="HI66" s="54" t="inlineStr">
        <is>
          <t>Obs.</t>
        </is>
      </c>
      <c r="HJ66" s="54" t="inlineStr">
        <is>
          <t>Saldo Pulso</t>
        </is>
      </c>
      <c r="HK66" s="54" t="inlineStr">
        <is>
          <t>Saldo Anterior</t>
        </is>
      </c>
      <c r="HL66" s="54" t="inlineStr">
        <is>
          <t>Captação Líq.</t>
        </is>
      </c>
      <c r="HM66" s="54" t="inlineStr">
        <is>
          <t>COE</t>
        </is>
      </c>
      <c r="HN66" s="54" t="inlineStr">
        <is>
          <t>Previdência</t>
        </is>
      </c>
      <c r="HO66" s="54" t="inlineStr">
        <is>
          <t>Créd. Privado</t>
        </is>
      </c>
      <c r="HP66" s="54" t="inlineStr">
        <is>
          <t>Tít. Públicos</t>
        </is>
      </c>
      <c r="HQ66" s="54" t="inlineStr">
        <is>
          <t>Produção Tot.</t>
        </is>
      </c>
      <c r="HR66" s="54" t="inlineStr">
        <is>
          <t>Obs.</t>
        </is>
      </c>
      <c r="HS66" s="54" t="inlineStr">
        <is>
          <t>Saldo Pulso</t>
        </is>
      </c>
      <c r="HT66" s="54" t="inlineStr">
        <is>
          <t>Saldo Anterior</t>
        </is>
      </c>
      <c r="HU66" s="54" t="inlineStr">
        <is>
          <t>Captação Líq.</t>
        </is>
      </c>
      <c r="HV66" s="54" t="inlineStr">
        <is>
          <t>COE</t>
        </is>
      </c>
      <c r="HW66" s="54" t="inlineStr">
        <is>
          <t>Previdência</t>
        </is>
      </c>
      <c r="HX66" s="54" t="inlineStr">
        <is>
          <t>Créd. Privado</t>
        </is>
      </c>
      <c r="HY66" s="54" t="inlineStr">
        <is>
          <t>Tít. Públicos</t>
        </is>
      </c>
      <c r="HZ66" s="54" t="inlineStr">
        <is>
          <t>Produção Tot.</t>
        </is>
      </c>
      <c r="IA66" s="54" t="inlineStr">
        <is>
          <t>Obs.</t>
        </is>
      </c>
      <c r="IB66" s="54" t="inlineStr">
        <is>
          <t>Saldo Pulso</t>
        </is>
      </c>
      <c r="IC66" s="54" t="inlineStr">
        <is>
          <t>Saldo Anterior</t>
        </is>
      </c>
      <c r="ID66" s="54" t="inlineStr">
        <is>
          <t>Captação Líq.</t>
        </is>
      </c>
      <c r="IE66" s="54" t="inlineStr">
        <is>
          <t>COE</t>
        </is>
      </c>
      <c r="IF66" s="54" t="inlineStr">
        <is>
          <t>Previdência</t>
        </is>
      </c>
      <c r="IG66" s="54" t="inlineStr">
        <is>
          <t>Créd. Privado</t>
        </is>
      </c>
      <c r="IH66" s="54" t="inlineStr">
        <is>
          <t>Tít. Públicos</t>
        </is>
      </c>
      <c r="II66" s="54" t="inlineStr">
        <is>
          <t>Produção Tot.</t>
        </is>
      </c>
      <c r="IJ66" s="54" t="inlineStr">
        <is>
          <t>Obs.</t>
        </is>
      </c>
      <c r="IK66" s="54" t="inlineStr">
        <is>
          <t>Saldo Pulso</t>
        </is>
      </c>
      <c r="IL66" s="54" t="inlineStr">
        <is>
          <t>Saldo Anterior</t>
        </is>
      </c>
      <c r="IM66" s="54" t="inlineStr">
        <is>
          <t>Captação Líq.</t>
        </is>
      </c>
      <c r="IN66" s="54" t="inlineStr">
        <is>
          <t>COE</t>
        </is>
      </c>
      <c r="IO66" s="54" t="inlineStr">
        <is>
          <t>Previdência</t>
        </is>
      </c>
      <c r="IP66" s="54" t="inlineStr">
        <is>
          <t>Créd. Privado</t>
        </is>
      </c>
      <c r="IQ66" s="54" t="inlineStr">
        <is>
          <t>Tít. Públicos</t>
        </is>
      </c>
      <c r="IR66" s="54" t="inlineStr">
        <is>
          <t>Produção Tot.</t>
        </is>
      </c>
      <c r="IS66" s="54" t="inlineStr">
        <is>
          <t>Obs.</t>
        </is>
      </c>
      <c r="IT66" s="54" t="inlineStr">
        <is>
          <t>Saldo Pulso</t>
        </is>
      </c>
      <c r="IU66" s="54" t="inlineStr">
        <is>
          <t>Saldo Anterior</t>
        </is>
      </c>
      <c r="IV66" s="54" t="inlineStr">
        <is>
          <t>Captação Líq.</t>
        </is>
      </c>
      <c r="IW66" s="54" t="inlineStr">
        <is>
          <t>COE</t>
        </is>
      </c>
      <c r="IX66" s="54" t="inlineStr">
        <is>
          <t>Previdência</t>
        </is>
      </c>
      <c r="IY66" s="54" t="inlineStr">
        <is>
          <t>Créd. Privado</t>
        </is>
      </c>
      <c r="IZ66" s="54" t="inlineStr">
        <is>
          <t>Tít. Públicos</t>
        </is>
      </c>
      <c r="JA66" s="54" t="inlineStr">
        <is>
          <t>Produção Tot.</t>
        </is>
      </c>
      <c r="JB66" s="54" t="inlineStr">
        <is>
          <t>Obs.</t>
        </is>
      </c>
      <c r="JC66" s="54" t="inlineStr">
        <is>
          <t>Saldo Pulso</t>
        </is>
      </c>
      <c r="JD66" s="54" t="inlineStr">
        <is>
          <t>Saldo Anterior</t>
        </is>
      </c>
      <c r="JE66" s="54" t="inlineStr">
        <is>
          <t>Captação Líq.</t>
        </is>
      </c>
      <c r="JF66" s="54" t="inlineStr">
        <is>
          <t>COE</t>
        </is>
      </c>
      <c r="JG66" s="54" t="inlineStr">
        <is>
          <t>Previdência</t>
        </is>
      </c>
      <c r="JH66" s="54" t="inlineStr">
        <is>
          <t>Créd. Privado</t>
        </is>
      </c>
      <c r="JI66" s="54" t="inlineStr">
        <is>
          <t>Tít. Públicos</t>
        </is>
      </c>
      <c r="JJ66" s="54" t="inlineStr">
        <is>
          <t>Produção Tot.</t>
        </is>
      </c>
      <c r="JK66" s="54" t="inlineStr">
        <is>
          <t>Obs.</t>
        </is>
      </c>
      <c r="JL66" s="54" t="inlineStr">
        <is>
          <t>Saldo Pulso</t>
        </is>
      </c>
      <c r="JM66" s="54" t="inlineStr">
        <is>
          <t>Saldo Anterior</t>
        </is>
      </c>
      <c r="JN66" s="54" t="inlineStr">
        <is>
          <t>Captação Líq.</t>
        </is>
      </c>
      <c r="JO66" s="54" t="inlineStr">
        <is>
          <t>COE</t>
        </is>
      </c>
      <c r="JP66" s="54" t="inlineStr">
        <is>
          <t>Previdência</t>
        </is>
      </c>
      <c r="JQ66" s="54" t="inlineStr">
        <is>
          <t>Créd. Privado</t>
        </is>
      </c>
      <c r="JR66" s="54" t="inlineStr">
        <is>
          <t>Tít. Públicos</t>
        </is>
      </c>
      <c r="JS66" s="54" t="inlineStr">
        <is>
          <t>Produção Tot.</t>
        </is>
      </c>
      <c r="JT66" s="54" t="inlineStr">
        <is>
          <t>Obs.</t>
        </is>
      </c>
      <c r="JU66" s="55" t="n"/>
      <c r="JV66" s="55" t="n"/>
      <c r="JW66" s="55" t="n"/>
      <c r="JX66" s="55" t="n"/>
      <c r="JY66" s="55" t="n"/>
      <c r="JZ66" s="55" t="n"/>
      <c r="KA66" s="55" t="n"/>
    </row>
    <row r="67" ht="20" customHeight="1">
      <c r="A67" s="56">
        <f>IF(Configurações!$B$7="","Assessor 1",Configurações!$B$7)</f>
        <v/>
      </c>
      <c r="B67" s="57" t="n"/>
      <c r="C67" s="58">
        <f>'Outubro'!$JW67</f>
        <v/>
      </c>
      <c r="D67" s="59" t="n"/>
      <c r="E67" s="57" t="n"/>
      <c r="F67" s="57" t="n"/>
      <c r="G67" s="57" t="n"/>
      <c r="H67" s="57" t="n"/>
      <c r="I67" s="60">
        <f>SUM(E67:H67)</f>
        <v/>
      </c>
      <c r="J67" s="61" t="n"/>
      <c r="K67" s="57" t="n"/>
      <c r="L67" s="58">
        <f>B67</f>
        <v/>
      </c>
      <c r="M67" s="59" t="n"/>
      <c r="N67" s="57" t="n"/>
      <c r="O67" s="57" t="n"/>
      <c r="P67" s="57" t="n"/>
      <c r="Q67" s="57" t="n"/>
      <c r="R67" s="60">
        <f>SUM(N67:Q67)</f>
        <v/>
      </c>
      <c r="S67" s="61" t="n"/>
      <c r="T67" s="57" t="n"/>
      <c r="U67" s="58">
        <f>K67</f>
        <v/>
      </c>
      <c r="V67" s="59" t="n"/>
      <c r="W67" s="57" t="n"/>
      <c r="X67" s="57" t="n"/>
      <c r="Y67" s="57" t="n"/>
      <c r="Z67" s="57" t="n"/>
      <c r="AA67" s="60">
        <f>SUM(W67:Z67)</f>
        <v/>
      </c>
      <c r="AB67" s="61" t="n"/>
      <c r="AC67" s="57" t="n"/>
      <c r="AD67" s="58">
        <f>T67</f>
        <v/>
      </c>
      <c r="AE67" s="59" t="n"/>
      <c r="AF67" s="57" t="n"/>
      <c r="AG67" s="57" t="n"/>
      <c r="AH67" s="57" t="n"/>
      <c r="AI67" s="57" t="n"/>
      <c r="AJ67" s="60">
        <f>SUM(AF67:AI67)</f>
        <v/>
      </c>
      <c r="AK67" s="61" t="n"/>
      <c r="AL67" s="57" t="n"/>
      <c r="AM67" s="58">
        <f>AC67</f>
        <v/>
      </c>
      <c r="AN67" s="59" t="n"/>
      <c r="AO67" s="57" t="n"/>
      <c r="AP67" s="57" t="n"/>
      <c r="AQ67" s="57" t="n"/>
      <c r="AR67" s="57" t="n"/>
      <c r="AS67" s="60">
        <f>SUM(AO67:AR67)</f>
        <v/>
      </c>
      <c r="AT67" s="61" t="n"/>
      <c r="AU67" s="57" t="n"/>
      <c r="AV67" s="58">
        <f>AL67</f>
        <v/>
      </c>
      <c r="AW67" s="59" t="n"/>
      <c r="AX67" s="57" t="n"/>
      <c r="AY67" s="57" t="n"/>
      <c r="AZ67" s="57" t="n"/>
      <c r="BA67" s="57" t="n"/>
      <c r="BB67" s="60">
        <f>SUM(AX67:BA67)</f>
        <v/>
      </c>
      <c r="BC67" s="61" t="n"/>
      <c r="BD67" s="57" t="n"/>
      <c r="BE67" s="58">
        <f>AU67</f>
        <v/>
      </c>
      <c r="BF67" s="59" t="n"/>
      <c r="BG67" s="57" t="n"/>
      <c r="BH67" s="57" t="n"/>
      <c r="BI67" s="57" t="n"/>
      <c r="BJ67" s="57" t="n"/>
      <c r="BK67" s="60">
        <f>SUM(BG67:BJ67)</f>
        <v/>
      </c>
      <c r="BL67" s="61" t="n"/>
      <c r="BM67" s="57" t="n"/>
      <c r="BN67" s="58">
        <f>BD67</f>
        <v/>
      </c>
      <c r="BO67" s="59" t="n"/>
      <c r="BP67" s="57" t="n"/>
      <c r="BQ67" s="57" t="n"/>
      <c r="BR67" s="57" t="n"/>
      <c r="BS67" s="57" t="n"/>
      <c r="BT67" s="60">
        <f>SUM(BP67:BS67)</f>
        <v/>
      </c>
      <c r="BU67" s="61" t="n"/>
      <c r="BV67" s="57" t="n"/>
      <c r="BW67" s="58">
        <f>BM67</f>
        <v/>
      </c>
      <c r="BX67" s="59" t="n"/>
      <c r="BY67" s="57" t="n"/>
      <c r="BZ67" s="57" t="n"/>
      <c r="CA67" s="57" t="n"/>
      <c r="CB67" s="57" t="n"/>
      <c r="CC67" s="60">
        <f>SUM(BY67:CB67)</f>
        <v/>
      </c>
      <c r="CD67" s="61" t="n"/>
      <c r="CE67" s="57" t="n"/>
      <c r="CF67" s="58">
        <f>BV67</f>
        <v/>
      </c>
      <c r="CG67" s="59" t="n"/>
      <c r="CH67" s="57" t="n"/>
      <c r="CI67" s="57" t="n"/>
      <c r="CJ67" s="57" t="n"/>
      <c r="CK67" s="57" t="n"/>
      <c r="CL67" s="60">
        <f>SUM(CH67:CK67)</f>
        <v/>
      </c>
      <c r="CM67" s="61" t="n"/>
      <c r="CN67" s="57" t="n"/>
      <c r="CO67" s="58">
        <f>CE67</f>
        <v/>
      </c>
      <c r="CP67" s="59" t="n"/>
      <c r="CQ67" s="57" t="n"/>
      <c r="CR67" s="57" t="n"/>
      <c r="CS67" s="57" t="n"/>
      <c r="CT67" s="57" t="n"/>
      <c r="CU67" s="60">
        <f>SUM(CQ67:CT67)</f>
        <v/>
      </c>
      <c r="CV67" s="61" t="n"/>
      <c r="CW67" s="57" t="n"/>
      <c r="CX67" s="58">
        <f>CN67</f>
        <v/>
      </c>
      <c r="CY67" s="59" t="n"/>
      <c r="CZ67" s="57" t="n"/>
      <c r="DA67" s="57" t="n"/>
      <c r="DB67" s="57" t="n"/>
      <c r="DC67" s="57" t="n"/>
      <c r="DD67" s="60">
        <f>SUM(CZ67:DC67)</f>
        <v/>
      </c>
      <c r="DE67" s="61" t="n"/>
      <c r="DF67" s="57" t="n"/>
      <c r="DG67" s="58">
        <f>CW67</f>
        <v/>
      </c>
      <c r="DH67" s="59" t="n"/>
      <c r="DI67" s="57" t="n"/>
      <c r="DJ67" s="57" t="n"/>
      <c r="DK67" s="57" t="n"/>
      <c r="DL67" s="57" t="n"/>
      <c r="DM67" s="60">
        <f>SUM(DI67:DL67)</f>
        <v/>
      </c>
      <c r="DN67" s="61" t="n"/>
      <c r="DO67" s="57" t="n"/>
      <c r="DP67" s="58">
        <f>DF67</f>
        <v/>
      </c>
      <c r="DQ67" s="59" t="n"/>
      <c r="DR67" s="57" t="n"/>
      <c r="DS67" s="57" t="n"/>
      <c r="DT67" s="57" t="n"/>
      <c r="DU67" s="57" t="n"/>
      <c r="DV67" s="60">
        <f>SUM(DR67:DU67)</f>
        <v/>
      </c>
      <c r="DW67" s="61" t="n"/>
      <c r="DX67" s="57" t="n"/>
      <c r="DY67" s="58">
        <f>DO67</f>
        <v/>
      </c>
      <c r="DZ67" s="59" t="n"/>
      <c r="EA67" s="57" t="n"/>
      <c r="EB67" s="57" t="n"/>
      <c r="EC67" s="57" t="n"/>
      <c r="ED67" s="57" t="n"/>
      <c r="EE67" s="60">
        <f>SUM(EA67:ED67)</f>
        <v/>
      </c>
      <c r="EF67" s="61" t="n"/>
      <c r="EG67" s="57" t="n"/>
      <c r="EH67" s="58">
        <f>DX67</f>
        <v/>
      </c>
      <c r="EI67" s="59" t="n"/>
      <c r="EJ67" s="57" t="n"/>
      <c r="EK67" s="57" t="n"/>
      <c r="EL67" s="57" t="n"/>
      <c r="EM67" s="57" t="n"/>
      <c r="EN67" s="60">
        <f>SUM(EJ67:EM67)</f>
        <v/>
      </c>
      <c r="EO67" s="61" t="n"/>
      <c r="EP67" s="57" t="n"/>
      <c r="EQ67" s="58">
        <f>EG67</f>
        <v/>
      </c>
      <c r="ER67" s="59" t="n"/>
      <c r="ES67" s="57" t="n"/>
      <c r="ET67" s="57" t="n"/>
      <c r="EU67" s="57" t="n"/>
      <c r="EV67" s="57" t="n"/>
      <c r="EW67" s="60">
        <f>SUM(ES67:EV67)</f>
        <v/>
      </c>
      <c r="EX67" s="61" t="n"/>
      <c r="EY67" s="57" t="n"/>
      <c r="EZ67" s="58">
        <f>EP67</f>
        <v/>
      </c>
      <c r="FA67" s="59" t="n"/>
      <c r="FB67" s="57" t="n"/>
      <c r="FC67" s="57" t="n"/>
      <c r="FD67" s="57" t="n"/>
      <c r="FE67" s="57" t="n"/>
      <c r="FF67" s="60">
        <f>SUM(FB67:FE67)</f>
        <v/>
      </c>
      <c r="FG67" s="61" t="n"/>
      <c r="FH67" s="57" t="n"/>
      <c r="FI67" s="58">
        <f>EY67</f>
        <v/>
      </c>
      <c r="FJ67" s="59" t="n"/>
      <c r="FK67" s="57" t="n"/>
      <c r="FL67" s="57" t="n"/>
      <c r="FM67" s="57" t="n"/>
      <c r="FN67" s="57" t="n"/>
      <c r="FO67" s="60">
        <f>SUM(FK67:FN67)</f>
        <v/>
      </c>
      <c r="FP67" s="61" t="n"/>
      <c r="FQ67" s="57" t="n"/>
      <c r="FR67" s="58">
        <f>FH67</f>
        <v/>
      </c>
      <c r="FS67" s="59" t="n"/>
      <c r="FT67" s="57" t="n"/>
      <c r="FU67" s="57" t="n"/>
      <c r="FV67" s="57" t="n"/>
      <c r="FW67" s="57" t="n"/>
      <c r="FX67" s="60">
        <f>SUM(FT67:FW67)</f>
        <v/>
      </c>
      <c r="FY67" s="61" t="n"/>
      <c r="FZ67" s="57" t="n"/>
      <c r="GA67" s="58">
        <f>FQ67</f>
        <v/>
      </c>
      <c r="GB67" s="59" t="n"/>
      <c r="GC67" s="57" t="n"/>
      <c r="GD67" s="57" t="n"/>
      <c r="GE67" s="57" t="n"/>
      <c r="GF67" s="57" t="n"/>
      <c r="GG67" s="60">
        <f>SUM(GC67:GF67)</f>
        <v/>
      </c>
      <c r="GH67" s="61" t="n"/>
      <c r="GI67" s="57" t="n"/>
      <c r="GJ67" s="58">
        <f>FZ67</f>
        <v/>
      </c>
      <c r="GK67" s="59" t="n"/>
      <c r="GL67" s="57" t="n"/>
      <c r="GM67" s="57" t="n"/>
      <c r="GN67" s="57" t="n"/>
      <c r="GO67" s="57" t="n"/>
      <c r="GP67" s="60">
        <f>SUM(GL67:GO67)</f>
        <v/>
      </c>
      <c r="GQ67" s="61" t="n"/>
      <c r="GR67" s="57" t="n"/>
      <c r="GS67" s="58">
        <f>GI67</f>
        <v/>
      </c>
      <c r="GT67" s="59" t="n"/>
      <c r="GU67" s="57" t="n"/>
      <c r="GV67" s="57" t="n"/>
      <c r="GW67" s="57" t="n"/>
      <c r="GX67" s="57" t="n"/>
      <c r="GY67" s="60">
        <f>SUM(GU67:GX67)</f>
        <v/>
      </c>
      <c r="GZ67" s="61" t="n"/>
      <c r="HA67" s="57" t="n"/>
      <c r="HB67" s="58">
        <f>GR67</f>
        <v/>
      </c>
      <c r="HC67" s="59" t="n"/>
      <c r="HD67" s="57" t="n"/>
      <c r="HE67" s="57" t="n"/>
      <c r="HF67" s="57" t="n"/>
      <c r="HG67" s="57" t="n"/>
      <c r="HH67" s="60">
        <f>SUM(HD67:HG67)</f>
        <v/>
      </c>
      <c r="HI67" s="61" t="n"/>
      <c r="HJ67" s="57" t="n"/>
      <c r="HK67" s="58">
        <f>HA67</f>
        <v/>
      </c>
      <c r="HL67" s="59" t="n"/>
      <c r="HM67" s="57" t="n"/>
      <c r="HN67" s="57" t="n"/>
      <c r="HO67" s="57" t="n"/>
      <c r="HP67" s="57" t="n"/>
      <c r="HQ67" s="60">
        <f>SUM(HM67:HP67)</f>
        <v/>
      </c>
      <c r="HR67" s="61" t="n"/>
      <c r="HS67" s="57" t="n"/>
      <c r="HT67" s="58">
        <f>HJ67</f>
        <v/>
      </c>
      <c r="HU67" s="59" t="n"/>
      <c r="HV67" s="57" t="n"/>
      <c r="HW67" s="57" t="n"/>
      <c r="HX67" s="57" t="n"/>
      <c r="HY67" s="57" t="n"/>
      <c r="HZ67" s="60">
        <f>SUM(HV67:HY67)</f>
        <v/>
      </c>
      <c r="IA67" s="61" t="n"/>
      <c r="IB67" s="57" t="n"/>
      <c r="IC67" s="58">
        <f>HS67</f>
        <v/>
      </c>
      <c r="ID67" s="59" t="n"/>
      <c r="IE67" s="57" t="n"/>
      <c r="IF67" s="57" t="n"/>
      <c r="IG67" s="57" t="n"/>
      <c r="IH67" s="57" t="n"/>
      <c r="II67" s="60">
        <f>SUM(IE67:IH67)</f>
        <v/>
      </c>
      <c r="IJ67" s="61" t="n"/>
      <c r="IK67" s="57" t="n"/>
      <c r="IL67" s="58">
        <f>IB67</f>
        <v/>
      </c>
      <c r="IM67" s="59" t="n"/>
      <c r="IN67" s="57" t="n"/>
      <c r="IO67" s="57" t="n"/>
      <c r="IP67" s="57" t="n"/>
      <c r="IQ67" s="57" t="n"/>
      <c r="IR67" s="60">
        <f>SUM(IN67:IQ67)</f>
        <v/>
      </c>
      <c r="IS67" s="61" t="n"/>
      <c r="IT67" s="57" t="n"/>
      <c r="IU67" s="58">
        <f>IK67</f>
        <v/>
      </c>
      <c r="IV67" s="59" t="n"/>
      <c r="IW67" s="57" t="n"/>
      <c r="IX67" s="57" t="n"/>
      <c r="IY67" s="57" t="n"/>
      <c r="IZ67" s="57" t="n"/>
      <c r="JA67" s="60">
        <f>SUM(IW67:IZ67)</f>
        <v/>
      </c>
      <c r="JB67" s="61" t="n"/>
      <c r="JC67" s="57" t="n"/>
      <c r="JD67" s="58">
        <f>IT67</f>
        <v/>
      </c>
      <c r="JE67" s="59" t="n"/>
      <c r="JF67" s="57" t="n"/>
      <c r="JG67" s="57" t="n"/>
      <c r="JH67" s="57" t="n"/>
      <c r="JI67" s="57" t="n"/>
      <c r="JJ67" s="60">
        <f>SUM(JF67:JI67)</f>
        <v/>
      </c>
      <c r="JK67" s="61" t="n"/>
      <c r="JL67" s="57" t="n"/>
      <c r="JM67" s="58">
        <f>JC67</f>
        <v/>
      </c>
      <c r="JN67" s="59" t="n"/>
      <c r="JO67" s="57" t="n"/>
      <c r="JP67" s="57" t="n"/>
      <c r="JQ67" s="57" t="n"/>
      <c r="JR67" s="57" t="n"/>
      <c r="JS67" s="60">
        <f>SUM(JO67:JR67)</f>
        <v/>
      </c>
      <c r="JT67" s="61" t="n"/>
      <c r="JU67" s="62">
        <f>I67+R67+AA67+AJ67+AS67+BB67+BK67+BT67+CC67+CL67+CU67+DD67+DM67+DV67+EE67+EN67+EW67+FF67+FO67+FX67+GG67+GP67+GY67+HH67+HQ67+HZ67+II67+IR67+JA67+JJ67+JS67</f>
        <v/>
      </c>
      <c r="JV67" s="63">
        <f>D67+M67+V67+AE67+AN67+AW67+BF67+BO67+BX67+CG67+CP67+CY67+DH67+DQ67+DZ67+EI67+ER67+FA67+FJ67+FS67+GB67+GK67+GT67+HC67+HL67+HU67+ID67+IM67+IV67+JE67+JN67</f>
        <v/>
      </c>
      <c r="JW67" s="62">
        <f>CHOOSE($Z$3,B67, K67, T67, AC67, AL67, AU67, BD67, BM67, BV67, CE67, CN67, CW67, DF67, DO67, DX67, EG67, EP67, EY67, FH67, FQ67, FZ67, GI67, GR67, HA67, HJ67, HS67, IB67, IK67, IT67, JC67, JL67)</f>
        <v/>
      </c>
      <c r="JX67" s="62">
        <f>IFERROR(JU67/$Z$3,0)</f>
        <v/>
      </c>
      <c r="JY67" s="62">
        <f>Configurações!$C$7</f>
        <v/>
      </c>
      <c r="JZ67" s="64">
        <f>IF(JY67=0,"— Sem meta",IF(JU67&gt;=JY67,"✓ Atingida","Em andamento"))</f>
        <v/>
      </c>
      <c r="KA67" s="65">
        <f>JU67+(13*0.0000001)</f>
        <v/>
      </c>
    </row>
    <row r="68" ht="20" customHeight="1">
      <c r="A68" s="56">
        <f>IF(Configurações!$B$8="","Assessor 2",Configurações!$B$8)</f>
        <v/>
      </c>
      <c r="B68" s="57" t="n"/>
      <c r="C68" s="66">
        <f>'Outubro'!$JW68</f>
        <v/>
      </c>
      <c r="D68" s="59" t="n"/>
      <c r="E68" s="57" t="n"/>
      <c r="F68" s="57" t="n"/>
      <c r="G68" s="57" t="n"/>
      <c r="H68" s="57" t="n"/>
      <c r="I68" s="67">
        <f>SUM(E68:H68)</f>
        <v/>
      </c>
      <c r="J68" s="61" t="n"/>
      <c r="K68" s="57" t="n"/>
      <c r="L68" s="66">
        <f>B68</f>
        <v/>
      </c>
      <c r="M68" s="59" t="n"/>
      <c r="N68" s="57" t="n"/>
      <c r="O68" s="57" t="n"/>
      <c r="P68" s="57" t="n"/>
      <c r="Q68" s="57" t="n"/>
      <c r="R68" s="67">
        <f>SUM(N68:Q68)</f>
        <v/>
      </c>
      <c r="S68" s="61" t="n"/>
      <c r="T68" s="57" t="n"/>
      <c r="U68" s="66">
        <f>K68</f>
        <v/>
      </c>
      <c r="V68" s="59" t="n"/>
      <c r="W68" s="57" t="n"/>
      <c r="X68" s="57" t="n"/>
      <c r="Y68" s="57" t="n"/>
      <c r="Z68" s="57" t="n"/>
      <c r="AA68" s="67">
        <f>SUM(W68:Z68)</f>
        <v/>
      </c>
      <c r="AB68" s="61" t="n"/>
      <c r="AC68" s="57" t="n"/>
      <c r="AD68" s="66">
        <f>T68</f>
        <v/>
      </c>
      <c r="AE68" s="59" t="n"/>
      <c r="AF68" s="57" t="n"/>
      <c r="AG68" s="57" t="n"/>
      <c r="AH68" s="57" t="n"/>
      <c r="AI68" s="57" t="n"/>
      <c r="AJ68" s="67">
        <f>SUM(AF68:AI68)</f>
        <v/>
      </c>
      <c r="AK68" s="61" t="n"/>
      <c r="AL68" s="57" t="n"/>
      <c r="AM68" s="66">
        <f>AC68</f>
        <v/>
      </c>
      <c r="AN68" s="59" t="n"/>
      <c r="AO68" s="57" t="n"/>
      <c r="AP68" s="57" t="n"/>
      <c r="AQ68" s="57" t="n"/>
      <c r="AR68" s="57" t="n"/>
      <c r="AS68" s="67">
        <f>SUM(AO68:AR68)</f>
        <v/>
      </c>
      <c r="AT68" s="61" t="n"/>
      <c r="AU68" s="57" t="n"/>
      <c r="AV68" s="66">
        <f>AL68</f>
        <v/>
      </c>
      <c r="AW68" s="59" t="n"/>
      <c r="AX68" s="57" t="n"/>
      <c r="AY68" s="57" t="n"/>
      <c r="AZ68" s="57" t="n"/>
      <c r="BA68" s="57" t="n"/>
      <c r="BB68" s="67">
        <f>SUM(AX68:BA68)</f>
        <v/>
      </c>
      <c r="BC68" s="61" t="n"/>
      <c r="BD68" s="57" t="n"/>
      <c r="BE68" s="66">
        <f>AU68</f>
        <v/>
      </c>
      <c r="BF68" s="59" t="n"/>
      <c r="BG68" s="57" t="n"/>
      <c r="BH68" s="57" t="n"/>
      <c r="BI68" s="57" t="n"/>
      <c r="BJ68" s="57" t="n"/>
      <c r="BK68" s="67">
        <f>SUM(BG68:BJ68)</f>
        <v/>
      </c>
      <c r="BL68" s="61" t="n"/>
      <c r="BM68" s="57" t="n"/>
      <c r="BN68" s="66">
        <f>BD68</f>
        <v/>
      </c>
      <c r="BO68" s="59" t="n"/>
      <c r="BP68" s="57" t="n"/>
      <c r="BQ68" s="57" t="n"/>
      <c r="BR68" s="57" t="n"/>
      <c r="BS68" s="57" t="n"/>
      <c r="BT68" s="67">
        <f>SUM(BP68:BS68)</f>
        <v/>
      </c>
      <c r="BU68" s="61" t="n"/>
      <c r="BV68" s="57" t="n"/>
      <c r="BW68" s="66">
        <f>BM68</f>
        <v/>
      </c>
      <c r="BX68" s="59" t="n"/>
      <c r="BY68" s="57" t="n"/>
      <c r="BZ68" s="57" t="n"/>
      <c r="CA68" s="57" t="n"/>
      <c r="CB68" s="57" t="n"/>
      <c r="CC68" s="67">
        <f>SUM(BY68:CB68)</f>
        <v/>
      </c>
      <c r="CD68" s="61" t="n"/>
      <c r="CE68" s="57" t="n"/>
      <c r="CF68" s="66">
        <f>BV68</f>
        <v/>
      </c>
      <c r="CG68" s="59" t="n"/>
      <c r="CH68" s="57" t="n"/>
      <c r="CI68" s="57" t="n"/>
      <c r="CJ68" s="57" t="n"/>
      <c r="CK68" s="57" t="n"/>
      <c r="CL68" s="67">
        <f>SUM(CH68:CK68)</f>
        <v/>
      </c>
      <c r="CM68" s="61" t="n"/>
      <c r="CN68" s="57" t="n"/>
      <c r="CO68" s="66">
        <f>CE68</f>
        <v/>
      </c>
      <c r="CP68" s="59" t="n"/>
      <c r="CQ68" s="57" t="n"/>
      <c r="CR68" s="57" t="n"/>
      <c r="CS68" s="57" t="n"/>
      <c r="CT68" s="57" t="n"/>
      <c r="CU68" s="67">
        <f>SUM(CQ68:CT68)</f>
        <v/>
      </c>
      <c r="CV68" s="61" t="n"/>
      <c r="CW68" s="57" t="n"/>
      <c r="CX68" s="66">
        <f>CN68</f>
        <v/>
      </c>
      <c r="CY68" s="59" t="n"/>
      <c r="CZ68" s="57" t="n"/>
      <c r="DA68" s="57" t="n"/>
      <c r="DB68" s="57" t="n"/>
      <c r="DC68" s="57" t="n"/>
      <c r="DD68" s="67">
        <f>SUM(CZ68:DC68)</f>
        <v/>
      </c>
      <c r="DE68" s="61" t="n"/>
      <c r="DF68" s="57" t="n"/>
      <c r="DG68" s="66">
        <f>CW68</f>
        <v/>
      </c>
      <c r="DH68" s="59" t="n"/>
      <c r="DI68" s="57" t="n"/>
      <c r="DJ68" s="57" t="n"/>
      <c r="DK68" s="57" t="n"/>
      <c r="DL68" s="57" t="n"/>
      <c r="DM68" s="67">
        <f>SUM(DI68:DL68)</f>
        <v/>
      </c>
      <c r="DN68" s="61" t="n"/>
      <c r="DO68" s="57" t="n"/>
      <c r="DP68" s="66">
        <f>DF68</f>
        <v/>
      </c>
      <c r="DQ68" s="59" t="n"/>
      <c r="DR68" s="57" t="n"/>
      <c r="DS68" s="57" t="n"/>
      <c r="DT68" s="57" t="n"/>
      <c r="DU68" s="57" t="n"/>
      <c r="DV68" s="67">
        <f>SUM(DR68:DU68)</f>
        <v/>
      </c>
      <c r="DW68" s="61" t="n"/>
      <c r="DX68" s="57" t="n"/>
      <c r="DY68" s="66">
        <f>DO68</f>
        <v/>
      </c>
      <c r="DZ68" s="59" t="n"/>
      <c r="EA68" s="57" t="n"/>
      <c r="EB68" s="57" t="n"/>
      <c r="EC68" s="57" t="n"/>
      <c r="ED68" s="57" t="n"/>
      <c r="EE68" s="67">
        <f>SUM(EA68:ED68)</f>
        <v/>
      </c>
      <c r="EF68" s="61" t="n"/>
      <c r="EG68" s="57" t="n"/>
      <c r="EH68" s="66">
        <f>DX68</f>
        <v/>
      </c>
      <c r="EI68" s="59" t="n"/>
      <c r="EJ68" s="57" t="n"/>
      <c r="EK68" s="57" t="n"/>
      <c r="EL68" s="57" t="n"/>
      <c r="EM68" s="57" t="n"/>
      <c r="EN68" s="67">
        <f>SUM(EJ68:EM68)</f>
        <v/>
      </c>
      <c r="EO68" s="61" t="n"/>
      <c r="EP68" s="57" t="n"/>
      <c r="EQ68" s="66">
        <f>EG68</f>
        <v/>
      </c>
      <c r="ER68" s="59" t="n"/>
      <c r="ES68" s="57" t="n"/>
      <c r="ET68" s="57" t="n"/>
      <c r="EU68" s="57" t="n"/>
      <c r="EV68" s="57" t="n"/>
      <c r="EW68" s="67">
        <f>SUM(ES68:EV68)</f>
        <v/>
      </c>
      <c r="EX68" s="61" t="n"/>
      <c r="EY68" s="57" t="n"/>
      <c r="EZ68" s="66">
        <f>EP68</f>
        <v/>
      </c>
      <c r="FA68" s="59" t="n"/>
      <c r="FB68" s="57" t="n"/>
      <c r="FC68" s="57" t="n"/>
      <c r="FD68" s="57" t="n"/>
      <c r="FE68" s="57" t="n"/>
      <c r="FF68" s="67">
        <f>SUM(FB68:FE68)</f>
        <v/>
      </c>
      <c r="FG68" s="61" t="n"/>
      <c r="FH68" s="57" t="n"/>
      <c r="FI68" s="66">
        <f>EY68</f>
        <v/>
      </c>
      <c r="FJ68" s="59" t="n"/>
      <c r="FK68" s="57" t="n"/>
      <c r="FL68" s="57" t="n"/>
      <c r="FM68" s="57" t="n"/>
      <c r="FN68" s="57" t="n"/>
      <c r="FO68" s="67">
        <f>SUM(FK68:FN68)</f>
        <v/>
      </c>
      <c r="FP68" s="61" t="n"/>
      <c r="FQ68" s="57" t="n"/>
      <c r="FR68" s="66">
        <f>FH68</f>
        <v/>
      </c>
      <c r="FS68" s="59" t="n"/>
      <c r="FT68" s="57" t="n"/>
      <c r="FU68" s="57" t="n"/>
      <c r="FV68" s="57" t="n"/>
      <c r="FW68" s="57" t="n"/>
      <c r="FX68" s="67">
        <f>SUM(FT68:FW68)</f>
        <v/>
      </c>
      <c r="FY68" s="61" t="n"/>
      <c r="FZ68" s="57" t="n"/>
      <c r="GA68" s="66">
        <f>FQ68</f>
        <v/>
      </c>
      <c r="GB68" s="59" t="n"/>
      <c r="GC68" s="57" t="n"/>
      <c r="GD68" s="57" t="n"/>
      <c r="GE68" s="57" t="n"/>
      <c r="GF68" s="57" t="n"/>
      <c r="GG68" s="67">
        <f>SUM(GC68:GF68)</f>
        <v/>
      </c>
      <c r="GH68" s="61" t="n"/>
      <c r="GI68" s="57" t="n"/>
      <c r="GJ68" s="66">
        <f>FZ68</f>
        <v/>
      </c>
      <c r="GK68" s="59" t="n"/>
      <c r="GL68" s="57" t="n"/>
      <c r="GM68" s="57" t="n"/>
      <c r="GN68" s="57" t="n"/>
      <c r="GO68" s="57" t="n"/>
      <c r="GP68" s="67">
        <f>SUM(GL68:GO68)</f>
        <v/>
      </c>
      <c r="GQ68" s="61" t="n"/>
      <c r="GR68" s="57" t="n"/>
      <c r="GS68" s="66">
        <f>GI68</f>
        <v/>
      </c>
      <c r="GT68" s="59" t="n"/>
      <c r="GU68" s="57" t="n"/>
      <c r="GV68" s="57" t="n"/>
      <c r="GW68" s="57" t="n"/>
      <c r="GX68" s="57" t="n"/>
      <c r="GY68" s="67">
        <f>SUM(GU68:GX68)</f>
        <v/>
      </c>
      <c r="GZ68" s="61" t="n"/>
      <c r="HA68" s="57" t="n"/>
      <c r="HB68" s="66">
        <f>GR68</f>
        <v/>
      </c>
      <c r="HC68" s="59" t="n"/>
      <c r="HD68" s="57" t="n"/>
      <c r="HE68" s="57" t="n"/>
      <c r="HF68" s="57" t="n"/>
      <c r="HG68" s="57" t="n"/>
      <c r="HH68" s="67">
        <f>SUM(HD68:HG68)</f>
        <v/>
      </c>
      <c r="HI68" s="61" t="n"/>
      <c r="HJ68" s="57" t="n"/>
      <c r="HK68" s="66">
        <f>HA68</f>
        <v/>
      </c>
      <c r="HL68" s="59" t="n"/>
      <c r="HM68" s="57" t="n"/>
      <c r="HN68" s="57" t="n"/>
      <c r="HO68" s="57" t="n"/>
      <c r="HP68" s="57" t="n"/>
      <c r="HQ68" s="67">
        <f>SUM(HM68:HP68)</f>
        <v/>
      </c>
      <c r="HR68" s="61" t="n"/>
      <c r="HS68" s="57" t="n"/>
      <c r="HT68" s="66">
        <f>HJ68</f>
        <v/>
      </c>
      <c r="HU68" s="59" t="n"/>
      <c r="HV68" s="57" t="n"/>
      <c r="HW68" s="57" t="n"/>
      <c r="HX68" s="57" t="n"/>
      <c r="HY68" s="57" t="n"/>
      <c r="HZ68" s="67">
        <f>SUM(HV68:HY68)</f>
        <v/>
      </c>
      <c r="IA68" s="61" t="n"/>
      <c r="IB68" s="57" t="n"/>
      <c r="IC68" s="66">
        <f>HS68</f>
        <v/>
      </c>
      <c r="ID68" s="59" t="n"/>
      <c r="IE68" s="57" t="n"/>
      <c r="IF68" s="57" t="n"/>
      <c r="IG68" s="57" t="n"/>
      <c r="IH68" s="57" t="n"/>
      <c r="II68" s="67">
        <f>SUM(IE68:IH68)</f>
        <v/>
      </c>
      <c r="IJ68" s="61" t="n"/>
      <c r="IK68" s="57" t="n"/>
      <c r="IL68" s="66">
        <f>IB68</f>
        <v/>
      </c>
      <c r="IM68" s="59" t="n"/>
      <c r="IN68" s="57" t="n"/>
      <c r="IO68" s="57" t="n"/>
      <c r="IP68" s="57" t="n"/>
      <c r="IQ68" s="57" t="n"/>
      <c r="IR68" s="67">
        <f>SUM(IN68:IQ68)</f>
        <v/>
      </c>
      <c r="IS68" s="61" t="n"/>
      <c r="IT68" s="57" t="n"/>
      <c r="IU68" s="66">
        <f>IK68</f>
        <v/>
      </c>
      <c r="IV68" s="59" t="n"/>
      <c r="IW68" s="57" t="n"/>
      <c r="IX68" s="57" t="n"/>
      <c r="IY68" s="57" t="n"/>
      <c r="IZ68" s="57" t="n"/>
      <c r="JA68" s="67">
        <f>SUM(IW68:IZ68)</f>
        <v/>
      </c>
      <c r="JB68" s="61" t="n"/>
      <c r="JC68" s="57" t="n"/>
      <c r="JD68" s="66">
        <f>IT68</f>
        <v/>
      </c>
      <c r="JE68" s="59" t="n"/>
      <c r="JF68" s="57" t="n"/>
      <c r="JG68" s="57" t="n"/>
      <c r="JH68" s="57" t="n"/>
      <c r="JI68" s="57" t="n"/>
      <c r="JJ68" s="67">
        <f>SUM(JF68:JI68)</f>
        <v/>
      </c>
      <c r="JK68" s="61" t="n"/>
      <c r="JL68" s="57" t="n"/>
      <c r="JM68" s="66">
        <f>JC68</f>
        <v/>
      </c>
      <c r="JN68" s="59" t="n"/>
      <c r="JO68" s="57" t="n"/>
      <c r="JP68" s="57" t="n"/>
      <c r="JQ68" s="57" t="n"/>
      <c r="JR68" s="57" t="n"/>
      <c r="JS68" s="67">
        <f>SUM(JO68:JR68)</f>
        <v/>
      </c>
      <c r="JT68" s="61" t="n"/>
      <c r="JU68" s="62">
        <f>I68+R68+AA68+AJ68+AS68+BB68+BK68+BT68+CC68+CL68+CU68+DD68+DM68+DV68+EE68+EN68+EW68+FF68+FO68+FX68+GG68+GP68+GY68+HH68+HQ68+HZ68+II68+IR68+JA68+JJ68+JS68</f>
        <v/>
      </c>
      <c r="JV68" s="63">
        <f>D68+M68+V68+AE68+AN68+AW68+BF68+BO68+BX68+CG68+CP68+CY68+DH68+DQ68+DZ68+EI68+ER68+FA68+FJ68+FS68+GB68+GK68+GT68+HC68+HL68+HU68+ID68+IM68+IV68+JE68+JN68</f>
        <v/>
      </c>
      <c r="JW68" s="62">
        <f>CHOOSE($Z$3,B68, K68, T68, AC68, AL68, AU68, BD68, BM68, BV68, CE68, CN68, CW68, DF68, DO68, DX68, EG68, EP68, EY68, FH68, FQ68, FZ68, GI68, GR68, HA68, HJ68, HS68, IB68, IK68, IT68, JC68, JL68)</f>
        <v/>
      </c>
      <c r="JX68" s="62">
        <f>IFERROR(JU68/$Z$3,0)</f>
        <v/>
      </c>
      <c r="JY68" s="62">
        <f>Configurações!$C$8</f>
        <v/>
      </c>
      <c r="JZ68" s="64">
        <f>IF(JY68=0,"— Sem meta",IF(JU68&gt;=JY68,"✓ Atingida","Em andamento"))</f>
        <v/>
      </c>
      <c r="KA68" s="65">
        <f>JU68+(12*0.0000001)</f>
        <v/>
      </c>
    </row>
    <row r="69" ht="20" customHeight="1">
      <c r="A69" s="56">
        <f>IF(Configurações!$B$9="","Assessor 3",Configurações!$B$9)</f>
        <v/>
      </c>
      <c r="B69" s="57" t="n"/>
      <c r="C69" s="58">
        <f>'Outubro'!$JW69</f>
        <v/>
      </c>
      <c r="D69" s="59" t="n"/>
      <c r="E69" s="57" t="n"/>
      <c r="F69" s="57" t="n"/>
      <c r="G69" s="57" t="n"/>
      <c r="H69" s="57" t="n"/>
      <c r="I69" s="60">
        <f>SUM(E69:H69)</f>
        <v/>
      </c>
      <c r="J69" s="61" t="n"/>
      <c r="K69" s="57" t="n"/>
      <c r="L69" s="58">
        <f>B69</f>
        <v/>
      </c>
      <c r="M69" s="59" t="n"/>
      <c r="N69" s="57" t="n"/>
      <c r="O69" s="57" t="n"/>
      <c r="P69" s="57" t="n"/>
      <c r="Q69" s="57" t="n"/>
      <c r="R69" s="60">
        <f>SUM(N69:Q69)</f>
        <v/>
      </c>
      <c r="S69" s="61" t="n"/>
      <c r="T69" s="57" t="n"/>
      <c r="U69" s="58">
        <f>K69</f>
        <v/>
      </c>
      <c r="V69" s="59" t="n"/>
      <c r="W69" s="57" t="n"/>
      <c r="X69" s="57" t="n"/>
      <c r="Y69" s="57" t="n"/>
      <c r="Z69" s="57" t="n"/>
      <c r="AA69" s="60">
        <f>SUM(W69:Z69)</f>
        <v/>
      </c>
      <c r="AB69" s="61" t="n"/>
      <c r="AC69" s="57" t="n"/>
      <c r="AD69" s="58">
        <f>T69</f>
        <v/>
      </c>
      <c r="AE69" s="59" t="n"/>
      <c r="AF69" s="57" t="n"/>
      <c r="AG69" s="57" t="n"/>
      <c r="AH69" s="57" t="n"/>
      <c r="AI69" s="57" t="n"/>
      <c r="AJ69" s="60">
        <f>SUM(AF69:AI69)</f>
        <v/>
      </c>
      <c r="AK69" s="61" t="n"/>
      <c r="AL69" s="57" t="n"/>
      <c r="AM69" s="58">
        <f>AC69</f>
        <v/>
      </c>
      <c r="AN69" s="59" t="n"/>
      <c r="AO69" s="57" t="n"/>
      <c r="AP69" s="57" t="n"/>
      <c r="AQ69" s="57" t="n"/>
      <c r="AR69" s="57" t="n"/>
      <c r="AS69" s="60">
        <f>SUM(AO69:AR69)</f>
        <v/>
      </c>
      <c r="AT69" s="61" t="n"/>
      <c r="AU69" s="57" t="n"/>
      <c r="AV69" s="58">
        <f>AL69</f>
        <v/>
      </c>
      <c r="AW69" s="59" t="n"/>
      <c r="AX69" s="57" t="n"/>
      <c r="AY69" s="57" t="n"/>
      <c r="AZ69" s="57" t="n"/>
      <c r="BA69" s="57" t="n"/>
      <c r="BB69" s="60">
        <f>SUM(AX69:BA69)</f>
        <v/>
      </c>
      <c r="BC69" s="61" t="n"/>
      <c r="BD69" s="57" t="n"/>
      <c r="BE69" s="58">
        <f>AU69</f>
        <v/>
      </c>
      <c r="BF69" s="59" t="n"/>
      <c r="BG69" s="57" t="n"/>
      <c r="BH69" s="57" t="n"/>
      <c r="BI69" s="57" t="n"/>
      <c r="BJ69" s="57" t="n"/>
      <c r="BK69" s="60">
        <f>SUM(BG69:BJ69)</f>
        <v/>
      </c>
      <c r="BL69" s="61" t="n"/>
      <c r="BM69" s="57" t="n"/>
      <c r="BN69" s="58">
        <f>BD69</f>
        <v/>
      </c>
      <c r="BO69" s="59" t="n"/>
      <c r="BP69" s="57" t="n"/>
      <c r="BQ69" s="57" t="n"/>
      <c r="BR69" s="57" t="n"/>
      <c r="BS69" s="57" t="n"/>
      <c r="BT69" s="60">
        <f>SUM(BP69:BS69)</f>
        <v/>
      </c>
      <c r="BU69" s="61" t="n"/>
      <c r="BV69" s="57" t="n"/>
      <c r="BW69" s="58">
        <f>BM69</f>
        <v/>
      </c>
      <c r="BX69" s="59" t="n"/>
      <c r="BY69" s="57" t="n"/>
      <c r="BZ69" s="57" t="n"/>
      <c r="CA69" s="57" t="n"/>
      <c r="CB69" s="57" t="n"/>
      <c r="CC69" s="60">
        <f>SUM(BY69:CB69)</f>
        <v/>
      </c>
      <c r="CD69" s="61" t="n"/>
      <c r="CE69" s="57" t="n"/>
      <c r="CF69" s="58">
        <f>BV69</f>
        <v/>
      </c>
      <c r="CG69" s="59" t="n"/>
      <c r="CH69" s="57" t="n"/>
      <c r="CI69" s="57" t="n"/>
      <c r="CJ69" s="57" t="n"/>
      <c r="CK69" s="57" t="n"/>
      <c r="CL69" s="60">
        <f>SUM(CH69:CK69)</f>
        <v/>
      </c>
      <c r="CM69" s="61" t="n"/>
      <c r="CN69" s="57" t="n"/>
      <c r="CO69" s="58">
        <f>CE69</f>
        <v/>
      </c>
      <c r="CP69" s="59" t="n"/>
      <c r="CQ69" s="57" t="n"/>
      <c r="CR69" s="57" t="n"/>
      <c r="CS69" s="57" t="n"/>
      <c r="CT69" s="57" t="n"/>
      <c r="CU69" s="60">
        <f>SUM(CQ69:CT69)</f>
        <v/>
      </c>
      <c r="CV69" s="61" t="n"/>
      <c r="CW69" s="57" t="n"/>
      <c r="CX69" s="58">
        <f>CN69</f>
        <v/>
      </c>
      <c r="CY69" s="59" t="n"/>
      <c r="CZ69" s="57" t="n"/>
      <c r="DA69" s="57" t="n"/>
      <c r="DB69" s="57" t="n"/>
      <c r="DC69" s="57" t="n"/>
      <c r="DD69" s="60">
        <f>SUM(CZ69:DC69)</f>
        <v/>
      </c>
      <c r="DE69" s="61" t="n"/>
      <c r="DF69" s="57" t="n"/>
      <c r="DG69" s="58">
        <f>CW69</f>
        <v/>
      </c>
      <c r="DH69" s="59" t="n"/>
      <c r="DI69" s="57" t="n"/>
      <c r="DJ69" s="57" t="n"/>
      <c r="DK69" s="57" t="n"/>
      <c r="DL69" s="57" t="n"/>
      <c r="DM69" s="60">
        <f>SUM(DI69:DL69)</f>
        <v/>
      </c>
      <c r="DN69" s="61" t="n"/>
      <c r="DO69" s="57" t="n"/>
      <c r="DP69" s="58">
        <f>DF69</f>
        <v/>
      </c>
      <c r="DQ69" s="59" t="n"/>
      <c r="DR69" s="57" t="n"/>
      <c r="DS69" s="57" t="n"/>
      <c r="DT69" s="57" t="n"/>
      <c r="DU69" s="57" t="n"/>
      <c r="DV69" s="60">
        <f>SUM(DR69:DU69)</f>
        <v/>
      </c>
      <c r="DW69" s="61" t="n"/>
      <c r="DX69" s="57" t="n"/>
      <c r="DY69" s="58">
        <f>DO69</f>
        <v/>
      </c>
      <c r="DZ69" s="59" t="n"/>
      <c r="EA69" s="57" t="n"/>
      <c r="EB69" s="57" t="n"/>
      <c r="EC69" s="57" t="n"/>
      <c r="ED69" s="57" t="n"/>
      <c r="EE69" s="60">
        <f>SUM(EA69:ED69)</f>
        <v/>
      </c>
      <c r="EF69" s="61" t="n"/>
      <c r="EG69" s="57" t="n"/>
      <c r="EH69" s="58">
        <f>DX69</f>
        <v/>
      </c>
      <c r="EI69" s="59" t="n"/>
      <c r="EJ69" s="57" t="n"/>
      <c r="EK69" s="57" t="n"/>
      <c r="EL69" s="57" t="n"/>
      <c r="EM69" s="57" t="n"/>
      <c r="EN69" s="60">
        <f>SUM(EJ69:EM69)</f>
        <v/>
      </c>
      <c r="EO69" s="61" t="n"/>
      <c r="EP69" s="57" t="n"/>
      <c r="EQ69" s="58">
        <f>EG69</f>
        <v/>
      </c>
      <c r="ER69" s="59" t="n"/>
      <c r="ES69" s="57" t="n"/>
      <c r="ET69" s="57" t="n"/>
      <c r="EU69" s="57" t="n"/>
      <c r="EV69" s="57" t="n"/>
      <c r="EW69" s="60">
        <f>SUM(ES69:EV69)</f>
        <v/>
      </c>
      <c r="EX69" s="61" t="n"/>
      <c r="EY69" s="57" t="n"/>
      <c r="EZ69" s="58">
        <f>EP69</f>
        <v/>
      </c>
      <c r="FA69" s="59" t="n"/>
      <c r="FB69" s="57" t="n"/>
      <c r="FC69" s="57" t="n"/>
      <c r="FD69" s="57" t="n"/>
      <c r="FE69" s="57" t="n"/>
      <c r="FF69" s="60">
        <f>SUM(FB69:FE69)</f>
        <v/>
      </c>
      <c r="FG69" s="61" t="n"/>
      <c r="FH69" s="57" t="n"/>
      <c r="FI69" s="58">
        <f>EY69</f>
        <v/>
      </c>
      <c r="FJ69" s="59" t="n"/>
      <c r="FK69" s="57" t="n"/>
      <c r="FL69" s="57" t="n"/>
      <c r="FM69" s="57" t="n"/>
      <c r="FN69" s="57" t="n"/>
      <c r="FO69" s="60">
        <f>SUM(FK69:FN69)</f>
        <v/>
      </c>
      <c r="FP69" s="61" t="n"/>
      <c r="FQ69" s="57" t="n"/>
      <c r="FR69" s="58">
        <f>FH69</f>
        <v/>
      </c>
      <c r="FS69" s="59" t="n"/>
      <c r="FT69" s="57" t="n"/>
      <c r="FU69" s="57" t="n"/>
      <c r="FV69" s="57" t="n"/>
      <c r="FW69" s="57" t="n"/>
      <c r="FX69" s="60">
        <f>SUM(FT69:FW69)</f>
        <v/>
      </c>
      <c r="FY69" s="61" t="n"/>
      <c r="FZ69" s="57" t="n"/>
      <c r="GA69" s="58">
        <f>FQ69</f>
        <v/>
      </c>
      <c r="GB69" s="59" t="n"/>
      <c r="GC69" s="57" t="n"/>
      <c r="GD69" s="57" t="n"/>
      <c r="GE69" s="57" t="n"/>
      <c r="GF69" s="57" t="n"/>
      <c r="GG69" s="60">
        <f>SUM(GC69:GF69)</f>
        <v/>
      </c>
      <c r="GH69" s="61" t="n"/>
      <c r="GI69" s="57" t="n"/>
      <c r="GJ69" s="58">
        <f>FZ69</f>
        <v/>
      </c>
      <c r="GK69" s="59" t="n"/>
      <c r="GL69" s="57" t="n"/>
      <c r="GM69" s="57" t="n"/>
      <c r="GN69" s="57" t="n"/>
      <c r="GO69" s="57" t="n"/>
      <c r="GP69" s="60">
        <f>SUM(GL69:GO69)</f>
        <v/>
      </c>
      <c r="GQ69" s="61" t="n"/>
      <c r="GR69" s="57" t="n"/>
      <c r="GS69" s="58">
        <f>GI69</f>
        <v/>
      </c>
      <c r="GT69" s="59" t="n"/>
      <c r="GU69" s="57" t="n"/>
      <c r="GV69" s="57" t="n"/>
      <c r="GW69" s="57" t="n"/>
      <c r="GX69" s="57" t="n"/>
      <c r="GY69" s="60">
        <f>SUM(GU69:GX69)</f>
        <v/>
      </c>
      <c r="GZ69" s="61" t="n"/>
      <c r="HA69" s="57" t="n"/>
      <c r="HB69" s="58">
        <f>GR69</f>
        <v/>
      </c>
      <c r="HC69" s="59" t="n"/>
      <c r="HD69" s="57" t="n"/>
      <c r="HE69" s="57" t="n"/>
      <c r="HF69" s="57" t="n"/>
      <c r="HG69" s="57" t="n"/>
      <c r="HH69" s="60">
        <f>SUM(HD69:HG69)</f>
        <v/>
      </c>
      <c r="HI69" s="61" t="n"/>
      <c r="HJ69" s="57" t="n"/>
      <c r="HK69" s="58">
        <f>HA69</f>
        <v/>
      </c>
      <c r="HL69" s="59" t="n"/>
      <c r="HM69" s="57" t="n"/>
      <c r="HN69" s="57" t="n"/>
      <c r="HO69" s="57" t="n"/>
      <c r="HP69" s="57" t="n"/>
      <c r="HQ69" s="60">
        <f>SUM(HM69:HP69)</f>
        <v/>
      </c>
      <c r="HR69" s="61" t="n"/>
      <c r="HS69" s="57" t="n"/>
      <c r="HT69" s="58">
        <f>HJ69</f>
        <v/>
      </c>
      <c r="HU69" s="59" t="n"/>
      <c r="HV69" s="57" t="n"/>
      <c r="HW69" s="57" t="n"/>
      <c r="HX69" s="57" t="n"/>
      <c r="HY69" s="57" t="n"/>
      <c r="HZ69" s="60">
        <f>SUM(HV69:HY69)</f>
        <v/>
      </c>
      <c r="IA69" s="61" t="n"/>
      <c r="IB69" s="57" t="n"/>
      <c r="IC69" s="58">
        <f>HS69</f>
        <v/>
      </c>
      <c r="ID69" s="59" t="n"/>
      <c r="IE69" s="57" t="n"/>
      <c r="IF69" s="57" t="n"/>
      <c r="IG69" s="57" t="n"/>
      <c r="IH69" s="57" t="n"/>
      <c r="II69" s="60">
        <f>SUM(IE69:IH69)</f>
        <v/>
      </c>
      <c r="IJ69" s="61" t="n"/>
      <c r="IK69" s="57" t="n"/>
      <c r="IL69" s="58">
        <f>IB69</f>
        <v/>
      </c>
      <c r="IM69" s="59" t="n"/>
      <c r="IN69" s="57" t="n"/>
      <c r="IO69" s="57" t="n"/>
      <c r="IP69" s="57" t="n"/>
      <c r="IQ69" s="57" t="n"/>
      <c r="IR69" s="60">
        <f>SUM(IN69:IQ69)</f>
        <v/>
      </c>
      <c r="IS69" s="61" t="n"/>
      <c r="IT69" s="57" t="n"/>
      <c r="IU69" s="58">
        <f>IK69</f>
        <v/>
      </c>
      <c r="IV69" s="59" t="n"/>
      <c r="IW69" s="57" t="n"/>
      <c r="IX69" s="57" t="n"/>
      <c r="IY69" s="57" t="n"/>
      <c r="IZ69" s="57" t="n"/>
      <c r="JA69" s="60">
        <f>SUM(IW69:IZ69)</f>
        <v/>
      </c>
      <c r="JB69" s="61" t="n"/>
      <c r="JC69" s="57" t="n"/>
      <c r="JD69" s="58">
        <f>IT69</f>
        <v/>
      </c>
      <c r="JE69" s="59" t="n"/>
      <c r="JF69" s="57" t="n"/>
      <c r="JG69" s="57" t="n"/>
      <c r="JH69" s="57" t="n"/>
      <c r="JI69" s="57" t="n"/>
      <c r="JJ69" s="60">
        <f>SUM(JF69:JI69)</f>
        <v/>
      </c>
      <c r="JK69" s="61" t="n"/>
      <c r="JL69" s="57" t="n"/>
      <c r="JM69" s="58">
        <f>JC69</f>
        <v/>
      </c>
      <c r="JN69" s="59" t="n"/>
      <c r="JO69" s="57" t="n"/>
      <c r="JP69" s="57" t="n"/>
      <c r="JQ69" s="57" t="n"/>
      <c r="JR69" s="57" t="n"/>
      <c r="JS69" s="60">
        <f>SUM(JO69:JR69)</f>
        <v/>
      </c>
      <c r="JT69" s="61" t="n"/>
      <c r="JU69" s="62">
        <f>I69+R69+AA69+AJ69+AS69+BB69+BK69+BT69+CC69+CL69+CU69+DD69+DM69+DV69+EE69+EN69+EW69+FF69+FO69+FX69+GG69+GP69+GY69+HH69+HQ69+HZ69+II69+IR69+JA69+JJ69+JS69</f>
        <v/>
      </c>
      <c r="JV69" s="63">
        <f>D69+M69+V69+AE69+AN69+AW69+BF69+BO69+BX69+CG69+CP69+CY69+DH69+DQ69+DZ69+EI69+ER69+FA69+FJ69+FS69+GB69+GK69+GT69+HC69+HL69+HU69+ID69+IM69+IV69+JE69+JN69</f>
        <v/>
      </c>
      <c r="JW69" s="62">
        <f>CHOOSE($Z$3,B69, K69, T69, AC69, AL69, AU69, BD69, BM69, BV69, CE69, CN69, CW69, DF69, DO69, DX69, EG69, EP69, EY69, FH69, FQ69, FZ69, GI69, GR69, HA69, HJ69, HS69, IB69, IK69, IT69, JC69, JL69)</f>
        <v/>
      </c>
      <c r="JX69" s="62">
        <f>IFERROR(JU69/$Z$3,0)</f>
        <v/>
      </c>
      <c r="JY69" s="62">
        <f>Configurações!$C$9</f>
        <v/>
      </c>
      <c r="JZ69" s="64">
        <f>IF(JY69=0,"— Sem meta",IF(JU69&gt;=JY69,"✓ Atingida","Em andamento"))</f>
        <v/>
      </c>
      <c r="KA69" s="65">
        <f>JU69+(11*0.0000001)</f>
        <v/>
      </c>
    </row>
    <row r="70" ht="20" customHeight="1">
      <c r="A70" s="56">
        <f>IF(Configurações!$B$10="","Assessor 4",Configurações!$B$10)</f>
        <v/>
      </c>
      <c r="B70" s="57" t="n"/>
      <c r="C70" s="66">
        <f>'Outubro'!$JW70</f>
        <v/>
      </c>
      <c r="D70" s="59" t="n"/>
      <c r="E70" s="57" t="n"/>
      <c r="F70" s="57" t="n"/>
      <c r="G70" s="57" t="n"/>
      <c r="H70" s="57" t="n"/>
      <c r="I70" s="67">
        <f>SUM(E70:H70)</f>
        <v/>
      </c>
      <c r="J70" s="61" t="n"/>
      <c r="K70" s="57" t="n"/>
      <c r="L70" s="66">
        <f>B70</f>
        <v/>
      </c>
      <c r="M70" s="59" t="n"/>
      <c r="N70" s="57" t="n"/>
      <c r="O70" s="57" t="n"/>
      <c r="P70" s="57" t="n"/>
      <c r="Q70" s="57" t="n"/>
      <c r="R70" s="67">
        <f>SUM(N70:Q70)</f>
        <v/>
      </c>
      <c r="S70" s="61" t="n"/>
      <c r="T70" s="57" t="n"/>
      <c r="U70" s="66">
        <f>K70</f>
        <v/>
      </c>
      <c r="V70" s="59" t="n"/>
      <c r="W70" s="57" t="n"/>
      <c r="X70" s="57" t="n"/>
      <c r="Y70" s="57" t="n"/>
      <c r="Z70" s="57" t="n"/>
      <c r="AA70" s="67">
        <f>SUM(W70:Z70)</f>
        <v/>
      </c>
      <c r="AB70" s="61" t="n"/>
      <c r="AC70" s="57" t="n"/>
      <c r="AD70" s="66">
        <f>T70</f>
        <v/>
      </c>
      <c r="AE70" s="59" t="n"/>
      <c r="AF70" s="57" t="n"/>
      <c r="AG70" s="57" t="n"/>
      <c r="AH70" s="57" t="n"/>
      <c r="AI70" s="57" t="n"/>
      <c r="AJ70" s="67">
        <f>SUM(AF70:AI70)</f>
        <v/>
      </c>
      <c r="AK70" s="61" t="n"/>
      <c r="AL70" s="57" t="n"/>
      <c r="AM70" s="66">
        <f>AC70</f>
        <v/>
      </c>
      <c r="AN70" s="59" t="n"/>
      <c r="AO70" s="57" t="n"/>
      <c r="AP70" s="57" t="n"/>
      <c r="AQ70" s="57" t="n"/>
      <c r="AR70" s="57" t="n"/>
      <c r="AS70" s="67">
        <f>SUM(AO70:AR70)</f>
        <v/>
      </c>
      <c r="AT70" s="61" t="n"/>
      <c r="AU70" s="57" t="n"/>
      <c r="AV70" s="66">
        <f>AL70</f>
        <v/>
      </c>
      <c r="AW70" s="59" t="n"/>
      <c r="AX70" s="57" t="n"/>
      <c r="AY70" s="57" t="n"/>
      <c r="AZ70" s="57" t="n"/>
      <c r="BA70" s="57" t="n"/>
      <c r="BB70" s="67">
        <f>SUM(AX70:BA70)</f>
        <v/>
      </c>
      <c r="BC70" s="61" t="n"/>
      <c r="BD70" s="57" t="n"/>
      <c r="BE70" s="66">
        <f>AU70</f>
        <v/>
      </c>
      <c r="BF70" s="59" t="n"/>
      <c r="BG70" s="57" t="n"/>
      <c r="BH70" s="57" t="n"/>
      <c r="BI70" s="57" t="n"/>
      <c r="BJ70" s="57" t="n"/>
      <c r="BK70" s="67">
        <f>SUM(BG70:BJ70)</f>
        <v/>
      </c>
      <c r="BL70" s="61" t="n"/>
      <c r="BM70" s="57" t="n"/>
      <c r="BN70" s="66">
        <f>BD70</f>
        <v/>
      </c>
      <c r="BO70" s="59" t="n"/>
      <c r="BP70" s="57" t="n"/>
      <c r="BQ70" s="57" t="n"/>
      <c r="BR70" s="57" t="n"/>
      <c r="BS70" s="57" t="n"/>
      <c r="BT70" s="67">
        <f>SUM(BP70:BS70)</f>
        <v/>
      </c>
      <c r="BU70" s="61" t="n"/>
      <c r="BV70" s="57" t="n"/>
      <c r="BW70" s="66">
        <f>BM70</f>
        <v/>
      </c>
      <c r="BX70" s="59" t="n"/>
      <c r="BY70" s="57" t="n"/>
      <c r="BZ70" s="57" t="n"/>
      <c r="CA70" s="57" t="n"/>
      <c r="CB70" s="57" t="n"/>
      <c r="CC70" s="67">
        <f>SUM(BY70:CB70)</f>
        <v/>
      </c>
      <c r="CD70" s="61" t="n"/>
      <c r="CE70" s="57" t="n"/>
      <c r="CF70" s="66">
        <f>BV70</f>
        <v/>
      </c>
      <c r="CG70" s="59" t="n"/>
      <c r="CH70" s="57" t="n"/>
      <c r="CI70" s="57" t="n"/>
      <c r="CJ70" s="57" t="n"/>
      <c r="CK70" s="57" t="n"/>
      <c r="CL70" s="67">
        <f>SUM(CH70:CK70)</f>
        <v/>
      </c>
      <c r="CM70" s="61" t="n"/>
      <c r="CN70" s="57" t="n"/>
      <c r="CO70" s="66">
        <f>CE70</f>
        <v/>
      </c>
      <c r="CP70" s="59" t="n"/>
      <c r="CQ70" s="57" t="n"/>
      <c r="CR70" s="57" t="n"/>
      <c r="CS70" s="57" t="n"/>
      <c r="CT70" s="57" t="n"/>
      <c r="CU70" s="67">
        <f>SUM(CQ70:CT70)</f>
        <v/>
      </c>
      <c r="CV70" s="61" t="n"/>
      <c r="CW70" s="57" t="n"/>
      <c r="CX70" s="66">
        <f>CN70</f>
        <v/>
      </c>
      <c r="CY70" s="59" t="n"/>
      <c r="CZ70" s="57" t="n"/>
      <c r="DA70" s="57" t="n"/>
      <c r="DB70" s="57" t="n"/>
      <c r="DC70" s="57" t="n"/>
      <c r="DD70" s="67">
        <f>SUM(CZ70:DC70)</f>
        <v/>
      </c>
      <c r="DE70" s="61" t="n"/>
      <c r="DF70" s="57" t="n"/>
      <c r="DG70" s="66">
        <f>CW70</f>
        <v/>
      </c>
      <c r="DH70" s="59" t="n"/>
      <c r="DI70" s="57" t="n"/>
      <c r="DJ70" s="57" t="n"/>
      <c r="DK70" s="57" t="n"/>
      <c r="DL70" s="57" t="n"/>
      <c r="DM70" s="67">
        <f>SUM(DI70:DL70)</f>
        <v/>
      </c>
      <c r="DN70" s="61" t="n"/>
      <c r="DO70" s="57" t="n"/>
      <c r="DP70" s="66">
        <f>DF70</f>
        <v/>
      </c>
      <c r="DQ70" s="59" t="n"/>
      <c r="DR70" s="57" t="n"/>
      <c r="DS70" s="57" t="n"/>
      <c r="DT70" s="57" t="n"/>
      <c r="DU70" s="57" t="n"/>
      <c r="DV70" s="67">
        <f>SUM(DR70:DU70)</f>
        <v/>
      </c>
      <c r="DW70" s="61" t="n"/>
      <c r="DX70" s="57" t="n"/>
      <c r="DY70" s="66">
        <f>DO70</f>
        <v/>
      </c>
      <c r="DZ70" s="59" t="n"/>
      <c r="EA70" s="57" t="n"/>
      <c r="EB70" s="57" t="n"/>
      <c r="EC70" s="57" t="n"/>
      <c r="ED70" s="57" t="n"/>
      <c r="EE70" s="67">
        <f>SUM(EA70:ED70)</f>
        <v/>
      </c>
      <c r="EF70" s="61" t="n"/>
      <c r="EG70" s="57" t="n"/>
      <c r="EH70" s="66">
        <f>DX70</f>
        <v/>
      </c>
      <c r="EI70" s="59" t="n"/>
      <c r="EJ70" s="57" t="n"/>
      <c r="EK70" s="57" t="n"/>
      <c r="EL70" s="57" t="n"/>
      <c r="EM70" s="57" t="n"/>
      <c r="EN70" s="67">
        <f>SUM(EJ70:EM70)</f>
        <v/>
      </c>
      <c r="EO70" s="61" t="n"/>
      <c r="EP70" s="57" t="n"/>
      <c r="EQ70" s="66">
        <f>EG70</f>
        <v/>
      </c>
      <c r="ER70" s="59" t="n"/>
      <c r="ES70" s="57" t="n"/>
      <c r="ET70" s="57" t="n"/>
      <c r="EU70" s="57" t="n"/>
      <c r="EV70" s="57" t="n"/>
      <c r="EW70" s="67">
        <f>SUM(ES70:EV70)</f>
        <v/>
      </c>
      <c r="EX70" s="61" t="n"/>
      <c r="EY70" s="57" t="n"/>
      <c r="EZ70" s="66">
        <f>EP70</f>
        <v/>
      </c>
      <c r="FA70" s="59" t="n"/>
      <c r="FB70" s="57" t="n"/>
      <c r="FC70" s="57" t="n"/>
      <c r="FD70" s="57" t="n"/>
      <c r="FE70" s="57" t="n"/>
      <c r="FF70" s="67">
        <f>SUM(FB70:FE70)</f>
        <v/>
      </c>
      <c r="FG70" s="61" t="n"/>
      <c r="FH70" s="57" t="n"/>
      <c r="FI70" s="66">
        <f>EY70</f>
        <v/>
      </c>
      <c r="FJ70" s="59" t="n"/>
      <c r="FK70" s="57" t="n"/>
      <c r="FL70" s="57" t="n"/>
      <c r="FM70" s="57" t="n"/>
      <c r="FN70" s="57" t="n"/>
      <c r="FO70" s="67">
        <f>SUM(FK70:FN70)</f>
        <v/>
      </c>
      <c r="FP70" s="61" t="n"/>
      <c r="FQ70" s="57" t="n"/>
      <c r="FR70" s="66">
        <f>FH70</f>
        <v/>
      </c>
      <c r="FS70" s="59" t="n"/>
      <c r="FT70" s="57" t="n"/>
      <c r="FU70" s="57" t="n"/>
      <c r="FV70" s="57" t="n"/>
      <c r="FW70" s="57" t="n"/>
      <c r="FX70" s="67">
        <f>SUM(FT70:FW70)</f>
        <v/>
      </c>
      <c r="FY70" s="61" t="n"/>
      <c r="FZ70" s="57" t="n"/>
      <c r="GA70" s="66">
        <f>FQ70</f>
        <v/>
      </c>
      <c r="GB70" s="59" t="n"/>
      <c r="GC70" s="57" t="n"/>
      <c r="GD70" s="57" t="n"/>
      <c r="GE70" s="57" t="n"/>
      <c r="GF70" s="57" t="n"/>
      <c r="GG70" s="67">
        <f>SUM(GC70:GF70)</f>
        <v/>
      </c>
      <c r="GH70" s="61" t="n"/>
      <c r="GI70" s="57" t="n"/>
      <c r="GJ70" s="66">
        <f>FZ70</f>
        <v/>
      </c>
      <c r="GK70" s="59" t="n"/>
      <c r="GL70" s="57" t="n"/>
      <c r="GM70" s="57" t="n"/>
      <c r="GN70" s="57" t="n"/>
      <c r="GO70" s="57" t="n"/>
      <c r="GP70" s="67">
        <f>SUM(GL70:GO70)</f>
        <v/>
      </c>
      <c r="GQ70" s="61" t="n"/>
      <c r="GR70" s="57" t="n"/>
      <c r="GS70" s="66">
        <f>GI70</f>
        <v/>
      </c>
      <c r="GT70" s="59" t="n"/>
      <c r="GU70" s="57" t="n"/>
      <c r="GV70" s="57" t="n"/>
      <c r="GW70" s="57" t="n"/>
      <c r="GX70" s="57" t="n"/>
      <c r="GY70" s="67">
        <f>SUM(GU70:GX70)</f>
        <v/>
      </c>
      <c r="GZ70" s="61" t="n"/>
      <c r="HA70" s="57" t="n"/>
      <c r="HB70" s="66">
        <f>GR70</f>
        <v/>
      </c>
      <c r="HC70" s="59" t="n"/>
      <c r="HD70" s="57" t="n"/>
      <c r="HE70" s="57" t="n"/>
      <c r="HF70" s="57" t="n"/>
      <c r="HG70" s="57" t="n"/>
      <c r="HH70" s="67">
        <f>SUM(HD70:HG70)</f>
        <v/>
      </c>
      <c r="HI70" s="61" t="n"/>
      <c r="HJ70" s="57" t="n"/>
      <c r="HK70" s="66">
        <f>HA70</f>
        <v/>
      </c>
      <c r="HL70" s="59" t="n"/>
      <c r="HM70" s="57" t="n"/>
      <c r="HN70" s="57" t="n"/>
      <c r="HO70" s="57" t="n"/>
      <c r="HP70" s="57" t="n"/>
      <c r="HQ70" s="67">
        <f>SUM(HM70:HP70)</f>
        <v/>
      </c>
      <c r="HR70" s="61" t="n"/>
      <c r="HS70" s="57" t="n"/>
      <c r="HT70" s="66">
        <f>HJ70</f>
        <v/>
      </c>
      <c r="HU70" s="59" t="n"/>
      <c r="HV70" s="57" t="n"/>
      <c r="HW70" s="57" t="n"/>
      <c r="HX70" s="57" t="n"/>
      <c r="HY70" s="57" t="n"/>
      <c r="HZ70" s="67">
        <f>SUM(HV70:HY70)</f>
        <v/>
      </c>
      <c r="IA70" s="61" t="n"/>
      <c r="IB70" s="57" t="n"/>
      <c r="IC70" s="66">
        <f>HS70</f>
        <v/>
      </c>
      <c r="ID70" s="59" t="n"/>
      <c r="IE70" s="57" t="n"/>
      <c r="IF70" s="57" t="n"/>
      <c r="IG70" s="57" t="n"/>
      <c r="IH70" s="57" t="n"/>
      <c r="II70" s="67">
        <f>SUM(IE70:IH70)</f>
        <v/>
      </c>
      <c r="IJ70" s="61" t="n"/>
      <c r="IK70" s="57" t="n"/>
      <c r="IL70" s="66">
        <f>IB70</f>
        <v/>
      </c>
      <c r="IM70" s="59" t="n"/>
      <c r="IN70" s="57" t="n"/>
      <c r="IO70" s="57" t="n"/>
      <c r="IP70" s="57" t="n"/>
      <c r="IQ70" s="57" t="n"/>
      <c r="IR70" s="67">
        <f>SUM(IN70:IQ70)</f>
        <v/>
      </c>
      <c r="IS70" s="61" t="n"/>
      <c r="IT70" s="57" t="n"/>
      <c r="IU70" s="66">
        <f>IK70</f>
        <v/>
      </c>
      <c r="IV70" s="59" t="n"/>
      <c r="IW70" s="57" t="n"/>
      <c r="IX70" s="57" t="n"/>
      <c r="IY70" s="57" t="n"/>
      <c r="IZ70" s="57" t="n"/>
      <c r="JA70" s="67">
        <f>SUM(IW70:IZ70)</f>
        <v/>
      </c>
      <c r="JB70" s="61" t="n"/>
      <c r="JC70" s="57" t="n"/>
      <c r="JD70" s="66">
        <f>IT70</f>
        <v/>
      </c>
      <c r="JE70" s="59" t="n"/>
      <c r="JF70" s="57" t="n"/>
      <c r="JG70" s="57" t="n"/>
      <c r="JH70" s="57" t="n"/>
      <c r="JI70" s="57" t="n"/>
      <c r="JJ70" s="67">
        <f>SUM(JF70:JI70)</f>
        <v/>
      </c>
      <c r="JK70" s="61" t="n"/>
      <c r="JL70" s="57" t="n"/>
      <c r="JM70" s="66">
        <f>JC70</f>
        <v/>
      </c>
      <c r="JN70" s="59" t="n"/>
      <c r="JO70" s="57" t="n"/>
      <c r="JP70" s="57" t="n"/>
      <c r="JQ70" s="57" t="n"/>
      <c r="JR70" s="57" t="n"/>
      <c r="JS70" s="67">
        <f>SUM(JO70:JR70)</f>
        <v/>
      </c>
      <c r="JT70" s="61" t="n"/>
      <c r="JU70" s="62">
        <f>I70+R70+AA70+AJ70+AS70+BB70+BK70+BT70+CC70+CL70+CU70+DD70+DM70+DV70+EE70+EN70+EW70+FF70+FO70+FX70+GG70+GP70+GY70+HH70+HQ70+HZ70+II70+IR70+JA70+JJ70+JS70</f>
        <v/>
      </c>
      <c r="JV70" s="63">
        <f>D70+M70+V70+AE70+AN70+AW70+BF70+BO70+BX70+CG70+CP70+CY70+DH70+DQ70+DZ70+EI70+ER70+FA70+FJ70+FS70+GB70+GK70+GT70+HC70+HL70+HU70+ID70+IM70+IV70+JE70+JN70</f>
        <v/>
      </c>
      <c r="JW70" s="62">
        <f>CHOOSE($Z$3,B70, K70, T70, AC70, AL70, AU70, BD70, BM70, BV70, CE70, CN70, CW70, DF70, DO70, DX70, EG70, EP70, EY70, FH70, FQ70, FZ70, GI70, GR70, HA70, HJ70, HS70, IB70, IK70, IT70, JC70, JL70)</f>
        <v/>
      </c>
      <c r="JX70" s="62">
        <f>IFERROR(JU70/$Z$3,0)</f>
        <v/>
      </c>
      <c r="JY70" s="62">
        <f>Configurações!$C$10</f>
        <v/>
      </c>
      <c r="JZ70" s="64">
        <f>IF(JY70=0,"— Sem meta",IF(JU70&gt;=JY70,"✓ Atingida","Em andamento"))</f>
        <v/>
      </c>
      <c r="KA70" s="65">
        <f>JU70+(10*0.0000001)</f>
        <v/>
      </c>
    </row>
    <row r="71" ht="20" customHeight="1">
      <c r="A71" s="56">
        <f>IF(Configurações!$B$11="","Assessor 5",Configurações!$B$11)</f>
        <v/>
      </c>
      <c r="B71" s="57" t="n"/>
      <c r="C71" s="58">
        <f>'Outubro'!$JW71</f>
        <v/>
      </c>
      <c r="D71" s="59" t="n"/>
      <c r="E71" s="57" t="n"/>
      <c r="F71" s="57" t="n"/>
      <c r="G71" s="57" t="n"/>
      <c r="H71" s="57" t="n"/>
      <c r="I71" s="60">
        <f>SUM(E71:H71)</f>
        <v/>
      </c>
      <c r="J71" s="61" t="n"/>
      <c r="K71" s="57" t="n"/>
      <c r="L71" s="58">
        <f>B71</f>
        <v/>
      </c>
      <c r="M71" s="59" t="n"/>
      <c r="N71" s="57" t="n"/>
      <c r="O71" s="57" t="n"/>
      <c r="P71" s="57" t="n"/>
      <c r="Q71" s="57" t="n"/>
      <c r="R71" s="60">
        <f>SUM(N71:Q71)</f>
        <v/>
      </c>
      <c r="S71" s="61" t="n"/>
      <c r="T71" s="57" t="n"/>
      <c r="U71" s="58">
        <f>K71</f>
        <v/>
      </c>
      <c r="V71" s="59" t="n"/>
      <c r="W71" s="57" t="n"/>
      <c r="X71" s="57" t="n"/>
      <c r="Y71" s="57" t="n"/>
      <c r="Z71" s="57" t="n"/>
      <c r="AA71" s="60">
        <f>SUM(W71:Z71)</f>
        <v/>
      </c>
      <c r="AB71" s="61" t="n"/>
      <c r="AC71" s="57" t="n"/>
      <c r="AD71" s="58">
        <f>T71</f>
        <v/>
      </c>
      <c r="AE71" s="59" t="n"/>
      <c r="AF71" s="57" t="n"/>
      <c r="AG71" s="57" t="n"/>
      <c r="AH71" s="57" t="n"/>
      <c r="AI71" s="57" t="n"/>
      <c r="AJ71" s="60">
        <f>SUM(AF71:AI71)</f>
        <v/>
      </c>
      <c r="AK71" s="61" t="n"/>
      <c r="AL71" s="57" t="n"/>
      <c r="AM71" s="58">
        <f>AC71</f>
        <v/>
      </c>
      <c r="AN71" s="59" t="n"/>
      <c r="AO71" s="57" t="n"/>
      <c r="AP71" s="57" t="n"/>
      <c r="AQ71" s="57" t="n"/>
      <c r="AR71" s="57" t="n"/>
      <c r="AS71" s="60">
        <f>SUM(AO71:AR71)</f>
        <v/>
      </c>
      <c r="AT71" s="61" t="n"/>
      <c r="AU71" s="57" t="n"/>
      <c r="AV71" s="58">
        <f>AL71</f>
        <v/>
      </c>
      <c r="AW71" s="59" t="n"/>
      <c r="AX71" s="57" t="n"/>
      <c r="AY71" s="57" t="n"/>
      <c r="AZ71" s="57" t="n"/>
      <c r="BA71" s="57" t="n"/>
      <c r="BB71" s="60">
        <f>SUM(AX71:BA71)</f>
        <v/>
      </c>
      <c r="BC71" s="61" t="n"/>
      <c r="BD71" s="57" t="n"/>
      <c r="BE71" s="58">
        <f>AU71</f>
        <v/>
      </c>
      <c r="BF71" s="59" t="n"/>
      <c r="BG71" s="57" t="n"/>
      <c r="BH71" s="57" t="n"/>
      <c r="BI71" s="57" t="n"/>
      <c r="BJ71" s="57" t="n"/>
      <c r="BK71" s="60">
        <f>SUM(BG71:BJ71)</f>
        <v/>
      </c>
      <c r="BL71" s="61" t="n"/>
      <c r="BM71" s="57" t="n"/>
      <c r="BN71" s="58">
        <f>BD71</f>
        <v/>
      </c>
      <c r="BO71" s="59" t="n"/>
      <c r="BP71" s="57" t="n"/>
      <c r="BQ71" s="57" t="n"/>
      <c r="BR71" s="57" t="n"/>
      <c r="BS71" s="57" t="n"/>
      <c r="BT71" s="60">
        <f>SUM(BP71:BS71)</f>
        <v/>
      </c>
      <c r="BU71" s="61" t="n"/>
      <c r="BV71" s="57" t="n"/>
      <c r="BW71" s="58">
        <f>BM71</f>
        <v/>
      </c>
      <c r="BX71" s="59" t="n"/>
      <c r="BY71" s="57" t="n"/>
      <c r="BZ71" s="57" t="n"/>
      <c r="CA71" s="57" t="n"/>
      <c r="CB71" s="57" t="n"/>
      <c r="CC71" s="60">
        <f>SUM(BY71:CB71)</f>
        <v/>
      </c>
      <c r="CD71" s="61" t="n"/>
      <c r="CE71" s="57" t="n"/>
      <c r="CF71" s="58">
        <f>BV71</f>
        <v/>
      </c>
      <c r="CG71" s="59" t="n"/>
      <c r="CH71" s="57" t="n"/>
      <c r="CI71" s="57" t="n"/>
      <c r="CJ71" s="57" t="n"/>
      <c r="CK71" s="57" t="n"/>
      <c r="CL71" s="60">
        <f>SUM(CH71:CK71)</f>
        <v/>
      </c>
      <c r="CM71" s="61" t="n"/>
      <c r="CN71" s="57" t="n"/>
      <c r="CO71" s="58">
        <f>CE71</f>
        <v/>
      </c>
      <c r="CP71" s="59" t="n"/>
      <c r="CQ71" s="57" t="n"/>
      <c r="CR71" s="57" t="n"/>
      <c r="CS71" s="57" t="n"/>
      <c r="CT71" s="57" t="n"/>
      <c r="CU71" s="60">
        <f>SUM(CQ71:CT71)</f>
        <v/>
      </c>
      <c r="CV71" s="61" t="n"/>
      <c r="CW71" s="57" t="n"/>
      <c r="CX71" s="58">
        <f>CN71</f>
        <v/>
      </c>
      <c r="CY71" s="59" t="n"/>
      <c r="CZ71" s="57" t="n"/>
      <c r="DA71" s="57" t="n"/>
      <c r="DB71" s="57" t="n"/>
      <c r="DC71" s="57" t="n"/>
      <c r="DD71" s="60">
        <f>SUM(CZ71:DC71)</f>
        <v/>
      </c>
      <c r="DE71" s="61" t="n"/>
      <c r="DF71" s="57" t="n"/>
      <c r="DG71" s="58">
        <f>CW71</f>
        <v/>
      </c>
      <c r="DH71" s="59" t="n"/>
      <c r="DI71" s="57" t="n"/>
      <c r="DJ71" s="57" t="n"/>
      <c r="DK71" s="57" t="n"/>
      <c r="DL71" s="57" t="n"/>
      <c r="DM71" s="60">
        <f>SUM(DI71:DL71)</f>
        <v/>
      </c>
      <c r="DN71" s="61" t="n"/>
      <c r="DO71" s="57" t="n"/>
      <c r="DP71" s="58">
        <f>DF71</f>
        <v/>
      </c>
      <c r="DQ71" s="59" t="n"/>
      <c r="DR71" s="57" t="n"/>
      <c r="DS71" s="57" t="n"/>
      <c r="DT71" s="57" t="n"/>
      <c r="DU71" s="57" t="n"/>
      <c r="DV71" s="60">
        <f>SUM(DR71:DU71)</f>
        <v/>
      </c>
      <c r="DW71" s="61" t="n"/>
      <c r="DX71" s="57" t="n"/>
      <c r="DY71" s="58">
        <f>DO71</f>
        <v/>
      </c>
      <c r="DZ71" s="59" t="n"/>
      <c r="EA71" s="57" t="n"/>
      <c r="EB71" s="57" t="n"/>
      <c r="EC71" s="57" t="n"/>
      <c r="ED71" s="57" t="n"/>
      <c r="EE71" s="60">
        <f>SUM(EA71:ED71)</f>
        <v/>
      </c>
      <c r="EF71" s="61" t="n"/>
      <c r="EG71" s="57" t="n"/>
      <c r="EH71" s="58">
        <f>DX71</f>
        <v/>
      </c>
      <c r="EI71" s="59" t="n"/>
      <c r="EJ71" s="57" t="n"/>
      <c r="EK71" s="57" t="n"/>
      <c r="EL71" s="57" t="n"/>
      <c r="EM71" s="57" t="n"/>
      <c r="EN71" s="60">
        <f>SUM(EJ71:EM71)</f>
        <v/>
      </c>
      <c r="EO71" s="61" t="n"/>
      <c r="EP71" s="57" t="n"/>
      <c r="EQ71" s="58">
        <f>EG71</f>
        <v/>
      </c>
      <c r="ER71" s="59" t="n"/>
      <c r="ES71" s="57" t="n"/>
      <c r="ET71" s="57" t="n"/>
      <c r="EU71" s="57" t="n"/>
      <c r="EV71" s="57" t="n"/>
      <c r="EW71" s="60">
        <f>SUM(ES71:EV71)</f>
        <v/>
      </c>
      <c r="EX71" s="61" t="n"/>
      <c r="EY71" s="57" t="n"/>
      <c r="EZ71" s="58">
        <f>EP71</f>
        <v/>
      </c>
      <c r="FA71" s="59" t="n"/>
      <c r="FB71" s="57" t="n"/>
      <c r="FC71" s="57" t="n"/>
      <c r="FD71" s="57" t="n"/>
      <c r="FE71" s="57" t="n"/>
      <c r="FF71" s="60">
        <f>SUM(FB71:FE71)</f>
        <v/>
      </c>
      <c r="FG71" s="61" t="n"/>
      <c r="FH71" s="57" t="n"/>
      <c r="FI71" s="58">
        <f>EY71</f>
        <v/>
      </c>
      <c r="FJ71" s="59" t="n"/>
      <c r="FK71" s="57" t="n"/>
      <c r="FL71" s="57" t="n"/>
      <c r="FM71" s="57" t="n"/>
      <c r="FN71" s="57" t="n"/>
      <c r="FO71" s="60">
        <f>SUM(FK71:FN71)</f>
        <v/>
      </c>
      <c r="FP71" s="61" t="n"/>
      <c r="FQ71" s="57" t="n"/>
      <c r="FR71" s="58">
        <f>FH71</f>
        <v/>
      </c>
      <c r="FS71" s="59" t="n"/>
      <c r="FT71" s="57" t="n"/>
      <c r="FU71" s="57" t="n"/>
      <c r="FV71" s="57" t="n"/>
      <c r="FW71" s="57" t="n"/>
      <c r="FX71" s="60">
        <f>SUM(FT71:FW71)</f>
        <v/>
      </c>
      <c r="FY71" s="61" t="n"/>
      <c r="FZ71" s="57" t="n"/>
      <c r="GA71" s="58">
        <f>FQ71</f>
        <v/>
      </c>
      <c r="GB71" s="59" t="n"/>
      <c r="GC71" s="57" t="n"/>
      <c r="GD71" s="57" t="n"/>
      <c r="GE71" s="57" t="n"/>
      <c r="GF71" s="57" t="n"/>
      <c r="GG71" s="60">
        <f>SUM(GC71:GF71)</f>
        <v/>
      </c>
      <c r="GH71" s="61" t="n"/>
      <c r="GI71" s="57" t="n"/>
      <c r="GJ71" s="58">
        <f>FZ71</f>
        <v/>
      </c>
      <c r="GK71" s="59" t="n"/>
      <c r="GL71" s="57" t="n"/>
      <c r="GM71" s="57" t="n"/>
      <c r="GN71" s="57" t="n"/>
      <c r="GO71" s="57" t="n"/>
      <c r="GP71" s="60">
        <f>SUM(GL71:GO71)</f>
        <v/>
      </c>
      <c r="GQ71" s="61" t="n"/>
      <c r="GR71" s="57" t="n"/>
      <c r="GS71" s="58">
        <f>GI71</f>
        <v/>
      </c>
      <c r="GT71" s="59" t="n"/>
      <c r="GU71" s="57" t="n"/>
      <c r="GV71" s="57" t="n"/>
      <c r="GW71" s="57" t="n"/>
      <c r="GX71" s="57" t="n"/>
      <c r="GY71" s="60">
        <f>SUM(GU71:GX71)</f>
        <v/>
      </c>
      <c r="GZ71" s="61" t="n"/>
      <c r="HA71" s="57" t="n"/>
      <c r="HB71" s="58">
        <f>GR71</f>
        <v/>
      </c>
      <c r="HC71" s="59" t="n"/>
      <c r="HD71" s="57" t="n"/>
      <c r="HE71" s="57" t="n"/>
      <c r="HF71" s="57" t="n"/>
      <c r="HG71" s="57" t="n"/>
      <c r="HH71" s="60">
        <f>SUM(HD71:HG71)</f>
        <v/>
      </c>
      <c r="HI71" s="61" t="n"/>
      <c r="HJ71" s="57" t="n"/>
      <c r="HK71" s="58">
        <f>HA71</f>
        <v/>
      </c>
      <c r="HL71" s="59" t="n"/>
      <c r="HM71" s="57" t="n"/>
      <c r="HN71" s="57" t="n"/>
      <c r="HO71" s="57" t="n"/>
      <c r="HP71" s="57" t="n"/>
      <c r="HQ71" s="60">
        <f>SUM(HM71:HP71)</f>
        <v/>
      </c>
      <c r="HR71" s="61" t="n"/>
      <c r="HS71" s="57" t="n"/>
      <c r="HT71" s="58">
        <f>HJ71</f>
        <v/>
      </c>
      <c r="HU71" s="59" t="n"/>
      <c r="HV71" s="57" t="n"/>
      <c r="HW71" s="57" t="n"/>
      <c r="HX71" s="57" t="n"/>
      <c r="HY71" s="57" t="n"/>
      <c r="HZ71" s="60">
        <f>SUM(HV71:HY71)</f>
        <v/>
      </c>
      <c r="IA71" s="61" t="n"/>
      <c r="IB71" s="57" t="n"/>
      <c r="IC71" s="58">
        <f>HS71</f>
        <v/>
      </c>
      <c r="ID71" s="59" t="n"/>
      <c r="IE71" s="57" t="n"/>
      <c r="IF71" s="57" t="n"/>
      <c r="IG71" s="57" t="n"/>
      <c r="IH71" s="57" t="n"/>
      <c r="II71" s="60">
        <f>SUM(IE71:IH71)</f>
        <v/>
      </c>
      <c r="IJ71" s="61" t="n"/>
      <c r="IK71" s="57" t="n"/>
      <c r="IL71" s="58">
        <f>IB71</f>
        <v/>
      </c>
      <c r="IM71" s="59" t="n"/>
      <c r="IN71" s="57" t="n"/>
      <c r="IO71" s="57" t="n"/>
      <c r="IP71" s="57" t="n"/>
      <c r="IQ71" s="57" t="n"/>
      <c r="IR71" s="60">
        <f>SUM(IN71:IQ71)</f>
        <v/>
      </c>
      <c r="IS71" s="61" t="n"/>
      <c r="IT71" s="57" t="n"/>
      <c r="IU71" s="58">
        <f>IK71</f>
        <v/>
      </c>
      <c r="IV71" s="59" t="n"/>
      <c r="IW71" s="57" t="n"/>
      <c r="IX71" s="57" t="n"/>
      <c r="IY71" s="57" t="n"/>
      <c r="IZ71" s="57" t="n"/>
      <c r="JA71" s="60">
        <f>SUM(IW71:IZ71)</f>
        <v/>
      </c>
      <c r="JB71" s="61" t="n"/>
      <c r="JC71" s="57" t="n"/>
      <c r="JD71" s="58">
        <f>IT71</f>
        <v/>
      </c>
      <c r="JE71" s="59" t="n"/>
      <c r="JF71" s="57" t="n"/>
      <c r="JG71" s="57" t="n"/>
      <c r="JH71" s="57" t="n"/>
      <c r="JI71" s="57" t="n"/>
      <c r="JJ71" s="60">
        <f>SUM(JF71:JI71)</f>
        <v/>
      </c>
      <c r="JK71" s="61" t="n"/>
      <c r="JL71" s="57" t="n"/>
      <c r="JM71" s="58">
        <f>JC71</f>
        <v/>
      </c>
      <c r="JN71" s="59" t="n"/>
      <c r="JO71" s="57" t="n"/>
      <c r="JP71" s="57" t="n"/>
      <c r="JQ71" s="57" t="n"/>
      <c r="JR71" s="57" t="n"/>
      <c r="JS71" s="60">
        <f>SUM(JO71:JR71)</f>
        <v/>
      </c>
      <c r="JT71" s="61" t="n"/>
      <c r="JU71" s="62">
        <f>I71+R71+AA71+AJ71+AS71+BB71+BK71+BT71+CC71+CL71+CU71+DD71+DM71+DV71+EE71+EN71+EW71+FF71+FO71+FX71+GG71+GP71+GY71+HH71+HQ71+HZ71+II71+IR71+JA71+JJ71+JS71</f>
        <v/>
      </c>
      <c r="JV71" s="63">
        <f>D71+M71+V71+AE71+AN71+AW71+BF71+BO71+BX71+CG71+CP71+CY71+DH71+DQ71+DZ71+EI71+ER71+FA71+FJ71+FS71+GB71+GK71+GT71+HC71+HL71+HU71+ID71+IM71+IV71+JE71+JN71</f>
        <v/>
      </c>
      <c r="JW71" s="62">
        <f>CHOOSE($Z$3,B71, K71, T71, AC71, AL71, AU71, BD71, BM71, BV71, CE71, CN71, CW71, DF71, DO71, DX71, EG71, EP71, EY71, FH71, FQ71, FZ71, GI71, GR71, HA71, HJ71, HS71, IB71, IK71, IT71, JC71, JL71)</f>
        <v/>
      </c>
      <c r="JX71" s="62">
        <f>IFERROR(JU71/$Z$3,0)</f>
        <v/>
      </c>
      <c r="JY71" s="62">
        <f>Configurações!$C$11</f>
        <v/>
      </c>
      <c r="JZ71" s="64">
        <f>IF(JY71=0,"— Sem meta",IF(JU71&gt;=JY71,"✓ Atingida","Em andamento"))</f>
        <v/>
      </c>
      <c r="KA71" s="65">
        <f>JU71+(9*0.0000001)</f>
        <v/>
      </c>
    </row>
    <row r="72" ht="20" customHeight="1">
      <c r="A72" s="56">
        <f>IF(Configurações!$B$12="","Assessor 6",Configurações!$B$12)</f>
        <v/>
      </c>
      <c r="B72" s="57" t="n"/>
      <c r="C72" s="66">
        <f>'Outubro'!$JW72</f>
        <v/>
      </c>
      <c r="D72" s="59" t="n"/>
      <c r="E72" s="57" t="n"/>
      <c r="F72" s="57" t="n"/>
      <c r="G72" s="57" t="n"/>
      <c r="H72" s="57" t="n"/>
      <c r="I72" s="67">
        <f>SUM(E72:H72)</f>
        <v/>
      </c>
      <c r="J72" s="61" t="n"/>
      <c r="K72" s="57" t="n"/>
      <c r="L72" s="66">
        <f>B72</f>
        <v/>
      </c>
      <c r="M72" s="59" t="n"/>
      <c r="N72" s="57" t="n"/>
      <c r="O72" s="57" t="n"/>
      <c r="P72" s="57" t="n"/>
      <c r="Q72" s="57" t="n"/>
      <c r="R72" s="67">
        <f>SUM(N72:Q72)</f>
        <v/>
      </c>
      <c r="S72" s="61" t="n"/>
      <c r="T72" s="57" t="n"/>
      <c r="U72" s="66">
        <f>K72</f>
        <v/>
      </c>
      <c r="V72" s="59" t="n"/>
      <c r="W72" s="57" t="n"/>
      <c r="X72" s="57" t="n"/>
      <c r="Y72" s="57" t="n"/>
      <c r="Z72" s="57" t="n"/>
      <c r="AA72" s="67">
        <f>SUM(W72:Z72)</f>
        <v/>
      </c>
      <c r="AB72" s="61" t="n"/>
      <c r="AC72" s="57" t="n"/>
      <c r="AD72" s="66">
        <f>T72</f>
        <v/>
      </c>
      <c r="AE72" s="59" t="n"/>
      <c r="AF72" s="57" t="n"/>
      <c r="AG72" s="57" t="n"/>
      <c r="AH72" s="57" t="n"/>
      <c r="AI72" s="57" t="n"/>
      <c r="AJ72" s="67">
        <f>SUM(AF72:AI72)</f>
        <v/>
      </c>
      <c r="AK72" s="61" t="n"/>
      <c r="AL72" s="57" t="n"/>
      <c r="AM72" s="66">
        <f>AC72</f>
        <v/>
      </c>
      <c r="AN72" s="59" t="n"/>
      <c r="AO72" s="57" t="n"/>
      <c r="AP72" s="57" t="n"/>
      <c r="AQ72" s="57" t="n"/>
      <c r="AR72" s="57" t="n"/>
      <c r="AS72" s="67">
        <f>SUM(AO72:AR72)</f>
        <v/>
      </c>
      <c r="AT72" s="61" t="n"/>
      <c r="AU72" s="57" t="n"/>
      <c r="AV72" s="66">
        <f>AL72</f>
        <v/>
      </c>
      <c r="AW72" s="59" t="n"/>
      <c r="AX72" s="57" t="n"/>
      <c r="AY72" s="57" t="n"/>
      <c r="AZ72" s="57" t="n"/>
      <c r="BA72" s="57" t="n"/>
      <c r="BB72" s="67">
        <f>SUM(AX72:BA72)</f>
        <v/>
      </c>
      <c r="BC72" s="61" t="n"/>
      <c r="BD72" s="57" t="n"/>
      <c r="BE72" s="66">
        <f>AU72</f>
        <v/>
      </c>
      <c r="BF72" s="59" t="n"/>
      <c r="BG72" s="57" t="n"/>
      <c r="BH72" s="57" t="n"/>
      <c r="BI72" s="57" t="n"/>
      <c r="BJ72" s="57" t="n"/>
      <c r="BK72" s="67">
        <f>SUM(BG72:BJ72)</f>
        <v/>
      </c>
      <c r="BL72" s="61" t="n"/>
      <c r="BM72" s="57" t="n"/>
      <c r="BN72" s="66">
        <f>BD72</f>
        <v/>
      </c>
      <c r="BO72" s="59" t="n"/>
      <c r="BP72" s="57" t="n"/>
      <c r="BQ72" s="57" t="n"/>
      <c r="BR72" s="57" t="n"/>
      <c r="BS72" s="57" t="n"/>
      <c r="BT72" s="67">
        <f>SUM(BP72:BS72)</f>
        <v/>
      </c>
      <c r="BU72" s="61" t="n"/>
      <c r="BV72" s="57" t="n"/>
      <c r="BW72" s="66">
        <f>BM72</f>
        <v/>
      </c>
      <c r="BX72" s="59" t="n"/>
      <c r="BY72" s="57" t="n"/>
      <c r="BZ72" s="57" t="n"/>
      <c r="CA72" s="57" t="n"/>
      <c r="CB72" s="57" t="n"/>
      <c r="CC72" s="67">
        <f>SUM(BY72:CB72)</f>
        <v/>
      </c>
      <c r="CD72" s="61" t="n"/>
      <c r="CE72" s="57" t="n"/>
      <c r="CF72" s="66">
        <f>BV72</f>
        <v/>
      </c>
      <c r="CG72" s="59" t="n"/>
      <c r="CH72" s="57" t="n"/>
      <c r="CI72" s="57" t="n"/>
      <c r="CJ72" s="57" t="n"/>
      <c r="CK72" s="57" t="n"/>
      <c r="CL72" s="67">
        <f>SUM(CH72:CK72)</f>
        <v/>
      </c>
      <c r="CM72" s="61" t="n"/>
      <c r="CN72" s="57" t="n"/>
      <c r="CO72" s="66">
        <f>CE72</f>
        <v/>
      </c>
      <c r="CP72" s="59" t="n"/>
      <c r="CQ72" s="57" t="n"/>
      <c r="CR72" s="57" t="n"/>
      <c r="CS72" s="57" t="n"/>
      <c r="CT72" s="57" t="n"/>
      <c r="CU72" s="67">
        <f>SUM(CQ72:CT72)</f>
        <v/>
      </c>
      <c r="CV72" s="61" t="n"/>
      <c r="CW72" s="57" t="n"/>
      <c r="CX72" s="66">
        <f>CN72</f>
        <v/>
      </c>
      <c r="CY72" s="59" t="n"/>
      <c r="CZ72" s="57" t="n"/>
      <c r="DA72" s="57" t="n"/>
      <c r="DB72" s="57" t="n"/>
      <c r="DC72" s="57" t="n"/>
      <c r="DD72" s="67">
        <f>SUM(CZ72:DC72)</f>
        <v/>
      </c>
      <c r="DE72" s="61" t="n"/>
      <c r="DF72" s="57" t="n"/>
      <c r="DG72" s="66">
        <f>CW72</f>
        <v/>
      </c>
      <c r="DH72" s="59" t="n"/>
      <c r="DI72" s="57" t="n"/>
      <c r="DJ72" s="57" t="n"/>
      <c r="DK72" s="57" t="n"/>
      <c r="DL72" s="57" t="n"/>
      <c r="DM72" s="67">
        <f>SUM(DI72:DL72)</f>
        <v/>
      </c>
      <c r="DN72" s="61" t="n"/>
      <c r="DO72" s="57" t="n"/>
      <c r="DP72" s="66">
        <f>DF72</f>
        <v/>
      </c>
      <c r="DQ72" s="59" t="n"/>
      <c r="DR72" s="57" t="n"/>
      <c r="DS72" s="57" t="n"/>
      <c r="DT72" s="57" t="n"/>
      <c r="DU72" s="57" t="n"/>
      <c r="DV72" s="67">
        <f>SUM(DR72:DU72)</f>
        <v/>
      </c>
      <c r="DW72" s="61" t="n"/>
      <c r="DX72" s="57" t="n"/>
      <c r="DY72" s="66">
        <f>DO72</f>
        <v/>
      </c>
      <c r="DZ72" s="59" t="n"/>
      <c r="EA72" s="57" t="n"/>
      <c r="EB72" s="57" t="n"/>
      <c r="EC72" s="57" t="n"/>
      <c r="ED72" s="57" t="n"/>
      <c r="EE72" s="67">
        <f>SUM(EA72:ED72)</f>
        <v/>
      </c>
      <c r="EF72" s="61" t="n"/>
      <c r="EG72" s="57" t="n"/>
      <c r="EH72" s="66">
        <f>DX72</f>
        <v/>
      </c>
      <c r="EI72" s="59" t="n"/>
      <c r="EJ72" s="57" t="n"/>
      <c r="EK72" s="57" t="n"/>
      <c r="EL72" s="57" t="n"/>
      <c r="EM72" s="57" t="n"/>
      <c r="EN72" s="67">
        <f>SUM(EJ72:EM72)</f>
        <v/>
      </c>
      <c r="EO72" s="61" t="n"/>
      <c r="EP72" s="57" t="n"/>
      <c r="EQ72" s="66">
        <f>EG72</f>
        <v/>
      </c>
      <c r="ER72" s="59" t="n"/>
      <c r="ES72" s="57" t="n"/>
      <c r="ET72" s="57" t="n"/>
      <c r="EU72" s="57" t="n"/>
      <c r="EV72" s="57" t="n"/>
      <c r="EW72" s="67">
        <f>SUM(ES72:EV72)</f>
        <v/>
      </c>
      <c r="EX72" s="61" t="n"/>
      <c r="EY72" s="57" t="n"/>
      <c r="EZ72" s="66">
        <f>EP72</f>
        <v/>
      </c>
      <c r="FA72" s="59" t="n"/>
      <c r="FB72" s="57" t="n"/>
      <c r="FC72" s="57" t="n"/>
      <c r="FD72" s="57" t="n"/>
      <c r="FE72" s="57" t="n"/>
      <c r="FF72" s="67">
        <f>SUM(FB72:FE72)</f>
        <v/>
      </c>
      <c r="FG72" s="61" t="n"/>
      <c r="FH72" s="57" t="n"/>
      <c r="FI72" s="66">
        <f>EY72</f>
        <v/>
      </c>
      <c r="FJ72" s="59" t="n"/>
      <c r="FK72" s="57" t="n"/>
      <c r="FL72" s="57" t="n"/>
      <c r="FM72" s="57" t="n"/>
      <c r="FN72" s="57" t="n"/>
      <c r="FO72" s="67">
        <f>SUM(FK72:FN72)</f>
        <v/>
      </c>
      <c r="FP72" s="61" t="n"/>
      <c r="FQ72" s="57" t="n"/>
      <c r="FR72" s="66">
        <f>FH72</f>
        <v/>
      </c>
      <c r="FS72" s="59" t="n"/>
      <c r="FT72" s="57" t="n"/>
      <c r="FU72" s="57" t="n"/>
      <c r="FV72" s="57" t="n"/>
      <c r="FW72" s="57" t="n"/>
      <c r="FX72" s="67">
        <f>SUM(FT72:FW72)</f>
        <v/>
      </c>
      <c r="FY72" s="61" t="n"/>
      <c r="FZ72" s="57" t="n"/>
      <c r="GA72" s="66">
        <f>FQ72</f>
        <v/>
      </c>
      <c r="GB72" s="59" t="n"/>
      <c r="GC72" s="57" t="n"/>
      <c r="GD72" s="57" t="n"/>
      <c r="GE72" s="57" t="n"/>
      <c r="GF72" s="57" t="n"/>
      <c r="GG72" s="67">
        <f>SUM(GC72:GF72)</f>
        <v/>
      </c>
      <c r="GH72" s="61" t="n"/>
      <c r="GI72" s="57" t="n"/>
      <c r="GJ72" s="66">
        <f>FZ72</f>
        <v/>
      </c>
      <c r="GK72" s="59" t="n"/>
      <c r="GL72" s="57" t="n"/>
      <c r="GM72" s="57" t="n"/>
      <c r="GN72" s="57" t="n"/>
      <c r="GO72" s="57" t="n"/>
      <c r="GP72" s="67">
        <f>SUM(GL72:GO72)</f>
        <v/>
      </c>
      <c r="GQ72" s="61" t="n"/>
      <c r="GR72" s="57" t="n"/>
      <c r="GS72" s="66">
        <f>GI72</f>
        <v/>
      </c>
      <c r="GT72" s="59" t="n"/>
      <c r="GU72" s="57" t="n"/>
      <c r="GV72" s="57" t="n"/>
      <c r="GW72" s="57" t="n"/>
      <c r="GX72" s="57" t="n"/>
      <c r="GY72" s="67">
        <f>SUM(GU72:GX72)</f>
        <v/>
      </c>
      <c r="GZ72" s="61" t="n"/>
      <c r="HA72" s="57" t="n"/>
      <c r="HB72" s="66">
        <f>GR72</f>
        <v/>
      </c>
      <c r="HC72" s="59" t="n"/>
      <c r="HD72" s="57" t="n"/>
      <c r="HE72" s="57" t="n"/>
      <c r="HF72" s="57" t="n"/>
      <c r="HG72" s="57" t="n"/>
      <c r="HH72" s="67">
        <f>SUM(HD72:HG72)</f>
        <v/>
      </c>
      <c r="HI72" s="61" t="n"/>
      <c r="HJ72" s="57" t="n"/>
      <c r="HK72" s="66">
        <f>HA72</f>
        <v/>
      </c>
      <c r="HL72" s="59" t="n"/>
      <c r="HM72" s="57" t="n"/>
      <c r="HN72" s="57" t="n"/>
      <c r="HO72" s="57" t="n"/>
      <c r="HP72" s="57" t="n"/>
      <c r="HQ72" s="67">
        <f>SUM(HM72:HP72)</f>
        <v/>
      </c>
      <c r="HR72" s="61" t="n"/>
      <c r="HS72" s="57" t="n"/>
      <c r="HT72" s="66">
        <f>HJ72</f>
        <v/>
      </c>
      <c r="HU72" s="59" t="n"/>
      <c r="HV72" s="57" t="n"/>
      <c r="HW72" s="57" t="n"/>
      <c r="HX72" s="57" t="n"/>
      <c r="HY72" s="57" t="n"/>
      <c r="HZ72" s="67">
        <f>SUM(HV72:HY72)</f>
        <v/>
      </c>
      <c r="IA72" s="61" t="n"/>
      <c r="IB72" s="57" t="n"/>
      <c r="IC72" s="66">
        <f>HS72</f>
        <v/>
      </c>
      <c r="ID72" s="59" t="n"/>
      <c r="IE72" s="57" t="n"/>
      <c r="IF72" s="57" t="n"/>
      <c r="IG72" s="57" t="n"/>
      <c r="IH72" s="57" t="n"/>
      <c r="II72" s="67">
        <f>SUM(IE72:IH72)</f>
        <v/>
      </c>
      <c r="IJ72" s="61" t="n"/>
      <c r="IK72" s="57" t="n"/>
      <c r="IL72" s="66">
        <f>IB72</f>
        <v/>
      </c>
      <c r="IM72" s="59" t="n"/>
      <c r="IN72" s="57" t="n"/>
      <c r="IO72" s="57" t="n"/>
      <c r="IP72" s="57" t="n"/>
      <c r="IQ72" s="57" t="n"/>
      <c r="IR72" s="67">
        <f>SUM(IN72:IQ72)</f>
        <v/>
      </c>
      <c r="IS72" s="61" t="n"/>
      <c r="IT72" s="57" t="n"/>
      <c r="IU72" s="66">
        <f>IK72</f>
        <v/>
      </c>
      <c r="IV72" s="59" t="n"/>
      <c r="IW72" s="57" t="n"/>
      <c r="IX72" s="57" t="n"/>
      <c r="IY72" s="57" t="n"/>
      <c r="IZ72" s="57" t="n"/>
      <c r="JA72" s="67">
        <f>SUM(IW72:IZ72)</f>
        <v/>
      </c>
      <c r="JB72" s="61" t="n"/>
      <c r="JC72" s="57" t="n"/>
      <c r="JD72" s="66">
        <f>IT72</f>
        <v/>
      </c>
      <c r="JE72" s="59" t="n"/>
      <c r="JF72" s="57" t="n"/>
      <c r="JG72" s="57" t="n"/>
      <c r="JH72" s="57" t="n"/>
      <c r="JI72" s="57" t="n"/>
      <c r="JJ72" s="67">
        <f>SUM(JF72:JI72)</f>
        <v/>
      </c>
      <c r="JK72" s="61" t="n"/>
      <c r="JL72" s="57" t="n"/>
      <c r="JM72" s="66">
        <f>JC72</f>
        <v/>
      </c>
      <c r="JN72" s="59" t="n"/>
      <c r="JO72" s="57" t="n"/>
      <c r="JP72" s="57" t="n"/>
      <c r="JQ72" s="57" t="n"/>
      <c r="JR72" s="57" t="n"/>
      <c r="JS72" s="67">
        <f>SUM(JO72:JR72)</f>
        <v/>
      </c>
      <c r="JT72" s="61" t="n"/>
      <c r="JU72" s="62">
        <f>I72+R72+AA72+AJ72+AS72+BB72+BK72+BT72+CC72+CL72+CU72+DD72+DM72+DV72+EE72+EN72+EW72+FF72+FO72+FX72+GG72+GP72+GY72+HH72+HQ72+HZ72+II72+IR72+JA72+JJ72+JS72</f>
        <v/>
      </c>
      <c r="JV72" s="63">
        <f>D72+M72+V72+AE72+AN72+AW72+BF72+BO72+BX72+CG72+CP72+CY72+DH72+DQ72+DZ72+EI72+ER72+FA72+FJ72+FS72+GB72+GK72+GT72+HC72+HL72+HU72+ID72+IM72+IV72+JE72+JN72</f>
        <v/>
      </c>
      <c r="JW72" s="62">
        <f>CHOOSE($Z$3,B72, K72, T72, AC72, AL72, AU72, BD72, BM72, BV72, CE72, CN72, CW72, DF72, DO72, DX72, EG72, EP72, EY72, FH72, FQ72, FZ72, GI72, GR72, HA72, HJ72, HS72, IB72, IK72, IT72, JC72, JL72)</f>
        <v/>
      </c>
      <c r="JX72" s="62">
        <f>IFERROR(JU72/$Z$3,0)</f>
        <v/>
      </c>
      <c r="JY72" s="62">
        <f>Configurações!$C$12</f>
        <v/>
      </c>
      <c r="JZ72" s="64">
        <f>IF(JY72=0,"— Sem meta",IF(JU72&gt;=JY72,"✓ Atingida","Em andamento"))</f>
        <v/>
      </c>
      <c r="KA72" s="65">
        <f>JU72+(8*0.0000001)</f>
        <v/>
      </c>
    </row>
    <row r="73" ht="20" customHeight="1">
      <c r="A73" s="56">
        <f>IF(Configurações!$B$13="","Assessor 7",Configurações!$B$13)</f>
        <v/>
      </c>
      <c r="B73" s="57" t="n"/>
      <c r="C73" s="58">
        <f>'Outubro'!$JW73</f>
        <v/>
      </c>
      <c r="D73" s="59" t="n"/>
      <c r="E73" s="57" t="n"/>
      <c r="F73" s="57" t="n"/>
      <c r="G73" s="57" t="n"/>
      <c r="H73" s="57" t="n"/>
      <c r="I73" s="60">
        <f>SUM(E73:H73)</f>
        <v/>
      </c>
      <c r="J73" s="61" t="n"/>
      <c r="K73" s="57" t="n"/>
      <c r="L73" s="58">
        <f>B73</f>
        <v/>
      </c>
      <c r="M73" s="59" t="n"/>
      <c r="N73" s="57" t="n"/>
      <c r="O73" s="57" t="n"/>
      <c r="P73" s="57" t="n"/>
      <c r="Q73" s="57" t="n"/>
      <c r="R73" s="60">
        <f>SUM(N73:Q73)</f>
        <v/>
      </c>
      <c r="S73" s="61" t="n"/>
      <c r="T73" s="57" t="n"/>
      <c r="U73" s="58">
        <f>K73</f>
        <v/>
      </c>
      <c r="V73" s="59" t="n"/>
      <c r="W73" s="57" t="n"/>
      <c r="X73" s="57" t="n"/>
      <c r="Y73" s="57" t="n"/>
      <c r="Z73" s="57" t="n"/>
      <c r="AA73" s="60">
        <f>SUM(W73:Z73)</f>
        <v/>
      </c>
      <c r="AB73" s="61" t="n"/>
      <c r="AC73" s="57" t="n"/>
      <c r="AD73" s="58">
        <f>T73</f>
        <v/>
      </c>
      <c r="AE73" s="59" t="n"/>
      <c r="AF73" s="57" t="n"/>
      <c r="AG73" s="57" t="n"/>
      <c r="AH73" s="57" t="n"/>
      <c r="AI73" s="57" t="n"/>
      <c r="AJ73" s="60">
        <f>SUM(AF73:AI73)</f>
        <v/>
      </c>
      <c r="AK73" s="61" t="n"/>
      <c r="AL73" s="57" t="n"/>
      <c r="AM73" s="58">
        <f>AC73</f>
        <v/>
      </c>
      <c r="AN73" s="59" t="n"/>
      <c r="AO73" s="57" t="n"/>
      <c r="AP73" s="57" t="n"/>
      <c r="AQ73" s="57" t="n"/>
      <c r="AR73" s="57" t="n"/>
      <c r="AS73" s="60">
        <f>SUM(AO73:AR73)</f>
        <v/>
      </c>
      <c r="AT73" s="61" t="n"/>
      <c r="AU73" s="57" t="n"/>
      <c r="AV73" s="58">
        <f>AL73</f>
        <v/>
      </c>
      <c r="AW73" s="59" t="n"/>
      <c r="AX73" s="57" t="n"/>
      <c r="AY73" s="57" t="n"/>
      <c r="AZ73" s="57" t="n"/>
      <c r="BA73" s="57" t="n"/>
      <c r="BB73" s="60">
        <f>SUM(AX73:BA73)</f>
        <v/>
      </c>
      <c r="BC73" s="61" t="n"/>
      <c r="BD73" s="57" t="n"/>
      <c r="BE73" s="58">
        <f>AU73</f>
        <v/>
      </c>
      <c r="BF73" s="59" t="n"/>
      <c r="BG73" s="57" t="n"/>
      <c r="BH73" s="57" t="n"/>
      <c r="BI73" s="57" t="n"/>
      <c r="BJ73" s="57" t="n"/>
      <c r="BK73" s="60">
        <f>SUM(BG73:BJ73)</f>
        <v/>
      </c>
      <c r="BL73" s="61" t="n"/>
      <c r="BM73" s="57" t="n"/>
      <c r="BN73" s="58">
        <f>BD73</f>
        <v/>
      </c>
      <c r="BO73" s="59" t="n"/>
      <c r="BP73" s="57" t="n"/>
      <c r="BQ73" s="57" t="n"/>
      <c r="BR73" s="57" t="n"/>
      <c r="BS73" s="57" t="n"/>
      <c r="BT73" s="60">
        <f>SUM(BP73:BS73)</f>
        <v/>
      </c>
      <c r="BU73" s="61" t="n"/>
      <c r="BV73" s="57" t="n"/>
      <c r="BW73" s="58">
        <f>BM73</f>
        <v/>
      </c>
      <c r="BX73" s="59" t="n"/>
      <c r="BY73" s="57" t="n"/>
      <c r="BZ73" s="57" t="n"/>
      <c r="CA73" s="57" t="n"/>
      <c r="CB73" s="57" t="n"/>
      <c r="CC73" s="60">
        <f>SUM(BY73:CB73)</f>
        <v/>
      </c>
      <c r="CD73" s="61" t="n"/>
      <c r="CE73" s="57" t="n"/>
      <c r="CF73" s="58">
        <f>BV73</f>
        <v/>
      </c>
      <c r="CG73" s="59" t="n"/>
      <c r="CH73" s="57" t="n"/>
      <c r="CI73" s="57" t="n"/>
      <c r="CJ73" s="57" t="n"/>
      <c r="CK73" s="57" t="n"/>
      <c r="CL73" s="60">
        <f>SUM(CH73:CK73)</f>
        <v/>
      </c>
      <c r="CM73" s="61" t="n"/>
      <c r="CN73" s="57" t="n"/>
      <c r="CO73" s="58">
        <f>CE73</f>
        <v/>
      </c>
      <c r="CP73" s="59" t="n"/>
      <c r="CQ73" s="57" t="n"/>
      <c r="CR73" s="57" t="n"/>
      <c r="CS73" s="57" t="n"/>
      <c r="CT73" s="57" t="n"/>
      <c r="CU73" s="60">
        <f>SUM(CQ73:CT73)</f>
        <v/>
      </c>
      <c r="CV73" s="61" t="n"/>
      <c r="CW73" s="57" t="n"/>
      <c r="CX73" s="58">
        <f>CN73</f>
        <v/>
      </c>
      <c r="CY73" s="59" t="n"/>
      <c r="CZ73" s="57" t="n"/>
      <c r="DA73" s="57" t="n"/>
      <c r="DB73" s="57" t="n"/>
      <c r="DC73" s="57" t="n"/>
      <c r="DD73" s="60">
        <f>SUM(CZ73:DC73)</f>
        <v/>
      </c>
      <c r="DE73" s="61" t="n"/>
      <c r="DF73" s="57" t="n"/>
      <c r="DG73" s="58">
        <f>CW73</f>
        <v/>
      </c>
      <c r="DH73" s="59" t="n"/>
      <c r="DI73" s="57" t="n"/>
      <c r="DJ73" s="57" t="n"/>
      <c r="DK73" s="57" t="n"/>
      <c r="DL73" s="57" t="n"/>
      <c r="DM73" s="60">
        <f>SUM(DI73:DL73)</f>
        <v/>
      </c>
      <c r="DN73" s="61" t="n"/>
      <c r="DO73" s="57" t="n"/>
      <c r="DP73" s="58">
        <f>DF73</f>
        <v/>
      </c>
      <c r="DQ73" s="59" t="n"/>
      <c r="DR73" s="57" t="n"/>
      <c r="DS73" s="57" t="n"/>
      <c r="DT73" s="57" t="n"/>
      <c r="DU73" s="57" t="n"/>
      <c r="DV73" s="60">
        <f>SUM(DR73:DU73)</f>
        <v/>
      </c>
      <c r="DW73" s="61" t="n"/>
      <c r="DX73" s="57" t="n"/>
      <c r="DY73" s="58">
        <f>DO73</f>
        <v/>
      </c>
      <c r="DZ73" s="59" t="n"/>
      <c r="EA73" s="57" t="n"/>
      <c r="EB73" s="57" t="n"/>
      <c r="EC73" s="57" t="n"/>
      <c r="ED73" s="57" t="n"/>
      <c r="EE73" s="60">
        <f>SUM(EA73:ED73)</f>
        <v/>
      </c>
      <c r="EF73" s="61" t="n"/>
      <c r="EG73" s="57" t="n"/>
      <c r="EH73" s="58">
        <f>DX73</f>
        <v/>
      </c>
      <c r="EI73" s="59" t="n"/>
      <c r="EJ73" s="57" t="n"/>
      <c r="EK73" s="57" t="n"/>
      <c r="EL73" s="57" t="n"/>
      <c r="EM73" s="57" t="n"/>
      <c r="EN73" s="60">
        <f>SUM(EJ73:EM73)</f>
        <v/>
      </c>
      <c r="EO73" s="61" t="n"/>
      <c r="EP73" s="57" t="n"/>
      <c r="EQ73" s="58">
        <f>EG73</f>
        <v/>
      </c>
      <c r="ER73" s="59" t="n"/>
      <c r="ES73" s="57" t="n"/>
      <c r="ET73" s="57" t="n"/>
      <c r="EU73" s="57" t="n"/>
      <c r="EV73" s="57" t="n"/>
      <c r="EW73" s="60">
        <f>SUM(ES73:EV73)</f>
        <v/>
      </c>
      <c r="EX73" s="61" t="n"/>
      <c r="EY73" s="57" t="n"/>
      <c r="EZ73" s="58">
        <f>EP73</f>
        <v/>
      </c>
      <c r="FA73" s="59" t="n"/>
      <c r="FB73" s="57" t="n"/>
      <c r="FC73" s="57" t="n"/>
      <c r="FD73" s="57" t="n"/>
      <c r="FE73" s="57" t="n"/>
      <c r="FF73" s="60">
        <f>SUM(FB73:FE73)</f>
        <v/>
      </c>
      <c r="FG73" s="61" t="n"/>
      <c r="FH73" s="57" t="n"/>
      <c r="FI73" s="58">
        <f>EY73</f>
        <v/>
      </c>
      <c r="FJ73" s="59" t="n"/>
      <c r="FK73" s="57" t="n"/>
      <c r="FL73" s="57" t="n"/>
      <c r="FM73" s="57" t="n"/>
      <c r="FN73" s="57" t="n"/>
      <c r="FO73" s="60">
        <f>SUM(FK73:FN73)</f>
        <v/>
      </c>
      <c r="FP73" s="61" t="n"/>
      <c r="FQ73" s="57" t="n"/>
      <c r="FR73" s="58">
        <f>FH73</f>
        <v/>
      </c>
      <c r="FS73" s="59" t="n"/>
      <c r="FT73" s="57" t="n"/>
      <c r="FU73" s="57" t="n"/>
      <c r="FV73" s="57" t="n"/>
      <c r="FW73" s="57" t="n"/>
      <c r="FX73" s="60">
        <f>SUM(FT73:FW73)</f>
        <v/>
      </c>
      <c r="FY73" s="61" t="n"/>
      <c r="FZ73" s="57" t="n"/>
      <c r="GA73" s="58">
        <f>FQ73</f>
        <v/>
      </c>
      <c r="GB73" s="59" t="n"/>
      <c r="GC73" s="57" t="n"/>
      <c r="GD73" s="57" t="n"/>
      <c r="GE73" s="57" t="n"/>
      <c r="GF73" s="57" t="n"/>
      <c r="GG73" s="60">
        <f>SUM(GC73:GF73)</f>
        <v/>
      </c>
      <c r="GH73" s="61" t="n"/>
      <c r="GI73" s="57" t="n"/>
      <c r="GJ73" s="58">
        <f>FZ73</f>
        <v/>
      </c>
      <c r="GK73" s="59" t="n"/>
      <c r="GL73" s="57" t="n"/>
      <c r="GM73" s="57" t="n"/>
      <c r="GN73" s="57" t="n"/>
      <c r="GO73" s="57" t="n"/>
      <c r="GP73" s="60">
        <f>SUM(GL73:GO73)</f>
        <v/>
      </c>
      <c r="GQ73" s="61" t="n"/>
      <c r="GR73" s="57" t="n"/>
      <c r="GS73" s="58">
        <f>GI73</f>
        <v/>
      </c>
      <c r="GT73" s="59" t="n"/>
      <c r="GU73" s="57" t="n"/>
      <c r="GV73" s="57" t="n"/>
      <c r="GW73" s="57" t="n"/>
      <c r="GX73" s="57" t="n"/>
      <c r="GY73" s="60">
        <f>SUM(GU73:GX73)</f>
        <v/>
      </c>
      <c r="GZ73" s="61" t="n"/>
      <c r="HA73" s="57" t="n"/>
      <c r="HB73" s="58">
        <f>GR73</f>
        <v/>
      </c>
      <c r="HC73" s="59" t="n"/>
      <c r="HD73" s="57" t="n"/>
      <c r="HE73" s="57" t="n"/>
      <c r="HF73" s="57" t="n"/>
      <c r="HG73" s="57" t="n"/>
      <c r="HH73" s="60">
        <f>SUM(HD73:HG73)</f>
        <v/>
      </c>
      <c r="HI73" s="61" t="n"/>
      <c r="HJ73" s="57" t="n"/>
      <c r="HK73" s="58">
        <f>HA73</f>
        <v/>
      </c>
      <c r="HL73" s="59" t="n"/>
      <c r="HM73" s="57" t="n"/>
      <c r="HN73" s="57" t="n"/>
      <c r="HO73" s="57" t="n"/>
      <c r="HP73" s="57" t="n"/>
      <c r="HQ73" s="60">
        <f>SUM(HM73:HP73)</f>
        <v/>
      </c>
      <c r="HR73" s="61" t="n"/>
      <c r="HS73" s="57" t="n"/>
      <c r="HT73" s="58">
        <f>HJ73</f>
        <v/>
      </c>
      <c r="HU73" s="59" t="n"/>
      <c r="HV73" s="57" t="n"/>
      <c r="HW73" s="57" t="n"/>
      <c r="HX73" s="57" t="n"/>
      <c r="HY73" s="57" t="n"/>
      <c r="HZ73" s="60">
        <f>SUM(HV73:HY73)</f>
        <v/>
      </c>
      <c r="IA73" s="61" t="n"/>
      <c r="IB73" s="57" t="n"/>
      <c r="IC73" s="58">
        <f>HS73</f>
        <v/>
      </c>
      <c r="ID73" s="59" t="n"/>
      <c r="IE73" s="57" t="n"/>
      <c r="IF73" s="57" t="n"/>
      <c r="IG73" s="57" t="n"/>
      <c r="IH73" s="57" t="n"/>
      <c r="II73" s="60">
        <f>SUM(IE73:IH73)</f>
        <v/>
      </c>
      <c r="IJ73" s="61" t="n"/>
      <c r="IK73" s="57" t="n"/>
      <c r="IL73" s="58">
        <f>IB73</f>
        <v/>
      </c>
      <c r="IM73" s="59" t="n"/>
      <c r="IN73" s="57" t="n"/>
      <c r="IO73" s="57" t="n"/>
      <c r="IP73" s="57" t="n"/>
      <c r="IQ73" s="57" t="n"/>
      <c r="IR73" s="60">
        <f>SUM(IN73:IQ73)</f>
        <v/>
      </c>
      <c r="IS73" s="61" t="n"/>
      <c r="IT73" s="57" t="n"/>
      <c r="IU73" s="58">
        <f>IK73</f>
        <v/>
      </c>
      <c r="IV73" s="59" t="n"/>
      <c r="IW73" s="57" t="n"/>
      <c r="IX73" s="57" t="n"/>
      <c r="IY73" s="57" t="n"/>
      <c r="IZ73" s="57" t="n"/>
      <c r="JA73" s="60">
        <f>SUM(IW73:IZ73)</f>
        <v/>
      </c>
      <c r="JB73" s="61" t="n"/>
      <c r="JC73" s="57" t="n"/>
      <c r="JD73" s="58">
        <f>IT73</f>
        <v/>
      </c>
      <c r="JE73" s="59" t="n"/>
      <c r="JF73" s="57" t="n"/>
      <c r="JG73" s="57" t="n"/>
      <c r="JH73" s="57" t="n"/>
      <c r="JI73" s="57" t="n"/>
      <c r="JJ73" s="60">
        <f>SUM(JF73:JI73)</f>
        <v/>
      </c>
      <c r="JK73" s="61" t="n"/>
      <c r="JL73" s="57" t="n"/>
      <c r="JM73" s="58">
        <f>JC73</f>
        <v/>
      </c>
      <c r="JN73" s="59" t="n"/>
      <c r="JO73" s="57" t="n"/>
      <c r="JP73" s="57" t="n"/>
      <c r="JQ73" s="57" t="n"/>
      <c r="JR73" s="57" t="n"/>
      <c r="JS73" s="60">
        <f>SUM(JO73:JR73)</f>
        <v/>
      </c>
      <c r="JT73" s="61" t="n"/>
      <c r="JU73" s="62">
        <f>I73+R73+AA73+AJ73+AS73+BB73+BK73+BT73+CC73+CL73+CU73+DD73+DM73+DV73+EE73+EN73+EW73+FF73+FO73+FX73+GG73+GP73+GY73+HH73+HQ73+HZ73+II73+IR73+JA73+JJ73+JS73</f>
        <v/>
      </c>
      <c r="JV73" s="63">
        <f>D73+M73+V73+AE73+AN73+AW73+BF73+BO73+BX73+CG73+CP73+CY73+DH73+DQ73+DZ73+EI73+ER73+FA73+FJ73+FS73+GB73+GK73+GT73+HC73+HL73+HU73+ID73+IM73+IV73+JE73+JN73</f>
        <v/>
      </c>
      <c r="JW73" s="62">
        <f>CHOOSE($Z$3,B73, K73, T73, AC73, AL73, AU73, BD73, BM73, BV73, CE73, CN73, CW73, DF73, DO73, DX73, EG73, EP73, EY73, FH73, FQ73, FZ73, GI73, GR73, HA73, HJ73, HS73, IB73, IK73, IT73, JC73, JL73)</f>
        <v/>
      </c>
      <c r="JX73" s="62">
        <f>IFERROR(JU73/$Z$3,0)</f>
        <v/>
      </c>
      <c r="JY73" s="62">
        <f>Configurações!$C$13</f>
        <v/>
      </c>
      <c r="JZ73" s="64">
        <f>IF(JY73=0,"— Sem meta",IF(JU73&gt;=JY73,"✓ Atingida","Em andamento"))</f>
        <v/>
      </c>
      <c r="KA73" s="65">
        <f>JU73+(7*0.0000001)</f>
        <v/>
      </c>
    </row>
    <row r="74" ht="20" customHeight="1">
      <c r="A74" s="56">
        <f>IF(Configurações!$B$14="","Assessor 8",Configurações!$B$14)</f>
        <v/>
      </c>
      <c r="B74" s="57" t="n"/>
      <c r="C74" s="66">
        <f>'Outubro'!$JW74</f>
        <v/>
      </c>
      <c r="D74" s="59" t="n"/>
      <c r="E74" s="57" t="n"/>
      <c r="F74" s="57" t="n"/>
      <c r="G74" s="57" t="n"/>
      <c r="H74" s="57" t="n"/>
      <c r="I74" s="67">
        <f>SUM(E74:H74)</f>
        <v/>
      </c>
      <c r="J74" s="61" t="n"/>
      <c r="K74" s="57" t="n"/>
      <c r="L74" s="66">
        <f>B74</f>
        <v/>
      </c>
      <c r="M74" s="59" t="n"/>
      <c r="N74" s="57" t="n"/>
      <c r="O74" s="57" t="n"/>
      <c r="P74" s="57" t="n"/>
      <c r="Q74" s="57" t="n"/>
      <c r="R74" s="67">
        <f>SUM(N74:Q74)</f>
        <v/>
      </c>
      <c r="S74" s="61" t="n"/>
      <c r="T74" s="57" t="n"/>
      <c r="U74" s="66">
        <f>K74</f>
        <v/>
      </c>
      <c r="V74" s="59" t="n"/>
      <c r="W74" s="57" t="n"/>
      <c r="X74" s="57" t="n"/>
      <c r="Y74" s="57" t="n"/>
      <c r="Z74" s="57" t="n"/>
      <c r="AA74" s="67">
        <f>SUM(W74:Z74)</f>
        <v/>
      </c>
      <c r="AB74" s="61" t="n"/>
      <c r="AC74" s="57" t="n"/>
      <c r="AD74" s="66">
        <f>T74</f>
        <v/>
      </c>
      <c r="AE74" s="59" t="n"/>
      <c r="AF74" s="57" t="n"/>
      <c r="AG74" s="57" t="n"/>
      <c r="AH74" s="57" t="n"/>
      <c r="AI74" s="57" t="n"/>
      <c r="AJ74" s="67">
        <f>SUM(AF74:AI74)</f>
        <v/>
      </c>
      <c r="AK74" s="61" t="n"/>
      <c r="AL74" s="57" t="n"/>
      <c r="AM74" s="66">
        <f>AC74</f>
        <v/>
      </c>
      <c r="AN74" s="59" t="n"/>
      <c r="AO74" s="57" t="n"/>
      <c r="AP74" s="57" t="n"/>
      <c r="AQ74" s="57" t="n"/>
      <c r="AR74" s="57" t="n"/>
      <c r="AS74" s="67">
        <f>SUM(AO74:AR74)</f>
        <v/>
      </c>
      <c r="AT74" s="61" t="n"/>
      <c r="AU74" s="57" t="n"/>
      <c r="AV74" s="66">
        <f>AL74</f>
        <v/>
      </c>
      <c r="AW74" s="59" t="n"/>
      <c r="AX74" s="57" t="n"/>
      <c r="AY74" s="57" t="n"/>
      <c r="AZ74" s="57" t="n"/>
      <c r="BA74" s="57" t="n"/>
      <c r="BB74" s="67">
        <f>SUM(AX74:BA74)</f>
        <v/>
      </c>
      <c r="BC74" s="61" t="n"/>
      <c r="BD74" s="57" t="n"/>
      <c r="BE74" s="66">
        <f>AU74</f>
        <v/>
      </c>
      <c r="BF74" s="59" t="n"/>
      <c r="BG74" s="57" t="n"/>
      <c r="BH74" s="57" t="n"/>
      <c r="BI74" s="57" t="n"/>
      <c r="BJ74" s="57" t="n"/>
      <c r="BK74" s="67">
        <f>SUM(BG74:BJ74)</f>
        <v/>
      </c>
      <c r="BL74" s="61" t="n"/>
      <c r="BM74" s="57" t="n"/>
      <c r="BN74" s="66">
        <f>BD74</f>
        <v/>
      </c>
      <c r="BO74" s="59" t="n"/>
      <c r="BP74" s="57" t="n"/>
      <c r="BQ74" s="57" t="n"/>
      <c r="BR74" s="57" t="n"/>
      <c r="BS74" s="57" t="n"/>
      <c r="BT74" s="67">
        <f>SUM(BP74:BS74)</f>
        <v/>
      </c>
      <c r="BU74" s="61" t="n"/>
      <c r="BV74" s="57" t="n"/>
      <c r="BW74" s="66">
        <f>BM74</f>
        <v/>
      </c>
      <c r="BX74" s="59" t="n"/>
      <c r="BY74" s="57" t="n"/>
      <c r="BZ74" s="57" t="n"/>
      <c r="CA74" s="57" t="n"/>
      <c r="CB74" s="57" t="n"/>
      <c r="CC74" s="67">
        <f>SUM(BY74:CB74)</f>
        <v/>
      </c>
      <c r="CD74" s="61" t="n"/>
      <c r="CE74" s="57" t="n"/>
      <c r="CF74" s="66">
        <f>BV74</f>
        <v/>
      </c>
      <c r="CG74" s="59" t="n"/>
      <c r="CH74" s="57" t="n"/>
      <c r="CI74" s="57" t="n"/>
      <c r="CJ74" s="57" t="n"/>
      <c r="CK74" s="57" t="n"/>
      <c r="CL74" s="67">
        <f>SUM(CH74:CK74)</f>
        <v/>
      </c>
      <c r="CM74" s="61" t="n"/>
      <c r="CN74" s="57" t="n"/>
      <c r="CO74" s="66">
        <f>CE74</f>
        <v/>
      </c>
      <c r="CP74" s="59" t="n"/>
      <c r="CQ74" s="57" t="n"/>
      <c r="CR74" s="57" t="n"/>
      <c r="CS74" s="57" t="n"/>
      <c r="CT74" s="57" t="n"/>
      <c r="CU74" s="67">
        <f>SUM(CQ74:CT74)</f>
        <v/>
      </c>
      <c r="CV74" s="61" t="n"/>
      <c r="CW74" s="57" t="n"/>
      <c r="CX74" s="66">
        <f>CN74</f>
        <v/>
      </c>
      <c r="CY74" s="59" t="n"/>
      <c r="CZ74" s="57" t="n"/>
      <c r="DA74" s="57" t="n"/>
      <c r="DB74" s="57" t="n"/>
      <c r="DC74" s="57" t="n"/>
      <c r="DD74" s="67">
        <f>SUM(CZ74:DC74)</f>
        <v/>
      </c>
      <c r="DE74" s="61" t="n"/>
      <c r="DF74" s="57" t="n"/>
      <c r="DG74" s="66">
        <f>CW74</f>
        <v/>
      </c>
      <c r="DH74" s="59" t="n"/>
      <c r="DI74" s="57" t="n"/>
      <c r="DJ74" s="57" t="n"/>
      <c r="DK74" s="57" t="n"/>
      <c r="DL74" s="57" t="n"/>
      <c r="DM74" s="67">
        <f>SUM(DI74:DL74)</f>
        <v/>
      </c>
      <c r="DN74" s="61" t="n"/>
      <c r="DO74" s="57" t="n"/>
      <c r="DP74" s="66">
        <f>DF74</f>
        <v/>
      </c>
      <c r="DQ74" s="59" t="n"/>
      <c r="DR74" s="57" t="n"/>
      <c r="DS74" s="57" t="n"/>
      <c r="DT74" s="57" t="n"/>
      <c r="DU74" s="57" t="n"/>
      <c r="DV74" s="67">
        <f>SUM(DR74:DU74)</f>
        <v/>
      </c>
      <c r="DW74" s="61" t="n"/>
      <c r="DX74" s="57" t="n"/>
      <c r="DY74" s="66">
        <f>DO74</f>
        <v/>
      </c>
      <c r="DZ74" s="59" t="n"/>
      <c r="EA74" s="57" t="n"/>
      <c r="EB74" s="57" t="n"/>
      <c r="EC74" s="57" t="n"/>
      <c r="ED74" s="57" t="n"/>
      <c r="EE74" s="67">
        <f>SUM(EA74:ED74)</f>
        <v/>
      </c>
      <c r="EF74" s="61" t="n"/>
      <c r="EG74" s="57" t="n"/>
      <c r="EH74" s="66">
        <f>DX74</f>
        <v/>
      </c>
      <c r="EI74" s="59" t="n"/>
      <c r="EJ74" s="57" t="n"/>
      <c r="EK74" s="57" t="n"/>
      <c r="EL74" s="57" t="n"/>
      <c r="EM74" s="57" t="n"/>
      <c r="EN74" s="67">
        <f>SUM(EJ74:EM74)</f>
        <v/>
      </c>
      <c r="EO74" s="61" t="n"/>
      <c r="EP74" s="57" t="n"/>
      <c r="EQ74" s="66">
        <f>EG74</f>
        <v/>
      </c>
      <c r="ER74" s="59" t="n"/>
      <c r="ES74" s="57" t="n"/>
      <c r="ET74" s="57" t="n"/>
      <c r="EU74" s="57" t="n"/>
      <c r="EV74" s="57" t="n"/>
      <c r="EW74" s="67">
        <f>SUM(ES74:EV74)</f>
        <v/>
      </c>
      <c r="EX74" s="61" t="n"/>
      <c r="EY74" s="57" t="n"/>
      <c r="EZ74" s="66">
        <f>EP74</f>
        <v/>
      </c>
      <c r="FA74" s="59" t="n"/>
      <c r="FB74" s="57" t="n"/>
      <c r="FC74" s="57" t="n"/>
      <c r="FD74" s="57" t="n"/>
      <c r="FE74" s="57" t="n"/>
      <c r="FF74" s="67">
        <f>SUM(FB74:FE74)</f>
        <v/>
      </c>
      <c r="FG74" s="61" t="n"/>
      <c r="FH74" s="57" t="n"/>
      <c r="FI74" s="66">
        <f>EY74</f>
        <v/>
      </c>
      <c r="FJ74" s="59" t="n"/>
      <c r="FK74" s="57" t="n"/>
      <c r="FL74" s="57" t="n"/>
      <c r="FM74" s="57" t="n"/>
      <c r="FN74" s="57" t="n"/>
      <c r="FO74" s="67">
        <f>SUM(FK74:FN74)</f>
        <v/>
      </c>
      <c r="FP74" s="61" t="n"/>
      <c r="FQ74" s="57" t="n"/>
      <c r="FR74" s="66">
        <f>FH74</f>
        <v/>
      </c>
      <c r="FS74" s="59" t="n"/>
      <c r="FT74" s="57" t="n"/>
      <c r="FU74" s="57" t="n"/>
      <c r="FV74" s="57" t="n"/>
      <c r="FW74" s="57" t="n"/>
      <c r="FX74" s="67">
        <f>SUM(FT74:FW74)</f>
        <v/>
      </c>
      <c r="FY74" s="61" t="n"/>
      <c r="FZ74" s="57" t="n"/>
      <c r="GA74" s="66">
        <f>FQ74</f>
        <v/>
      </c>
      <c r="GB74" s="59" t="n"/>
      <c r="GC74" s="57" t="n"/>
      <c r="GD74" s="57" t="n"/>
      <c r="GE74" s="57" t="n"/>
      <c r="GF74" s="57" t="n"/>
      <c r="GG74" s="67">
        <f>SUM(GC74:GF74)</f>
        <v/>
      </c>
      <c r="GH74" s="61" t="n"/>
      <c r="GI74" s="57" t="n"/>
      <c r="GJ74" s="66">
        <f>FZ74</f>
        <v/>
      </c>
      <c r="GK74" s="59" t="n"/>
      <c r="GL74" s="57" t="n"/>
      <c r="GM74" s="57" t="n"/>
      <c r="GN74" s="57" t="n"/>
      <c r="GO74" s="57" t="n"/>
      <c r="GP74" s="67">
        <f>SUM(GL74:GO74)</f>
        <v/>
      </c>
      <c r="GQ74" s="61" t="n"/>
      <c r="GR74" s="57" t="n"/>
      <c r="GS74" s="66">
        <f>GI74</f>
        <v/>
      </c>
      <c r="GT74" s="59" t="n"/>
      <c r="GU74" s="57" t="n"/>
      <c r="GV74" s="57" t="n"/>
      <c r="GW74" s="57" t="n"/>
      <c r="GX74" s="57" t="n"/>
      <c r="GY74" s="67">
        <f>SUM(GU74:GX74)</f>
        <v/>
      </c>
      <c r="GZ74" s="61" t="n"/>
      <c r="HA74" s="57" t="n"/>
      <c r="HB74" s="66">
        <f>GR74</f>
        <v/>
      </c>
      <c r="HC74" s="59" t="n"/>
      <c r="HD74" s="57" t="n"/>
      <c r="HE74" s="57" t="n"/>
      <c r="HF74" s="57" t="n"/>
      <c r="HG74" s="57" t="n"/>
      <c r="HH74" s="67">
        <f>SUM(HD74:HG74)</f>
        <v/>
      </c>
      <c r="HI74" s="61" t="n"/>
      <c r="HJ74" s="57" t="n"/>
      <c r="HK74" s="66">
        <f>HA74</f>
        <v/>
      </c>
      <c r="HL74" s="59" t="n"/>
      <c r="HM74" s="57" t="n"/>
      <c r="HN74" s="57" t="n"/>
      <c r="HO74" s="57" t="n"/>
      <c r="HP74" s="57" t="n"/>
      <c r="HQ74" s="67">
        <f>SUM(HM74:HP74)</f>
        <v/>
      </c>
      <c r="HR74" s="61" t="n"/>
      <c r="HS74" s="57" t="n"/>
      <c r="HT74" s="66">
        <f>HJ74</f>
        <v/>
      </c>
      <c r="HU74" s="59" t="n"/>
      <c r="HV74" s="57" t="n"/>
      <c r="HW74" s="57" t="n"/>
      <c r="HX74" s="57" t="n"/>
      <c r="HY74" s="57" t="n"/>
      <c r="HZ74" s="67">
        <f>SUM(HV74:HY74)</f>
        <v/>
      </c>
      <c r="IA74" s="61" t="n"/>
      <c r="IB74" s="57" t="n"/>
      <c r="IC74" s="66">
        <f>HS74</f>
        <v/>
      </c>
      <c r="ID74" s="59" t="n"/>
      <c r="IE74" s="57" t="n"/>
      <c r="IF74" s="57" t="n"/>
      <c r="IG74" s="57" t="n"/>
      <c r="IH74" s="57" t="n"/>
      <c r="II74" s="67">
        <f>SUM(IE74:IH74)</f>
        <v/>
      </c>
      <c r="IJ74" s="61" t="n"/>
      <c r="IK74" s="57" t="n"/>
      <c r="IL74" s="66">
        <f>IB74</f>
        <v/>
      </c>
      <c r="IM74" s="59" t="n"/>
      <c r="IN74" s="57" t="n"/>
      <c r="IO74" s="57" t="n"/>
      <c r="IP74" s="57" t="n"/>
      <c r="IQ74" s="57" t="n"/>
      <c r="IR74" s="67">
        <f>SUM(IN74:IQ74)</f>
        <v/>
      </c>
      <c r="IS74" s="61" t="n"/>
      <c r="IT74" s="57" t="n"/>
      <c r="IU74" s="66">
        <f>IK74</f>
        <v/>
      </c>
      <c r="IV74" s="59" t="n"/>
      <c r="IW74" s="57" t="n"/>
      <c r="IX74" s="57" t="n"/>
      <c r="IY74" s="57" t="n"/>
      <c r="IZ74" s="57" t="n"/>
      <c r="JA74" s="67">
        <f>SUM(IW74:IZ74)</f>
        <v/>
      </c>
      <c r="JB74" s="61" t="n"/>
      <c r="JC74" s="57" t="n"/>
      <c r="JD74" s="66">
        <f>IT74</f>
        <v/>
      </c>
      <c r="JE74" s="59" t="n"/>
      <c r="JF74" s="57" t="n"/>
      <c r="JG74" s="57" t="n"/>
      <c r="JH74" s="57" t="n"/>
      <c r="JI74" s="57" t="n"/>
      <c r="JJ74" s="67">
        <f>SUM(JF74:JI74)</f>
        <v/>
      </c>
      <c r="JK74" s="61" t="n"/>
      <c r="JL74" s="57" t="n"/>
      <c r="JM74" s="66">
        <f>JC74</f>
        <v/>
      </c>
      <c r="JN74" s="59" t="n"/>
      <c r="JO74" s="57" t="n"/>
      <c r="JP74" s="57" t="n"/>
      <c r="JQ74" s="57" t="n"/>
      <c r="JR74" s="57" t="n"/>
      <c r="JS74" s="67">
        <f>SUM(JO74:JR74)</f>
        <v/>
      </c>
      <c r="JT74" s="61" t="n"/>
      <c r="JU74" s="62">
        <f>I74+R74+AA74+AJ74+AS74+BB74+BK74+BT74+CC74+CL74+CU74+DD74+DM74+DV74+EE74+EN74+EW74+FF74+FO74+FX74+GG74+GP74+GY74+HH74+HQ74+HZ74+II74+IR74+JA74+JJ74+JS74</f>
        <v/>
      </c>
      <c r="JV74" s="63">
        <f>D74+M74+V74+AE74+AN74+AW74+BF74+BO74+BX74+CG74+CP74+CY74+DH74+DQ74+DZ74+EI74+ER74+FA74+FJ74+FS74+GB74+GK74+GT74+HC74+HL74+HU74+ID74+IM74+IV74+JE74+JN74</f>
        <v/>
      </c>
      <c r="JW74" s="62">
        <f>CHOOSE($Z$3,B74, K74, T74, AC74, AL74, AU74, BD74, BM74, BV74, CE74, CN74, CW74, DF74, DO74, DX74, EG74, EP74, EY74, FH74, FQ74, FZ74, GI74, GR74, HA74, HJ74, HS74, IB74, IK74, IT74, JC74, JL74)</f>
        <v/>
      </c>
      <c r="JX74" s="62">
        <f>IFERROR(JU74/$Z$3,0)</f>
        <v/>
      </c>
      <c r="JY74" s="62">
        <f>Configurações!$C$14</f>
        <v/>
      </c>
      <c r="JZ74" s="64">
        <f>IF(JY74=0,"— Sem meta",IF(JU74&gt;=JY74,"✓ Atingida","Em andamento"))</f>
        <v/>
      </c>
      <c r="KA74" s="65">
        <f>JU74+(6*0.0000001)</f>
        <v/>
      </c>
    </row>
    <row r="75" ht="20" customHeight="1">
      <c r="A75" s="56">
        <f>IF(Configurações!$B$15="","Assessor 9",Configurações!$B$15)</f>
        <v/>
      </c>
      <c r="B75" s="57" t="n"/>
      <c r="C75" s="58">
        <f>'Outubro'!$JW75</f>
        <v/>
      </c>
      <c r="D75" s="59" t="n"/>
      <c r="E75" s="57" t="n"/>
      <c r="F75" s="57" t="n"/>
      <c r="G75" s="57" t="n"/>
      <c r="H75" s="57" t="n"/>
      <c r="I75" s="60">
        <f>SUM(E75:H75)</f>
        <v/>
      </c>
      <c r="J75" s="61" t="n"/>
      <c r="K75" s="57" t="n"/>
      <c r="L75" s="58">
        <f>B75</f>
        <v/>
      </c>
      <c r="M75" s="59" t="n"/>
      <c r="N75" s="57" t="n"/>
      <c r="O75" s="57" t="n"/>
      <c r="P75" s="57" t="n"/>
      <c r="Q75" s="57" t="n"/>
      <c r="R75" s="60">
        <f>SUM(N75:Q75)</f>
        <v/>
      </c>
      <c r="S75" s="61" t="n"/>
      <c r="T75" s="57" t="n"/>
      <c r="U75" s="58">
        <f>K75</f>
        <v/>
      </c>
      <c r="V75" s="59" t="n"/>
      <c r="W75" s="57" t="n"/>
      <c r="X75" s="57" t="n"/>
      <c r="Y75" s="57" t="n"/>
      <c r="Z75" s="57" t="n"/>
      <c r="AA75" s="60">
        <f>SUM(W75:Z75)</f>
        <v/>
      </c>
      <c r="AB75" s="61" t="n"/>
      <c r="AC75" s="57" t="n"/>
      <c r="AD75" s="58">
        <f>T75</f>
        <v/>
      </c>
      <c r="AE75" s="59" t="n"/>
      <c r="AF75" s="57" t="n"/>
      <c r="AG75" s="57" t="n"/>
      <c r="AH75" s="57" t="n"/>
      <c r="AI75" s="57" t="n"/>
      <c r="AJ75" s="60">
        <f>SUM(AF75:AI75)</f>
        <v/>
      </c>
      <c r="AK75" s="61" t="n"/>
      <c r="AL75" s="57" t="n"/>
      <c r="AM75" s="58">
        <f>AC75</f>
        <v/>
      </c>
      <c r="AN75" s="59" t="n"/>
      <c r="AO75" s="57" t="n"/>
      <c r="AP75" s="57" t="n"/>
      <c r="AQ75" s="57" t="n"/>
      <c r="AR75" s="57" t="n"/>
      <c r="AS75" s="60">
        <f>SUM(AO75:AR75)</f>
        <v/>
      </c>
      <c r="AT75" s="61" t="n"/>
      <c r="AU75" s="57" t="n"/>
      <c r="AV75" s="58">
        <f>AL75</f>
        <v/>
      </c>
      <c r="AW75" s="59" t="n"/>
      <c r="AX75" s="57" t="n"/>
      <c r="AY75" s="57" t="n"/>
      <c r="AZ75" s="57" t="n"/>
      <c r="BA75" s="57" t="n"/>
      <c r="BB75" s="60">
        <f>SUM(AX75:BA75)</f>
        <v/>
      </c>
      <c r="BC75" s="61" t="n"/>
      <c r="BD75" s="57" t="n"/>
      <c r="BE75" s="58">
        <f>AU75</f>
        <v/>
      </c>
      <c r="BF75" s="59" t="n"/>
      <c r="BG75" s="57" t="n"/>
      <c r="BH75" s="57" t="n"/>
      <c r="BI75" s="57" t="n"/>
      <c r="BJ75" s="57" t="n"/>
      <c r="BK75" s="60">
        <f>SUM(BG75:BJ75)</f>
        <v/>
      </c>
      <c r="BL75" s="61" t="n"/>
      <c r="BM75" s="57" t="n"/>
      <c r="BN75" s="58">
        <f>BD75</f>
        <v/>
      </c>
      <c r="BO75" s="59" t="n"/>
      <c r="BP75" s="57" t="n"/>
      <c r="BQ75" s="57" t="n"/>
      <c r="BR75" s="57" t="n"/>
      <c r="BS75" s="57" t="n"/>
      <c r="BT75" s="60">
        <f>SUM(BP75:BS75)</f>
        <v/>
      </c>
      <c r="BU75" s="61" t="n"/>
      <c r="BV75" s="57" t="n"/>
      <c r="BW75" s="58">
        <f>BM75</f>
        <v/>
      </c>
      <c r="BX75" s="59" t="n"/>
      <c r="BY75" s="57" t="n"/>
      <c r="BZ75" s="57" t="n"/>
      <c r="CA75" s="57" t="n"/>
      <c r="CB75" s="57" t="n"/>
      <c r="CC75" s="60">
        <f>SUM(BY75:CB75)</f>
        <v/>
      </c>
      <c r="CD75" s="61" t="n"/>
      <c r="CE75" s="57" t="n"/>
      <c r="CF75" s="58">
        <f>BV75</f>
        <v/>
      </c>
      <c r="CG75" s="59" t="n"/>
      <c r="CH75" s="57" t="n"/>
      <c r="CI75" s="57" t="n"/>
      <c r="CJ75" s="57" t="n"/>
      <c r="CK75" s="57" t="n"/>
      <c r="CL75" s="60">
        <f>SUM(CH75:CK75)</f>
        <v/>
      </c>
      <c r="CM75" s="61" t="n"/>
      <c r="CN75" s="57" t="n"/>
      <c r="CO75" s="58">
        <f>CE75</f>
        <v/>
      </c>
      <c r="CP75" s="59" t="n"/>
      <c r="CQ75" s="57" t="n"/>
      <c r="CR75" s="57" t="n"/>
      <c r="CS75" s="57" t="n"/>
      <c r="CT75" s="57" t="n"/>
      <c r="CU75" s="60">
        <f>SUM(CQ75:CT75)</f>
        <v/>
      </c>
      <c r="CV75" s="61" t="n"/>
      <c r="CW75" s="57" t="n"/>
      <c r="CX75" s="58">
        <f>CN75</f>
        <v/>
      </c>
      <c r="CY75" s="59" t="n"/>
      <c r="CZ75" s="57" t="n"/>
      <c r="DA75" s="57" t="n"/>
      <c r="DB75" s="57" t="n"/>
      <c r="DC75" s="57" t="n"/>
      <c r="DD75" s="60">
        <f>SUM(CZ75:DC75)</f>
        <v/>
      </c>
      <c r="DE75" s="61" t="n"/>
      <c r="DF75" s="57" t="n"/>
      <c r="DG75" s="58">
        <f>CW75</f>
        <v/>
      </c>
      <c r="DH75" s="59" t="n"/>
      <c r="DI75" s="57" t="n"/>
      <c r="DJ75" s="57" t="n"/>
      <c r="DK75" s="57" t="n"/>
      <c r="DL75" s="57" t="n"/>
      <c r="DM75" s="60">
        <f>SUM(DI75:DL75)</f>
        <v/>
      </c>
      <c r="DN75" s="61" t="n"/>
      <c r="DO75" s="57" t="n"/>
      <c r="DP75" s="58">
        <f>DF75</f>
        <v/>
      </c>
      <c r="DQ75" s="59" t="n"/>
      <c r="DR75" s="57" t="n"/>
      <c r="DS75" s="57" t="n"/>
      <c r="DT75" s="57" t="n"/>
      <c r="DU75" s="57" t="n"/>
      <c r="DV75" s="60">
        <f>SUM(DR75:DU75)</f>
        <v/>
      </c>
      <c r="DW75" s="61" t="n"/>
      <c r="DX75" s="57" t="n"/>
      <c r="DY75" s="58">
        <f>DO75</f>
        <v/>
      </c>
      <c r="DZ75" s="59" t="n"/>
      <c r="EA75" s="57" t="n"/>
      <c r="EB75" s="57" t="n"/>
      <c r="EC75" s="57" t="n"/>
      <c r="ED75" s="57" t="n"/>
      <c r="EE75" s="60">
        <f>SUM(EA75:ED75)</f>
        <v/>
      </c>
      <c r="EF75" s="61" t="n"/>
      <c r="EG75" s="57" t="n"/>
      <c r="EH75" s="58">
        <f>DX75</f>
        <v/>
      </c>
      <c r="EI75" s="59" t="n"/>
      <c r="EJ75" s="57" t="n"/>
      <c r="EK75" s="57" t="n"/>
      <c r="EL75" s="57" t="n"/>
      <c r="EM75" s="57" t="n"/>
      <c r="EN75" s="60">
        <f>SUM(EJ75:EM75)</f>
        <v/>
      </c>
      <c r="EO75" s="61" t="n"/>
      <c r="EP75" s="57" t="n"/>
      <c r="EQ75" s="58">
        <f>EG75</f>
        <v/>
      </c>
      <c r="ER75" s="59" t="n"/>
      <c r="ES75" s="57" t="n"/>
      <c r="ET75" s="57" t="n"/>
      <c r="EU75" s="57" t="n"/>
      <c r="EV75" s="57" t="n"/>
      <c r="EW75" s="60">
        <f>SUM(ES75:EV75)</f>
        <v/>
      </c>
      <c r="EX75" s="61" t="n"/>
      <c r="EY75" s="57" t="n"/>
      <c r="EZ75" s="58">
        <f>EP75</f>
        <v/>
      </c>
      <c r="FA75" s="59" t="n"/>
      <c r="FB75" s="57" t="n"/>
      <c r="FC75" s="57" t="n"/>
      <c r="FD75" s="57" t="n"/>
      <c r="FE75" s="57" t="n"/>
      <c r="FF75" s="60">
        <f>SUM(FB75:FE75)</f>
        <v/>
      </c>
      <c r="FG75" s="61" t="n"/>
      <c r="FH75" s="57" t="n"/>
      <c r="FI75" s="58">
        <f>EY75</f>
        <v/>
      </c>
      <c r="FJ75" s="59" t="n"/>
      <c r="FK75" s="57" t="n"/>
      <c r="FL75" s="57" t="n"/>
      <c r="FM75" s="57" t="n"/>
      <c r="FN75" s="57" t="n"/>
      <c r="FO75" s="60">
        <f>SUM(FK75:FN75)</f>
        <v/>
      </c>
      <c r="FP75" s="61" t="n"/>
      <c r="FQ75" s="57" t="n"/>
      <c r="FR75" s="58">
        <f>FH75</f>
        <v/>
      </c>
      <c r="FS75" s="59" t="n"/>
      <c r="FT75" s="57" t="n"/>
      <c r="FU75" s="57" t="n"/>
      <c r="FV75" s="57" t="n"/>
      <c r="FW75" s="57" t="n"/>
      <c r="FX75" s="60">
        <f>SUM(FT75:FW75)</f>
        <v/>
      </c>
      <c r="FY75" s="61" t="n"/>
      <c r="FZ75" s="57" t="n"/>
      <c r="GA75" s="58">
        <f>FQ75</f>
        <v/>
      </c>
      <c r="GB75" s="59" t="n"/>
      <c r="GC75" s="57" t="n"/>
      <c r="GD75" s="57" t="n"/>
      <c r="GE75" s="57" t="n"/>
      <c r="GF75" s="57" t="n"/>
      <c r="GG75" s="60">
        <f>SUM(GC75:GF75)</f>
        <v/>
      </c>
      <c r="GH75" s="61" t="n"/>
      <c r="GI75" s="57" t="n"/>
      <c r="GJ75" s="58">
        <f>FZ75</f>
        <v/>
      </c>
      <c r="GK75" s="59" t="n"/>
      <c r="GL75" s="57" t="n"/>
      <c r="GM75" s="57" t="n"/>
      <c r="GN75" s="57" t="n"/>
      <c r="GO75" s="57" t="n"/>
      <c r="GP75" s="60">
        <f>SUM(GL75:GO75)</f>
        <v/>
      </c>
      <c r="GQ75" s="61" t="n"/>
      <c r="GR75" s="57" t="n"/>
      <c r="GS75" s="58">
        <f>GI75</f>
        <v/>
      </c>
      <c r="GT75" s="59" t="n"/>
      <c r="GU75" s="57" t="n"/>
      <c r="GV75" s="57" t="n"/>
      <c r="GW75" s="57" t="n"/>
      <c r="GX75" s="57" t="n"/>
      <c r="GY75" s="60">
        <f>SUM(GU75:GX75)</f>
        <v/>
      </c>
      <c r="GZ75" s="61" t="n"/>
      <c r="HA75" s="57" t="n"/>
      <c r="HB75" s="58">
        <f>GR75</f>
        <v/>
      </c>
      <c r="HC75" s="59" t="n"/>
      <c r="HD75" s="57" t="n"/>
      <c r="HE75" s="57" t="n"/>
      <c r="HF75" s="57" t="n"/>
      <c r="HG75" s="57" t="n"/>
      <c r="HH75" s="60">
        <f>SUM(HD75:HG75)</f>
        <v/>
      </c>
      <c r="HI75" s="61" t="n"/>
      <c r="HJ75" s="57" t="n"/>
      <c r="HK75" s="58">
        <f>HA75</f>
        <v/>
      </c>
      <c r="HL75" s="59" t="n"/>
      <c r="HM75" s="57" t="n"/>
      <c r="HN75" s="57" t="n"/>
      <c r="HO75" s="57" t="n"/>
      <c r="HP75" s="57" t="n"/>
      <c r="HQ75" s="60">
        <f>SUM(HM75:HP75)</f>
        <v/>
      </c>
      <c r="HR75" s="61" t="n"/>
      <c r="HS75" s="57" t="n"/>
      <c r="HT75" s="58">
        <f>HJ75</f>
        <v/>
      </c>
      <c r="HU75" s="59" t="n"/>
      <c r="HV75" s="57" t="n"/>
      <c r="HW75" s="57" t="n"/>
      <c r="HX75" s="57" t="n"/>
      <c r="HY75" s="57" t="n"/>
      <c r="HZ75" s="60">
        <f>SUM(HV75:HY75)</f>
        <v/>
      </c>
      <c r="IA75" s="61" t="n"/>
      <c r="IB75" s="57" t="n"/>
      <c r="IC75" s="58">
        <f>HS75</f>
        <v/>
      </c>
      <c r="ID75" s="59" t="n"/>
      <c r="IE75" s="57" t="n"/>
      <c r="IF75" s="57" t="n"/>
      <c r="IG75" s="57" t="n"/>
      <c r="IH75" s="57" t="n"/>
      <c r="II75" s="60">
        <f>SUM(IE75:IH75)</f>
        <v/>
      </c>
      <c r="IJ75" s="61" t="n"/>
      <c r="IK75" s="57" t="n"/>
      <c r="IL75" s="58">
        <f>IB75</f>
        <v/>
      </c>
      <c r="IM75" s="59" t="n"/>
      <c r="IN75" s="57" t="n"/>
      <c r="IO75" s="57" t="n"/>
      <c r="IP75" s="57" t="n"/>
      <c r="IQ75" s="57" t="n"/>
      <c r="IR75" s="60">
        <f>SUM(IN75:IQ75)</f>
        <v/>
      </c>
      <c r="IS75" s="61" t="n"/>
      <c r="IT75" s="57" t="n"/>
      <c r="IU75" s="58">
        <f>IK75</f>
        <v/>
      </c>
      <c r="IV75" s="59" t="n"/>
      <c r="IW75" s="57" t="n"/>
      <c r="IX75" s="57" t="n"/>
      <c r="IY75" s="57" t="n"/>
      <c r="IZ75" s="57" t="n"/>
      <c r="JA75" s="60">
        <f>SUM(IW75:IZ75)</f>
        <v/>
      </c>
      <c r="JB75" s="61" t="n"/>
      <c r="JC75" s="57" t="n"/>
      <c r="JD75" s="58">
        <f>IT75</f>
        <v/>
      </c>
      <c r="JE75" s="59" t="n"/>
      <c r="JF75" s="57" t="n"/>
      <c r="JG75" s="57" t="n"/>
      <c r="JH75" s="57" t="n"/>
      <c r="JI75" s="57" t="n"/>
      <c r="JJ75" s="60">
        <f>SUM(JF75:JI75)</f>
        <v/>
      </c>
      <c r="JK75" s="61" t="n"/>
      <c r="JL75" s="57" t="n"/>
      <c r="JM75" s="58">
        <f>JC75</f>
        <v/>
      </c>
      <c r="JN75" s="59" t="n"/>
      <c r="JO75" s="57" t="n"/>
      <c r="JP75" s="57" t="n"/>
      <c r="JQ75" s="57" t="n"/>
      <c r="JR75" s="57" t="n"/>
      <c r="JS75" s="60">
        <f>SUM(JO75:JR75)</f>
        <v/>
      </c>
      <c r="JT75" s="61" t="n"/>
      <c r="JU75" s="62">
        <f>I75+R75+AA75+AJ75+AS75+BB75+BK75+BT75+CC75+CL75+CU75+DD75+DM75+DV75+EE75+EN75+EW75+FF75+FO75+FX75+GG75+GP75+GY75+HH75+HQ75+HZ75+II75+IR75+JA75+JJ75+JS75</f>
        <v/>
      </c>
      <c r="JV75" s="63">
        <f>D75+M75+V75+AE75+AN75+AW75+BF75+BO75+BX75+CG75+CP75+CY75+DH75+DQ75+DZ75+EI75+ER75+FA75+FJ75+FS75+GB75+GK75+GT75+HC75+HL75+HU75+ID75+IM75+IV75+JE75+JN75</f>
        <v/>
      </c>
      <c r="JW75" s="62">
        <f>CHOOSE($Z$3,B75, K75, T75, AC75, AL75, AU75, BD75, BM75, BV75, CE75, CN75, CW75, DF75, DO75, DX75, EG75, EP75, EY75, FH75, FQ75, FZ75, GI75, GR75, HA75, HJ75, HS75, IB75, IK75, IT75, JC75, JL75)</f>
        <v/>
      </c>
      <c r="JX75" s="62">
        <f>IFERROR(JU75/$Z$3,0)</f>
        <v/>
      </c>
      <c r="JY75" s="62">
        <f>Configurações!$C$15</f>
        <v/>
      </c>
      <c r="JZ75" s="64">
        <f>IF(JY75=0,"— Sem meta",IF(JU75&gt;=JY75,"✓ Atingida","Em andamento"))</f>
        <v/>
      </c>
      <c r="KA75" s="65">
        <f>JU75+(5*0.0000001)</f>
        <v/>
      </c>
    </row>
    <row r="76" ht="20" customHeight="1">
      <c r="A76" s="56">
        <f>IF(Configurações!$B$16="","Assessor 10",Configurações!$B$16)</f>
        <v/>
      </c>
      <c r="B76" s="57" t="n"/>
      <c r="C76" s="66">
        <f>'Outubro'!$JW76</f>
        <v/>
      </c>
      <c r="D76" s="59" t="n"/>
      <c r="E76" s="57" t="n"/>
      <c r="F76" s="57" t="n"/>
      <c r="G76" s="57" t="n"/>
      <c r="H76" s="57" t="n"/>
      <c r="I76" s="67">
        <f>SUM(E76:H76)</f>
        <v/>
      </c>
      <c r="J76" s="61" t="n"/>
      <c r="K76" s="57" t="n"/>
      <c r="L76" s="66">
        <f>B76</f>
        <v/>
      </c>
      <c r="M76" s="59" t="n"/>
      <c r="N76" s="57" t="n"/>
      <c r="O76" s="57" t="n"/>
      <c r="P76" s="57" t="n"/>
      <c r="Q76" s="57" t="n"/>
      <c r="R76" s="67">
        <f>SUM(N76:Q76)</f>
        <v/>
      </c>
      <c r="S76" s="61" t="n"/>
      <c r="T76" s="57" t="n"/>
      <c r="U76" s="66">
        <f>K76</f>
        <v/>
      </c>
      <c r="V76" s="59" t="n"/>
      <c r="W76" s="57" t="n"/>
      <c r="X76" s="57" t="n"/>
      <c r="Y76" s="57" t="n"/>
      <c r="Z76" s="57" t="n"/>
      <c r="AA76" s="67">
        <f>SUM(W76:Z76)</f>
        <v/>
      </c>
      <c r="AB76" s="61" t="n"/>
      <c r="AC76" s="57" t="n"/>
      <c r="AD76" s="66">
        <f>T76</f>
        <v/>
      </c>
      <c r="AE76" s="59" t="n"/>
      <c r="AF76" s="57" t="n"/>
      <c r="AG76" s="57" t="n"/>
      <c r="AH76" s="57" t="n"/>
      <c r="AI76" s="57" t="n"/>
      <c r="AJ76" s="67">
        <f>SUM(AF76:AI76)</f>
        <v/>
      </c>
      <c r="AK76" s="61" t="n"/>
      <c r="AL76" s="57" t="n"/>
      <c r="AM76" s="66">
        <f>AC76</f>
        <v/>
      </c>
      <c r="AN76" s="59" t="n"/>
      <c r="AO76" s="57" t="n"/>
      <c r="AP76" s="57" t="n"/>
      <c r="AQ76" s="57" t="n"/>
      <c r="AR76" s="57" t="n"/>
      <c r="AS76" s="67">
        <f>SUM(AO76:AR76)</f>
        <v/>
      </c>
      <c r="AT76" s="61" t="n"/>
      <c r="AU76" s="57" t="n"/>
      <c r="AV76" s="66">
        <f>AL76</f>
        <v/>
      </c>
      <c r="AW76" s="59" t="n"/>
      <c r="AX76" s="57" t="n"/>
      <c r="AY76" s="57" t="n"/>
      <c r="AZ76" s="57" t="n"/>
      <c r="BA76" s="57" t="n"/>
      <c r="BB76" s="67">
        <f>SUM(AX76:BA76)</f>
        <v/>
      </c>
      <c r="BC76" s="61" t="n"/>
      <c r="BD76" s="57" t="n"/>
      <c r="BE76" s="66">
        <f>AU76</f>
        <v/>
      </c>
      <c r="BF76" s="59" t="n"/>
      <c r="BG76" s="57" t="n"/>
      <c r="BH76" s="57" t="n"/>
      <c r="BI76" s="57" t="n"/>
      <c r="BJ76" s="57" t="n"/>
      <c r="BK76" s="67">
        <f>SUM(BG76:BJ76)</f>
        <v/>
      </c>
      <c r="BL76" s="61" t="n"/>
      <c r="BM76" s="57" t="n"/>
      <c r="BN76" s="66">
        <f>BD76</f>
        <v/>
      </c>
      <c r="BO76" s="59" t="n"/>
      <c r="BP76" s="57" t="n"/>
      <c r="BQ76" s="57" t="n"/>
      <c r="BR76" s="57" t="n"/>
      <c r="BS76" s="57" t="n"/>
      <c r="BT76" s="67">
        <f>SUM(BP76:BS76)</f>
        <v/>
      </c>
      <c r="BU76" s="61" t="n"/>
      <c r="BV76" s="57" t="n"/>
      <c r="BW76" s="66">
        <f>BM76</f>
        <v/>
      </c>
      <c r="BX76" s="59" t="n"/>
      <c r="BY76" s="57" t="n"/>
      <c r="BZ76" s="57" t="n"/>
      <c r="CA76" s="57" t="n"/>
      <c r="CB76" s="57" t="n"/>
      <c r="CC76" s="67">
        <f>SUM(BY76:CB76)</f>
        <v/>
      </c>
      <c r="CD76" s="61" t="n"/>
      <c r="CE76" s="57" t="n"/>
      <c r="CF76" s="66">
        <f>BV76</f>
        <v/>
      </c>
      <c r="CG76" s="59" t="n"/>
      <c r="CH76" s="57" t="n"/>
      <c r="CI76" s="57" t="n"/>
      <c r="CJ76" s="57" t="n"/>
      <c r="CK76" s="57" t="n"/>
      <c r="CL76" s="67">
        <f>SUM(CH76:CK76)</f>
        <v/>
      </c>
      <c r="CM76" s="61" t="n"/>
      <c r="CN76" s="57" t="n"/>
      <c r="CO76" s="66">
        <f>CE76</f>
        <v/>
      </c>
      <c r="CP76" s="59" t="n"/>
      <c r="CQ76" s="57" t="n"/>
      <c r="CR76" s="57" t="n"/>
      <c r="CS76" s="57" t="n"/>
      <c r="CT76" s="57" t="n"/>
      <c r="CU76" s="67">
        <f>SUM(CQ76:CT76)</f>
        <v/>
      </c>
      <c r="CV76" s="61" t="n"/>
      <c r="CW76" s="57" t="n"/>
      <c r="CX76" s="66">
        <f>CN76</f>
        <v/>
      </c>
      <c r="CY76" s="59" t="n"/>
      <c r="CZ76" s="57" t="n"/>
      <c r="DA76" s="57" t="n"/>
      <c r="DB76" s="57" t="n"/>
      <c r="DC76" s="57" t="n"/>
      <c r="DD76" s="67">
        <f>SUM(CZ76:DC76)</f>
        <v/>
      </c>
      <c r="DE76" s="61" t="n"/>
      <c r="DF76" s="57" t="n"/>
      <c r="DG76" s="66">
        <f>CW76</f>
        <v/>
      </c>
      <c r="DH76" s="59" t="n"/>
      <c r="DI76" s="57" t="n"/>
      <c r="DJ76" s="57" t="n"/>
      <c r="DK76" s="57" t="n"/>
      <c r="DL76" s="57" t="n"/>
      <c r="DM76" s="67">
        <f>SUM(DI76:DL76)</f>
        <v/>
      </c>
      <c r="DN76" s="61" t="n"/>
      <c r="DO76" s="57" t="n"/>
      <c r="DP76" s="66">
        <f>DF76</f>
        <v/>
      </c>
      <c r="DQ76" s="59" t="n"/>
      <c r="DR76" s="57" t="n"/>
      <c r="DS76" s="57" t="n"/>
      <c r="DT76" s="57" t="n"/>
      <c r="DU76" s="57" t="n"/>
      <c r="DV76" s="67">
        <f>SUM(DR76:DU76)</f>
        <v/>
      </c>
      <c r="DW76" s="61" t="n"/>
      <c r="DX76" s="57" t="n"/>
      <c r="DY76" s="66">
        <f>DO76</f>
        <v/>
      </c>
      <c r="DZ76" s="59" t="n"/>
      <c r="EA76" s="57" t="n"/>
      <c r="EB76" s="57" t="n"/>
      <c r="EC76" s="57" t="n"/>
      <c r="ED76" s="57" t="n"/>
      <c r="EE76" s="67">
        <f>SUM(EA76:ED76)</f>
        <v/>
      </c>
      <c r="EF76" s="61" t="n"/>
      <c r="EG76" s="57" t="n"/>
      <c r="EH76" s="66">
        <f>DX76</f>
        <v/>
      </c>
      <c r="EI76" s="59" t="n"/>
      <c r="EJ76" s="57" t="n"/>
      <c r="EK76" s="57" t="n"/>
      <c r="EL76" s="57" t="n"/>
      <c r="EM76" s="57" t="n"/>
      <c r="EN76" s="67">
        <f>SUM(EJ76:EM76)</f>
        <v/>
      </c>
      <c r="EO76" s="61" t="n"/>
      <c r="EP76" s="57" t="n"/>
      <c r="EQ76" s="66">
        <f>EG76</f>
        <v/>
      </c>
      <c r="ER76" s="59" t="n"/>
      <c r="ES76" s="57" t="n"/>
      <c r="ET76" s="57" t="n"/>
      <c r="EU76" s="57" t="n"/>
      <c r="EV76" s="57" t="n"/>
      <c r="EW76" s="67">
        <f>SUM(ES76:EV76)</f>
        <v/>
      </c>
      <c r="EX76" s="61" t="n"/>
      <c r="EY76" s="57" t="n"/>
      <c r="EZ76" s="66">
        <f>EP76</f>
        <v/>
      </c>
      <c r="FA76" s="59" t="n"/>
      <c r="FB76" s="57" t="n"/>
      <c r="FC76" s="57" t="n"/>
      <c r="FD76" s="57" t="n"/>
      <c r="FE76" s="57" t="n"/>
      <c r="FF76" s="67">
        <f>SUM(FB76:FE76)</f>
        <v/>
      </c>
      <c r="FG76" s="61" t="n"/>
      <c r="FH76" s="57" t="n"/>
      <c r="FI76" s="66">
        <f>EY76</f>
        <v/>
      </c>
      <c r="FJ76" s="59" t="n"/>
      <c r="FK76" s="57" t="n"/>
      <c r="FL76" s="57" t="n"/>
      <c r="FM76" s="57" t="n"/>
      <c r="FN76" s="57" t="n"/>
      <c r="FO76" s="67">
        <f>SUM(FK76:FN76)</f>
        <v/>
      </c>
      <c r="FP76" s="61" t="n"/>
      <c r="FQ76" s="57" t="n"/>
      <c r="FR76" s="66">
        <f>FH76</f>
        <v/>
      </c>
      <c r="FS76" s="59" t="n"/>
      <c r="FT76" s="57" t="n"/>
      <c r="FU76" s="57" t="n"/>
      <c r="FV76" s="57" t="n"/>
      <c r="FW76" s="57" t="n"/>
      <c r="FX76" s="67">
        <f>SUM(FT76:FW76)</f>
        <v/>
      </c>
      <c r="FY76" s="61" t="n"/>
      <c r="FZ76" s="57" t="n"/>
      <c r="GA76" s="66">
        <f>FQ76</f>
        <v/>
      </c>
      <c r="GB76" s="59" t="n"/>
      <c r="GC76" s="57" t="n"/>
      <c r="GD76" s="57" t="n"/>
      <c r="GE76" s="57" t="n"/>
      <c r="GF76" s="57" t="n"/>
      <c r="GG76" s="67">
        <f>SUM(GC76:GF76)</f>
        <v/>
      </c>
      <c r="GH76" s="61" t="n"/>
      <c r="GI76" s="57" t="n"/>
      <c r="GJ76" s="66">
        <f>FZ76</f>
        <v/>
      </c>
      <c r="GK76" s="59" t="n"/>
      <c r="GL76" s="57" t="n"/>
      <c r="GM76" s="57" t="n"/>
      <c r="GN76" s="57" t="n"/>
      <c r="GO76" s="57" t="n"/>
      <c r="GP76" s="67">
        <f>SUM(GL76:GO76)</f>
        <v/>
      </c>
      <c r="GQ76" s="61" t="n"/>
      <c r="GR76" s="57" t="n"/>
      <c r="GS76" s="66">
        <f>GI76</f>
        <v/>
      </c>
      <c r="GT76" s="59" t="n"/>
      <c r="GU76" s="57" t="n"/>
      <c r="GV76" s="57" t="n"/>
      <c r="GW76" s="57" t="n"/>
      <c r="GX76" s="57" t="n"/>
      <c r="GY76" s="67">
        <f>SUM(GU76:GX76)</f>
        <v/>
      </c>
      <c r="GZ76" s="61" t="n"/>
      <c r="HA76" s="57" t="n"/>
      <c r="HB76" s="66">
        <f>GR76</f>
        <v/>
      </c>
      <c r="HC76" s="59" t="n"/>
      <c r="HD76" s="57" t="n"/>
      <c r="HE76" s="57" t="n"/>
      <c r="HF76" s="57" t="n"/>
      <c r="HG76" s="57" t="n"/>
      <c r="HH76" s="67">
        <f>SUM(HD76:HG76)</f>
        <v/>
      </c>
      <c r="HI76" s="61" t="n"/>
      <c r="HJ76" s="57" t="n"/>
      <c r="HK76" s="66">
        <f>HA76</f>
        <v/>
      </c>
      <c r="HL76" s="59" t="n"/>
      <c r="HM76" s="57" t="n"/>
      <c r="HN76" s="57" t="n"/>
      <c r="HO76" s="57" t="n"/>
      <c r="HP76" s="57" t="n"/>
      <c r="HQ76" s="67">
        <f>SUM(HM76:HP76)</f>
        <v/>
      </c>
      <c r="HR76" s="61" t="n"/>
      <c r="HS76" s="57" t="n"/>
      <c r="HT76" s="66">
        <f>HJ76</f>
        <v/>
      </c>
      <c r="HU76" s="59" t="n"/>
      <c r="HV76" s="57" t="n"/>
      <c r="HW76" s="57" t="n"/>
      <c r="HX76" s="57" t="n"/>
      <c r="HY76" s="57" t="n"/>
      <c r="HZ76" s="67">
        <f>SUM(HV76:HY76)</f>
        <v/>
      </c>
      <c r="IA76" s="61" t="n"/>
      <c r="IB76" s="57" t="n"/>
      <c r="IC76" s="66">
        <f>HS76</f>
        <v/>
      </c>
      <c r="ID76" s="59" t="n"/>
      <c r="IE76" s="57" t="n"/>
      <c r="IF76" s="57" t="n"/>
      <c r="IG76" s="57" t="n"/>
      <c r="IH76" s="57" t="n"/>
      <c r="II76" s="67">
        <f>SUM(IE76:IH76)</f>
        <v/>
      </c>
      <c r="IJ76" s="61" t="n"/>
      <c r="IK76" s="57" t="n"/>
      <c r="IL76" s="66">
        <f>IB76</f>
        <v/>
      </c>
      <c r="IM76" s="59" t="n"/>
      <c r="IN76" s="57" t="n"/>
      <c r="IO76" s="57" t="n"/>
      <c r="IP76" s="57" t="n"/>
      <c r="IQ76" s="57" t="n"/>
      <c r="IR76" s="67">
        <f>SUM(IN76:IQ76)</f>
        <v/>
      </c>
      <c r="IS76" s="61" t="n"/>
      <c r="IT76" s="57" t="n"/>
      <c r="IU76" s="66">
        <f>IK76</f>
        <v/>
      </c>
      <c r="IV76" s="59" t="n"/>
      <c r="IW76" s="57" t="n"/>
      <c r="IX76" s="57" t="n"/>
      <c r="IY76" s="57" t="n"/>
      <c r="IZ76" s="57" t="n"/>
      <c r="JA76" s="67">
        <f>SUM(IW76:IZ76)</f>
        <v/>
      </c>
      <c r="JB76" s="61" t="n"/>
      <c r="JC76" s="57" t="n"/>
      <c r="JD76" s="66">
        <f>IT76</f>
        <v/>
      </c>
      <c r="JE76" s="59" t="n"/>
      <c r="JF76" s="57" t="n"/>
      <c r="JG76" s="57" t="n"/>
      <c r="JH76" s="57" t="n"/>
      <c r="JI76" s="57" t="n"/>
      <c r="JJ76" s="67">
        <f>SUM(JF76:JI76)</f>
        <v/>
      </c>
      <c r="JK76" s="61" t="n"/>
      <c r="JL76" s="57" t="n"/>
      <c r="JM76" s="66">
        <f>JC76</f>
        <v/>
      </c>
      <c r="JN76" s="59" t="n"/>
      <c r="JO76" s="57" t="n"/>
      <c r="JP76" s="57" t="n"/>
      <c r="JQ76" s="57" t="n"/>
      <c r="JR76" s="57" t="n"/>
      <c r="JS76" s="67">
        <f>SUM(JO76:JR76)</f>
        <v/>
      </c>
      <c r="JT76" s="61" t="n"/>
      <c r="JU76" s="62">
        <f>I76+R76+AA76+AJ76+AS76+BB76+BK76+BT76+CC76+CL76+CU76+DD76+DM76+DV76+EE76+EN76+EW76+FF76+FO76+FX76+GG76+GP76+GY76+HH76+HQ76+HZ76+II76+IR76+JA76+JJ76+JS76</f>
        <v/>
      </c>
      <c r="JV76" s="63">
        <f>D76+M76+V76+AE76+AN76+AW76+BF76+BO76+BX76+CG76+CP76+CY76+DH76+DQ76+DZ76+EI76+ER76+FA76+FJ76+FS76+GB76+GK76+GT76+HC76+HL76+HU76+ID76+IM76+IV76+JE76+JN76</f>
        <v/>
      </c>
      <c r="JW76" s="62">
        <f>CHOOSE($Z$3,B76, K76, T76, AC76, AL76, AU76, BD76, BM76, BV76, CE76, CN76, CW76, DF76, DO76, DX76, EG76, EP76, EY76, FH76, FQ76, FZ76, GI76, GR76, HA76, HJ76, HS76, IB76, IK76, IT76, JC76, JL76)</f>
        <v/>
      </c>
      <c r="JX76" s="62">
        <f>IFERROR(JU76/$Z$3,0)</f>
        <v/>
      </c>
      <c r="JY76" s="62">
        <f>Configurações!$C$16</f>
        <v/>
      </c>
      <c r="JZ76" s="64">
        <f>IF(JY76=0,"— Sem meta",IF(JU76&gt;=JY76,"✓ Atingida","Em andamento"))</f>
        <v/>
      </c>
      <c r="KA76" s="65">
        <f>JU76+(4*0.0000001)</f>
        <v/>
      </c>
    </row>
    <row r="77" ht="20" customHeight="1">
      <c r="A77" s="56">
        <f>IF(Configurações!$B$17="","Assessor 11",Configurações!$B$17)</f>
        <v/>
      </c>
      <c r="B77" s="57" t="n"/>
      <c r="C77" s="58">
        <f>'Outubro'!$JW77</f>
        <v/>
      </c>
      <c r="D77" s="59" t="n"/>
      <c r="E77" s="57" t="n"/>
      <c r="F77" s="57" t="n"/>
      <c r="G77" s="57" t="n"/>
      <c r="H77" s="57" t="n"/>
      <c r="I77" s="60">
        <f>SUM(E77:H77)</f>
        <v/>
      </c>
      <c r="J77" s="61" t="n"/>
      <c r="K77" s="57" t="n"/>
      <c r="L77" s="58">
        <f>B77</f>
        <v/>
      </c>
      <c r="M77" s="59" t="n"/>
      <c r="N77" s="57" t="n"/>
      <c r="O77" s="57" t="n"/>
      <c r="P77" s="57" t="n"/>
      <c r="Q77" s="57" t="n"/>
      <c r="R77" s="60">
        <f>SUM(N77:Q77)</f>
        <v/>
      </c>
      <c r="S77" s="61" t="n"/>
      <c r="T77" s="57" t="n"/>
      <c r="U77" s="58">
        <f>K77</f>
        <v/>
      </c>
      <c r="V77" s="59" t="n"/>
      <c r="W77" s="57" t="n"/>
      <c r="X77" s="57" t="n"/>
      <c r="Y77" s="57" t="n"/>
      <c r="Z77" s="57" t="n"/>
      <c r="AA77" s="60">
        <f>SUM(W77:Z77)</f>
        <v/>
      </c>
      <c r="AB77" s="61" t="n"/>
      <c r="AC77" s="57" t="n"/>
      <c r="AD77" s="58">
        <f>T77</f>
        <v/>
      </c>
      <c r="AE77" s="59" t="n"/>
      <c r="AF77" s="57" t="n"/>
      <c r="AG77" s="57" t="n"/>
      <c r="AH77" s="57" t="n"/>
      <c r="AI77" s="57" t="n"/>
      <c r="AJ77" s="60">
        <f>SUM(AF77:AI77)</f>
        <v/>
      </c>
      <c r="AK77" s="61" t="n"/>
      <c r="AL77" s="57" t="n"/>
      <c r="AM77" s="58">
        <f>AC77</f>
        <v/>
      </c>
      <c r="AN77" s="59" t="n"/>
      <c r="AO77" s="57" t="n"/>
      <c r="AP77" s="57" t="n"/>
      <c r="AQ77" s="57" t="n"/>
      <c r="AR77" s="57" t="n"/>
      <c r="AS77" s="60">
        <f>SUM(AO77:AR77)</f>
        <v/>
      </c>
      <c r="AT77" s="61" t="n"/>
      <c r="AU77" s="57" t="n"/>
      <c r="AV77" s="58">
        <f>AL77</f>
        <v/>
      </c>
      <c r="AW77" s="59" t="n"/>
      <c r="AX77" s="57" t="n"/>
      <c r="AY77" s="57" t="n"/>
      <c r="AZ77" s="57" t="n"/>
      <c r="BA77" s="57" t="n"/>
      <c r="BB77" s="60">
        <f>SUM(AX77:BA77)</f>
        <v/>
      </c>
      <c r="BC77" s="61" t="n"/>
      <c r="BD77" s="57" t="n"/>
      <c r="BE77" s="58">
        <f>AU77</f>
        <v/>
      </c>
      <c r="BF77" s="59" t="n"/>
      <c r="BG77" s="57" t="n"/>
      <c r="BH77" s="57" t="n"/>
      <c r="BI77" s="57" t="n"/>
      <c r="BJ77" s="57" t="n"/>
      <c r="BK77" s="60">
        <f>SUM(BG77:BJ77)</f>
        <v/>
      </c>
      <c r="BL77" s="61" t="n"/>
      <c r="BM77" s="57" t="n"/>
      <c r="BN77" s="58">
        <f>BD77</f>
        <v/>
      </c>
      <c r="BO77" s="59" t="n"/>
      <c r="BP77" s="57" t="n"/>
      <c r="BQ77" s="57" t="n"/>
      <c r="BR77" s="57" t="n"/>
      <c r="BS77" s="57" t="n"/>
      <c r="BT77" s="60">
        <f>SUM(BP77:BS77)</f>
        <v/>
      </c>
      <c r="BU77" s="61" t="n"/>
      <c r="BV77" s="57" t="n"/>
      <c r="BW77" s="58">
        <f>BM77</f>
        <v/>
      </c>
      <c r="BX77" s="59" t="n"/>
      <c r="BY77" s="57" t="n"/>
      <c r="BZ77" s="57" t="n"/>
      <c r="CA77" s="57" t="n"/>
      <c r="CB77" s="57" t="n"/>
      <c r="CC77" s="60">
        <f>SUM(BY77:CB77)</f>
        <v/>
      </c>
      <c r="CD77" s="61" t="n"/>
      <c r="CE77" s="57" t="n"/>
      <c r="CF77" s="58">
        <f>BV77</f>
        <v/>
      </c>
      <c r="CG77" s="59" t="n"/>
      <c r="CH77" s="57" t="n"/>
      <c r="CI77" s="57" t="n"/>
      <c r="CJ77" s="57" t="n"/>
      <c r="CK77" s="57" t="n"/>
      <c r="CL77" s="60">
        <f>SUM(CH77:CK77)</f>
        <v/>
      </c>
      <c r="CM77" s="61" t="n"/>
      <c r="CN77" s="57" t="n"/>
      <c r="CO77" s="58">
        <f>CE77</f>
        <v/>
      </c>
      <c r="CP77" s="59" t="n"/>
      <c r="CQ77" s="57" t="n"/>
      <c r="CR77" s="57" t="n"/>
      <c r="CS77" s="57" t="n"/>
      <c r="CT77" s="57" t="n"/>
      <c r="CU77" s="60">
        <f>SUM(CQ77:CT77)</f>
        <v/>
      </c>
      <c r="CV77" s="61" t="n"/>
      <c r="CW77" s="57" t="n"/>
      <c r="CX77" s="58">
        <f>CN77</f>
        <v/>
      </c>
      <c r="CY77" s="59" t="n"/>
      <c r="CZ77" s="57" t="n"/>
      <c r="DA77" s="57" t="n"/>
      <c r="DB77" s="57" t="n"/>
      <c r="DC77" s="57" t="n"/>
      <c r="DD77" s="60">
        <f>SUM(CZ77:DC77)</f>
        <v/>
      </c>
      <c r="DE77" s="61" t="n"/>
      <c r="DF77" s="57" t="n"/>
      <c r="DG77" s="58">
        <f>CW77</f>
        <v/>
      </c>
      <c r="DH77" s="59" t="n"/>
      <c r="DI77" s="57" t="n"/>
      <c r="DJ77" s="57" t="n"/>
      <c r="DK77" s="57" t="n"/>
      <c r="DL77" s="57" t="n"/>
      <c r="DM77" s="60">
        <f>SUM(DI77:DL77)</f>
        <v/>
      </c>
      <c r="DN77" s="61" t="n"/>
      <c r="DO77" s="57" t="n"/>
      <c r="DP77" s="58">
        <f>DF77</f>
        <v/>
      </c>
      <c r="DQ77" s="59" t="n"/>
      <c r="DR77" s="57" t="n"/>
      <c r="DS77" s="57" t="n"/>
      <c r="DT77" s="57" t="n"/>
      <c r="DU77" s="57" t="n"/>
      <c r="DV77" s="60">
        <f>SUM(DR77:DU77)</f>
        <v/>
      </c>
      <c r="DW77" s="61" t="n"/>
      <c r="DX77" s="57" t="n"/>
      <c r="DY77" s="58">
        <f>DO77</f>
        <v/>
      </c>
      <c r="DZ77" s="59" t="n"/>
      <c r="EA77" s="57" t="n"/>
      <c r="EB77" s="57" t="n"/>
      <c r="EC77" s="57" t="n"/>
      <c r="ED77" s="57" t="n"/>
      <c r="EE77" s="60">
        <f>SUM(EA77:ED77)</f>
        <v/>
      </c>
      <c r="EF77" s="61" t="n"/>
      <c r="EG77" s="57" t="n"/>
      <c r="EH77" s="58">
        <f>DX77</f>
        <v/>
      </c>
      <c r="EI77" s="59" t="n"/>
      <c r="EJ77" s="57" t="n"/>
      <c r="EK77" s="57" t="n"/>
      <c r="EL77" s="57" t="n"/>
      <c r="EM77" s="57" t="n"/>
      <c r="EN77" s="60">
        <f>SUM(EJ77:EM77)</f>
        <v/>
      </c>
      <c r="EO77" s="61" t="n"/>
      <c r="EP77" s="57" t="n"/>
      <c r="EQ77" s="58">
        <f>EG77</f>
        <v/>
      </c>
      <c r="ER77" s="59" t="n"/>
      <c r="ES77" s="57" t="n"/>
      <c r="ET77" s="57" t="n"/>
      <c r="EU77" s="57" t="n"/>
      <c r="EV77" s="57" t="n"/>
      <c r="EW77" s="60">
        <f>SUM(ES77:EV77)</f>
        <v/>
      </c>
      <c r="EX77" s="61" t="n"/>
      <c r="EY77" s="57" t="n"/>
      <c r="EZ77" s="58">
        <f>EP77</f>
        <v/>
      </c>
      <c r="FA77" s="59" t="n"/>
      <c r="FB77" s="57" t="n"/>
      <c r="FC77" s="57" t="n"/>
      <c r="FD77" s="57" t="n"/>
      <c r="FE77" s="57" t="n"/>
      <c r="FF77" s="60">
        <f>SUM(FB77:FE77)</f>
        <v/>
      </c>
      <c r="FG77" s="61" t="n"/>
      <c r="FH77" s="57" t="n"/>
      <c r="FI77" s="58">
        <f>EY77</f>
        <v/>
      </c>
      <c r="FJ77" s="59" t="n"/>
      <c r="FK77" s="57" t="n"/>
      <c r="FL77" s="57" t="n"/>
      <c r="FM77" s="57" t="n"/>
      <c r="FN77" s="57" t="n"/>
      <c r="FO77" s="60">
        <f>SUM(FK77:FN77)</f>
        <v/>
      </c>
      <c r="FP77" s="61" t="n"/>
      <c r="FQ77" s="57" t="n"/>
      <c r="FR77" s="58">
        <f>FH77</f>
        <v/>
      </c>
      <c r="FS77" s="59" t="n"/>
      <c r="FT77" s="57" t="n"/>
      <c r="FU77" s="57" t="n"/>
      <c r="FV77" s="57" t="n"/>
      <c r="FW77" s="57" t="n"/>
      <c r="FX77" s="60">
        <f>SUM(FT77:FW77)</f>
        <v/>
      </c>
      <c r="FY77" s="61" t="n"/>
      <c r="FZ77" s="57" t="n"/>
      <c r="GA77" s="58">
        <f>FQ77</f>
        <v/>
      </c>
      <c r="GB77" s="59" t="n"/>
      <c r="GC77" s="57" t="n"/>
      <c r="GD77" s="57" t="n"/>
      <c r="GE77" s="57" t="n"/>
      <c r="GF77" s="57" t="n"/>
      <c r="GG77" s="60">
        <f>SUM(GC77:GF77)</f>
        <v/>
      </c>
      <c r="GH77" s="61" t="n"/>
      <c r="GI77" s="57" t="n"/>
      <c r="GJ77" s="58">
        <f>FZ77</f>
        <v/>
      </c>
      <c r="GK77" s="59" t="n"/>
      <c r="GL77" s="57" t="n"/>
      <c r="GM77" s="57" t="n"/>
      <c r="GN77" s="57" t="n"/>
      <c r="GO77" s="57" t="n"/>
      <c r="GP77" s="60">
        <f>SUM(GL77:GO77)</f>
        <v/>
      </c>
      <c r="GQ77" s="61" t="n"/>
      <c r="GR77" s="57" t="n"/>
      <c r="GS77" s="58">
        <f>GI77</f>
        <v/>
      </c>
      <c r="GT77" s="59" t="n"/>
      <c r="GU77" s="57" t="n"/>
      <c r="GV77" s="57" t="n"/>
      <c r="GW77" s="57" t="n"/>
      <c r="GX77" s="57" t="n"/>
      <c r="GY77" s="60">
        <f>SUM(GU77:GX77)</f>
        <v/>
      </c>
      <c r="GZ77" s="61" t="n"/>
      <c r="HA77" s="57" t="n"/>
      <c r="HB77" s="58">
        <f>GR77</f>
        <v/>
      </c>
      <c r="HC77" s="59" t="n"/>
      <c r="HD77" s="57" t="n"/>
      <c r="HE77" s="57" t="n"/>
      <c r="HF77" s="57" t="n"/>
      <c r="HG77" s="57" t="n"/>
      <c r="HH77" s="60">
        <f>SUM(HD77:HG77)</f>
        <v/>
      </c>
      <c r="HI77" s="61" t="n"/>
      <c r="HJ77" s="57" t="n"/>
      <c r="HK77" s="58">
        <f>HA77</f>
        <v/>
      </c>
      <c r="HL77" s="59" t="n"/>
      <c r="HM77" s="57" t="n"/>
      <c r="HN77" s="57" t="n"/>
      <c r="HO77" s="57" t="n"/>
      <c r="HP77" s="57" t="n"/>
      <c r="HQ77" s="60">
        <f>SUM(HM77:HP77)</f>
        <v/>
      </c>
      <c r="HR77" s="61" t="n"/>
      <c r="HS77" s="57" t="n"/>
      <c r="HT77" s="58">
        <f>HJ77</f>
        <v/>
      </c>
      <c r="HU77" s="59" t="n"/>
      <c r="HV77" s="57" t="n"/>
      <c r="HW77" s="57" t="n"/>
      <c r="HX77" s="57" t="n"/>
      <c r="HY77" s="57" t="n"/>
      <c r="HZ77" s="60">
        <f>SUM(HV77:HY77)</f>
        <v/>
      </c>
      <c r="IA77" s="61" t="n"/>
      <c r="IB77" s="57" t="n"/>
      <c r="IC77" s="58">
        <f>HS77</f>
        <v/>
      </c>
      <c r="ID77" s="59" t="n"/>
      <c r="IE77" s="57" t="n"/>
      <c r="IF77" s="57" t="n"/>
      <c r="IG77" s="57" t="n"/>
      <c r="IH77" s="57" t="n"/>
      <c r="II77" s="60">
        <f>SUM(IE77:IH77)</f>
        <v/>
      </c>
      <c r="IJ77" s="61" t="n"/>
      <c r="IK77" s="57" t="n"/>
      <c r="IL77" s="58">
        <f>IB77</f>
        <v/>
      </c>
      <c r="IM77" s="59" t="n"/>
      <c r="IN77" s="57" t="n"/>
      <c r="IO77" s="57" t="n"/>
      <c r="IP77" s="57" t="n"/>
      <c r="IQ77" s="57" t="n"/>
      <c r="IR77" s="60">
        <f>SUM(IN77:IQ77)</f>
        <v/>
      </c>
      <c r="IS77" s="61" t="n"/>
      <c r="IT77" s="57" t="n"/>
      <c r="IU77" s="58">
        <f>IK77</f>
        <v/>
      </c>
      <c r="IV77" s="59" t="n"/>
      <c r="IW77" s="57" t="n"/>
      <c r="IX77" s="57" t="n"/>
      <c r="IY77" s="57" t="n"/>
      <c r="IZ77" s="57" t="n"/>
      <c r="JA77" s="60">
        <f>SUM(IW77:IZ77)</f>
        <v/>
      </c>
      <c r="JB77" s="61" t="n"/>
      <c r="JC77" s="57" t="n"/>
      <c r="JD77" s="58">
        <f>IT77</f>
        <v/>
      </c>
      <c r="JE77" s="59" t="n"/>
      <c r="JF77" s="57" t="n"/>
      <c r="JG77" s="57" t="n"/>
      <c r="JH77" s="57" t="n"/>
      <c r="JI77" s="57" t="n"/>
      <c r="JJ77" s="60">
        <f>SUM(JF77:JI77)</f>
        <v/>
      </c>
      <c r="JK77" s="61" t="n"/>
      <c r="JL77" s="57" t="n"/>
      <c r="JM77" s="58">
        <f>JC77</f>
        <v/>
      </c>
      <c r="JN77" s="59" t="n"/>
      <c r="JO77" s="57" t="n"/>
      <c r="JP77" s="57" t="n"/>
      <c r="JQ77" s="57" t="n"/>
      <c r="JR77" s="57" t="n"/>
      <c r="JS77" s="60">
        <f>SUM(JO77:JR77)</f>
        <v/>
      </c>
      <c r="JT77" s="61" t="n"/>
      <c r="JU77" s="62">
        <f>I77+R77+AA77+AJ77+AS77+BB77+BK77+BT77+CC77+CL77+CU77+DD77+DM77+DV77+EE77+EN77+EW77+FF77+FO77+FX77+GG77+GP77+GY77+HH77+HQ77+HZ77+II77+IR77+JA77+JJ77+JS77</f>
        <v/>
      </c>
      <c r="JV77" s="63">
        <f>D77+M77+V77+AE77+AN77+AW77+BF77+BO77+BX77+CG77+CP77+CY77+DH77+DQ77+DZ77+EI77+ER77+FA77+FJ77+FS77+GB77+GK77+GT77+HC77+HL77+HU77+ID77+IM77+IV77+JE77+JN77</f>
        <v/>
      </c>
      <c r="JW77" s="62">
        <f>CHOOSE($Z$3,B77, K77, T77, AC77, AL77, AU77, BD77, BM77, BV77, CE77, CN77, CW77, DF77, DO77, DX77, EG77, EP77, EY77, FH77, FQ77, FZ77, GI77, GR77, HA77, HJ77, HS77, IB77, IK77, IT77, JC77, JL77)</f>
        <v/>
      </c>
      <c r="JX77" s="62">
        <f>IFERROR(JU77/$Z$3,0)</f>
        <v/>
      </c>
      <c r="JY77" s="62">
        <f>Configurações!$C$17</f>
        <v/>
      </c>
      <c r="JZ77" s="64">
        <f>IF(JY77=0,"— Sem meta",IF(JU77&gt;=JY77,"✓ Atingida","Em andamento"))</f>
        <v/>
      </c>
      <c r="KA77" s="65">
        <f>JU77+(3*0.0000001)</f>
        <v/>
      </c>
    </row>
    <row r="78" ht="20" customHeight="1">
      <c r="A78" s="56">
        <f>IF(Configurações!$B$18="","Assessor 12",Configurações!$B$18)</f>
        <v/>
      </c>
      <c r="B78" s="57" t="n"/>
      <c r="C78" s="66">
        <f>'Outubro'!$JW78</f>
        <v/>
      </c>
      <c r="D78" s="59" t="n"/>
      <c r="E78" s="57" t="n"/>
      <c r="F78" s="57" t="n"/>
      <c r="G78" s="57" t="n"/>
      <c r="H78" s="57" t="n"/>
      <c r="I78" s="67">
        <f>SUM(E78:H78)</f>
        <v/>
      </c>
      <c r="J78" s="61" t="n"/>
      <c r="K78" s="57" t="n"/>
      <c r="L78" s="66">
        <f>B78</f>
        <v/>
      </c>
      <c r="M78" s="59" t="n"/>
      <c r="N78" s="57" t="n"/>
      <c r="O78" s="57" t="n"/>
      <c r="P78" s="57" t="n"/>
      <c r="Q78" s="57" t="n"/>
      <c r="R78" s="67">
        <f>SUM(N78:Q78)</f>
        <v/>
      </c>
      <c r="S78" s="61" t="n"/>
      <c r="T78" s="57" t="n"/>
      <c r="U78" s="66">
        <f>K78</f>
        <v/>
      </c>
      <c r="V78" s="59" t="n"/>
      <c r="W78" s="57" t="n"/>
      <c r="X78" s="57" t="n"/>
      <c r="Y78" s="57" t="n"/>
      <c r="Z78" s="57" t="n"/>
      <c r="AA78" s="67">
        <f>SUM(W78:Z78)</f>
        <v/>
      </c>
      <c r="AB78" s="61" t="n"/>
      <c r="AC78" s="57" t="n"/>
      <c r="AD78" s="66">
        <f>T78</f>
        <v/>
      </c>
      <c r="AE78" s="59" t="n"/>
      <c r="AF78" s="57" t="n"/>
      <c r="AG78" s="57" t="n"/>
      <c r="AH78" s="57" t="n"/>
      <c r="AI78" s="57" t="n"/>
      <c r="AJ78" s="67">
        <f>SUM(AF78:AI78)</f>
        <v/>
      </c>
      <c r="AK78" s="61" t="n"/>
      <c r="AL78" s="57" t="n"/>
      <c r="AM78" s="66">
        <f>AC78</f>
        <v/>
      </c>
      <c r="AN78" s="59" t="n"/>
      <c r="AO78" s="57" t="n"/>
      <c r="AP78" s="57" t="n"/>
      <c r="AQ78" s="57" t="n"/>
      <c r="AR78" s="57" t="n"/>
      <c r="AS78" s="67">
        <f>SUM(AO78:AR78)</f>
        <v/>
      </c>
      <c r="AT78" s="61" t="n"/>
      <c r="AU78" s="57" t="n"/>
      <c r="AV78" s="66">
        <f>AL78</f>
        <v/>
      </c>
      <c r="AW78" s="59" t="n"/>
      <c r="AX78" s="57" t="n"/>
      <c r="AY78" s="57" t="n"/>
      <c r="AZ78" s="57" t="n"/>
      <c r="BA78" s="57" t="n"/>
      <c r="BB78" s="67">
        <f>SUM(AX78:BA78)</f>
        <v/>
      </c>
      <c r="BC78" s="61" t="n"/>
      <c r="BD78" s="57" t="n"/>
      <c r="BE78" s="66">
        <f>AU78</f>
        <v/>
      </c>
      <c r="BF78" s="59" t="n"/>
      <c r="BG78" s="57" t="n"/>
      <c r="BH78" s="57" t="n"/>
      <c r="BI78" s="57" t="n"/>
      <c r="BJ78" s="57" t="n"/>
      <c r="BK78" s="67">
        <f>SUM(BG78:BJ78)</f>
        <v/>
      </c>
      <c r="BL78" s="61" t="n"/>
      <c r="BM78" s="57" t="n"/>
      <c r="BN78" s="66">
        <f>BD78</f>
        <v/>
      </c>
      <c r="BO78" s="59" t="n"/>
      <c r="BP78" s="57" t="n"/>
      <c r="BQ78" s="57" t="n"/>
      <c r="BR78" s="57" t="n"/>
      <c r="BS78" s="57" t="n"/>
      <c r="BT78" s="67">
        <f>SUM(BP78:BS78)</f>
        <v/>
      </c>
      <c r="BU78" s="61" t="n"/>
      <c r="BV78" s="57" t="n"/>
      <c r="BW78" s="66">
        <f>BM78</f>
        <v/>
      </c>
      <c r="BX78" s="59" t="n"/>
      <c r="BY78" s="57" t="n"/>
      <c r="BZ78" s="57" t="n"/>
      <c r="CA78" s="57" t="n"/>
      <c r="CB78" s="57" t="n"/>
      <c r="CC78" s="67">
        <f>SUM(BY78:CB78)</f>
        <v/>
      </c>
      <c r="CD78" s="61" t="n"/>
      <c r="CE78" s="57" t="n"/>
      <c r="CF78" s="66">
        <f>BV78</f>
        <v/>
      </c>
      <c r="CG78" s="59" t="n"/>
      <c r="CH78" s="57" t="n"/>
      <c r="CI78" s="57" t="n"/>
      <c r="CJ78" s="57" t="n"/>
      <c r="CK78" s="57" t="n"/>
      <c r="CL78" s="67">
        <f>SUM(CH78:CK78)</f>
        <v/>
      </c>
      <c r="CM78" s="61" t="n"/>
      <c r="CN78" s="57" t="n"/>
      <c r="CO78" s="66">
        <f>CE78</f>
        <v/>
      </c>
      <c r="CP78" s="59" t="n"/>
      <c r="CQ78" s="57" t="n"/>
      <c r="CR78" s="57" t="n"/>
      <c r="CS78" s="57" t="n"/>
      <c r="CT78" s="57" t="n"/>
      <c r="CU78" s="67">
        <f>SUM(CQ78:CT78)</f>
        <v/>
      </c>
      <c r="CV78" s="61" t="n"/>
      <c r="CW78" s="57" t="n"/>
      <c r="CX78" s="66">
        <f>CN78</f>
        <v/>
      </c>
      <c r="CY78" s="59" t="n"/>
      <c r="CZ78" s="57" t="n"/>
      <c r="DA78" s="57" t="n"/>
      <c r="DB78" s="57" t="n"/>
      <c r="DC78" s="57" t="n"/>
      <c r="DD78" s="67">
        <f>SUM(CZ78:DC78)</f>
        <v/>
      </c>
      <c r="DE78" s="61" t="n"/>
      <c r="DF78" s="57" t="n"/>
      <c r="DG78" s="66">
        <f>CW78</f>
        <v/>
      </c>
      <c r="DH78" s="59" t="n"/>
      <c r="DI78" s="57" t="n"/>
      <c r="DJ78" s="57" t="n"/>
      <c r="DK78" s="57" t="n"/>
      <c r="DL78" s="57" t="n"/>
      <c r="DM78" s="67">
        <f>SUM(DI78:DL78)</f>
        <v/>
      </c>
      <c r="DN78" s="61" t="n"/>
      <c r="DO78" s="57" t="n"/>
      <c r="DP78" s="66">
        <f>DF78</f>
        <v/>
      </c>
      <c r="DQ78" s="59" t="n"/>
      <c r="DR78" s="57" t="n"/>
      <c r="DS78" s="57" t="n"/>
      <c r="DT78" s="57" t="n"/>
      <c r="DU78" s="57" t="n"/>
      <c r="DV78" s="67">
        <f>SUM(DR78:DU78)</f>
        <v/>
      </c>
      <c r="DW78" s="61" t="n"/>
      <c r="DX78" s="57" t="n"/>
      <c r="DY78" s="66">
        <f>DO78</f>
        <v/>
      </c>
      <c r="DZ78" s="59" t="n"/>
      <c r="EA78" s="57" t="n"/>
      <c r="EB78" s="57" t="n"/>
      <c r="EC78" s="57" t="n"/>
      <c r="ED78" s="57" t="n"/>
      <c r="EE78" s="67">
        <f>SUM(EA78:ED78)</f>
        <v/>
      </c>
      <c r="EF78" s="61" t="n"/>
      <c r="EG78" s="57" t="n"/>
      <c r="EH78" s="66">
        <f>DX78</f>
        <v/>
      </c>
      <c r="EI78" s="59" t="n"/>
      <c r="EJ78" s="57" t="n"/>
      <c r="EK78" s="57" t="n"/>
      <c r="EL78" s="57" t="n"/>
      <c r="EM78" s="57" t="n"/>
      <c r="EN78" s="67">
        <f>SUM(EJ78:EM78)</f>
        <v/>
      </c>
      <c r="EO78" s="61" t="n"/>
      <c r="EP78" s="57" t="n"/>
      <c r="EQ78" s="66">
        <f>EG78</f>
        <v/>
      </c>
      <c r="ER78" s="59" t="n"/>
      <c r="ES78" s="57" t="n"/>
      <c r="ET78" s="57" t="n"/>
      <c r="EU78" s="57" t="n"/>
      <c r="EV78" s="57" t="n"/>
      <c r="EW78" s="67">
        <f>SUM(ES78:EV78)</f>
        <v/>
      </c>
      <c r="EX78" s="61" t="n"/>
      <c r="EY78" s="57" t="n"/>
      <c r="EZ78" s="66">
        <f>EP78</f>
        <v/>
      </c>
      <c r="FA78" s="59" t="n"/>
      <c r="FB78" s="57" t="n"/>
      <c r="FC78" s="57" t="n"/>
      <c r="FD78" s="57" t="n"/>
      <c r="FE78" s="57" t="n"/>
      <c r="FF78" s="67">
        <f>SUM(FB78:FE78)</f>
        <v/>
      </c>
      <c r="FG78" s="61" t="n"/>
      <c r="FH78" s="57" t="n"/>
      <c r="FI78" s="66">
        <f>EY78</f>
        <v/>
      </c>
      <c r="FJ78" s="59" t="n"/>
      <c r="FK78" s="57" t="n"/>
      <c r="FL78" s="57" t="n"/>
      <c r="FM78" s="57" t="n"/>
      <c r="FN78" s="57" t="n"/>
      <c r="FO78" s="67">
        <f>SUM(FK78:FN78)</f>
        <v/>
      </c>
      <c r="FP78" s="61" t="n"/>
      <c r="FQ78" s="57" t="n"/>
      <c r="FR78" s="66">
        <f>FH78</f>
        <v/>
      </c>
      <c r="FS78" s="59" t="n"/>
      <c r="FT78" s="57" t="n"/>
      <c r="FU78" s="57" t="n"/>
      <c r="FV78" s="57" t="n"/>
      <c r="FW78" s="57" t="n"/>
      <c r="FX78" s="67">
        <f>SUM(FT78:FW78)</f>
        <v/>
      </c>
      <c r="FY78" s="61" t="n"/>
      <c r="FZ78" s="57" t="n"/>
      <c r="GA78" s="66">
        <f>FQ78</f>
        <v/>
      </c>
      <c r="GB78" s="59" t="n"/>
      <c r="GC78" s="57" t="n"/>
      <c r="GD78" s="57" t="n"/>
      <c r="GE78" s="57" t="n"/>
      <c r="GF78" s="57" t="n"/>
      <c r="GG78" s="67">
        <f>SUM(GC78:GF78)</f>
        <v/>
      </c>
      <c r="GH78" s="61" t="n"/>
      <c r="GI78" s="57" t="n"/>
      <c r="GJ78" s="66">
        <f>FZ78</f>
        <v/>
      </c>
      <c r="GK78" s="59" t="n"/>
      <c r="GL78" s="57" t="n"/>
      <c r="GM78" s="57" t="n"/>
      <c r="GN78" s="57" t="n"/>
      <c r="GO78" s="57" t="n"/>
      <c r="GP78" s="67">
        <f>SUM(GL78:GO78)</f>
        <v/>
      </c>
      <c r="GQ78" s="61" t="n"/>
      <c r="GR78" s="57" t="n"/>
      <c r="GS78" s="66">
        <f>GI78</f>
        <v/>
      </c>
      <c r="GT78" s="59" t="n"/>
      <c r="GU78" s="57" t="n"/>
      <c r="GV78" s="57" t="n"/>
      <c r="GW78" s="57" t="n"/>
      <c r="GX78" s="57" t="n"/>
      <c r="GY78" s="67">
        <f>SUM(GU78:GX78)</f>
        <v/>
      </c>
      <c r="GZ78" s="61" t="n"/>
      <c r="HA78" s="57" t="n"/>
      <c r="HB78" s="66">
        <f>GR78</f>
        <v/>
      </c>
      <c r="HC78" s="59" t="n"/>
      <c r="HD78" s="57" t="n"/>
      <c r="HE78" s="57" t="n"/>
      <c r="HF78" s="57" t="n"/>
      <c r="HG78" s="57" t="n"/>
      <c r="HH78" s="67">
        <f>SUM(HD78:HG78)</f>
        <v/>
      </c>
      <c r="HI78" s="61" t="n"/>
      <c r="HJ78" s="57" t="n"/>
      <c r="HK78" s="66">
        <f>HA78</f>
        <v/>
      </c>
      <c r="HL78" s="59" t="n"/>
      <c r="HM78" s="57" t="n"/>
      <c r="HN78" s="57" t="n"/>
      <c r="HO78" s="57" t="n"/>
      <c r="HP78" s="57" t="n"/>
      <c r="HQ78" s="67">
        <f>SUM(HM78:HP78)</f>
        <v/>
      </c>
      <c r="HR78" s="61" t="n"/>
      <c r="HS78" s="57" t="n"/>
      <c r="HT78" s="66">
        <f>HJ78</f>
        <v/>
      </c>
      <c r="HU78" s="59" t="n"/>
      <c r="HV78" s="57" t="n"/>
      <c r="HW78" s="57" t="n"/>
      <c r="HX78" s="57" t="n"/>
      <c r="HY78" s="57" t="n"/>
      <c r="HZ78" s="67">
        <f>SUM(HV78:HY78)</f>
        <v/>
      </c>
      <c r="IA78" s="61" t="n"/>
      <c r="IB78" s="57" t="n"/>
      <c r="IC78" s="66">
        <f>HS78</f>
        <v/>
      </c>
      <c r="ID78" s="59" t="n"/>
      <c r="IE78" s="57" t="n"/>
      <c r="IF78" s="57" t="n"/>
      <c r="IG78" s="57" t="n"/>
      <c r="IH78" s="57" t="n"/>
      <c r="II78" s="67">
        <f>SUM(IE78:IH78)</f>
        <v/>
      </c>
      <c r="IJ78" s="61" t="n"/>
      <c r="IK78" s="57" t="n"/>
      <c r="IL78" s="66">
        <f>IB78</f>
        <v/>
      </c>
      <c r="IM78" s="59" t="n"/>
      <c r="IN78" s="57" t="n"/>
      <c r="IO78" s="57" t="n"/>
      <c r="IP78" s="57" t="n"/>
      <c r="IQ78" s="57" t="n"/>
      <c r="IR78" s="67">
        <f>SUM(IN78:IQ78)</f>
        <v/>
      </c>
      <c r="IS78" s="61" t="n"/>
      <c r="IT78" s="57" t="n"/>
      <c r="IU78" s="66">
        <f>IK78</f>
        <v/>
      </c>
      <c r="IV78" s="59" t="n"/>
      <c r="IW78" s="57" t="n"/>
      <c r="IX78" s="57" t="n"/>
      <c r="IY78" s="57" t="n"/>
      <c r="IZ78" s="57" t="n"/>
      <c r="JA78" s="67">
        <f>SUM(IW78:IZ78)</f>
        <v/>
      </c>
      <c r="JB78" s="61" t="n"/>
      <c r="JC78" s="57" t="n"/>
      <c r="JD78" s="66">
        <f>IT78</f>
        <v/>
      </c>
      <c r="JE78" s="59" t="n"/>
      <c r="JF78" s="57" t="n"/>
      <c r="JG78" s="57" t="n"/>
      <c r="JH78" s="57" t="n"/>
      <c r="JI78" s="57" t="n"/>
      <c r="JJ78" s="67">
        <f>SUM(JF78:JI78)</f>
        <v/>
      </c>
      <c r="JK78" s="61" t="n"/>
      <c r="JL78" s="57" t="n"/>
      <c r="JM78" s="66">
        <f>JC78</f>
        <v/>
      </c>
      <c r="JN78" s="59" t="n"/>
      <c r="JO78" s="57" t="n"/>
      <c r="JP78" s="57" t="n"/>
      <c r="JQ78" s="57" t="n"/>
      <c r="JR78" s="57" t="n"/>
      <c r="JS78" s="67">
        <f>SUM(JO78:JR78)</f>
        <v/>
      </c>
      <c r="JT78" s="61" t="n"/>
      <c r="JU78" s="62">
        <f>I78+R78+AA78+AJ78+AS78+BB78+BK78+BT78+CC78+CL78+CU78+DD78+DM78+DV78+EE78+EN78+EW78+FF78+FO78+FX78+GG78+GP78+GY78+HH78+HQ78+HZ78+II78+IR78+JA78+JJ78+JS78</f>
        <v/>
      </c>
      <c r="JV78" s="63">
        <f>D78+M78+V78+AE78+AN78+AW78+BF78+BO78+BX78+CG78+CP78+CY78+DH78+DQ78+DZ78+EI78+ER78+FA78+FJ78+FS78+GB78+GK78+GT78+HC78+HL78+HU78+ID78+IM78+IV78+JE78+JN78</f>
        <v/>
      </c>
      <c r="JW78" s="62">
        <f>CHOOSE($Z$3,B78, K78, T78, AC78, AL78, AU78, BD78, BM78, BV78, CE78, CN78, CW78, DF78, DO78, DX78, EG78, EP78, EY78, FH78, FQ78, FZ78, GI78, GR78, HA78, HJ78, HS78, IB78, IK78, IT78, JC78, JL78)</f>
        <v/>
      </c>
      <c r="JX78" s="62">
        <f>IFERROR(JU78/$Z$3,0)</f>
        <v/>
      </c>
      <c r="JY78" s="62">
        <f>Configurações!$C$18</f>
        <v/>
      </c>
      <c r="JZ78" s="64">
        <f>IF(JY78=0,"— Sem meta",IF(JU78&gt;=JY78,"✓ Atingida","Em andamento"))</f>
        <v/>
      </c>
      <c r="KA78" s="65">
        <f>JU78+(2*0.0000001)</f>
        <v/>
      </c>
    </row>
    <row r="79" ht="20" customHeight="1">
      <c r="A79" s="56">
        <f>IF(Configurações!$B$19="","Assessor 13",Configurações!$B$19)</f>
        <v/>
      </c>
      <c r="B79" s="57" t="n"/>
      <c r="C79" s="58">
        <f>'Outubro'!$JW79</f>
        <v/>
      </c>
      <c r="D79" s="59" t="n"/>
      <c r="E79" s="57" t="n"/>
      <c r="F79" s="57" t="n"/>
      <c r="G79" s="57" t="n"/>
      <c r="H79" s="57" t="n"/>
      <c r="I79" s="60">
        <f>SUM(E79:H79)</f>
        <v/>
      </c>
      <c r="J79" s="61" t="n"/>
      <c r="K79" s="57" t="n"/>
      <c r="L79" s="58">
        <f>B79</f>
        <v/>
      </c>
      <c r="M79" s="59" t="n"/>
      <c r="N79" s="57" t="n"/>
      <c r="O79" s="57" t="n"/>
      <c r="P79" s="57" t="n"/>
      <c r="Q79" s="57" t="n"/>
      <c r="R79" s="60">
        <f>SUM(N79:Q79)</f>
        <v/>
      </c>
      <c r="S79" s="61" t="n"/>
      <c r="T79" s="57" t="n"/>
      <c r="U79" s="58">
        <f>K79</f>
        <v/>
      </c>
      <c r="V79" s="59" t="n"/>
      <c r="W79" s="57" t="n"/>
      <c r="X79" s="57" t="n"/>
      <c r="Y79" s="57" t="n"/>
      <c r="Z79" s="57" t="n"/>
      <c r="AA79" s="60">
        <f>SUM(W79:Z79)</f>
        <v/>
      </c>
      <c r="AB79" s="61" t="n"/>
      <c r="AC79" s="57" t="n"/>
      <c r="AD79" s="58">
        <f>T79</f>
        <v/>
      </c>
      <c r="AE79" s="59" t="n"/>
      <c r="AF79" s="57" t="n"/>
      <c r="AG79" s="57" t="n"/>
      <c r="AH79" s="57" t="n"/>
      <c r="AI79" s="57" t="n"/>
      <c r="AJ79" s="60">
        <f>SUM(AF79:AI79)</f>
        <v/>
      </c>
      <c r="AK79" s="61" t="n"/>
      <c r="AL79" s="57" t="n"/>
      <c r="AM79" s="58">
        <f>AC79</f>
        <v/>
      </c>
      <c r="AN79" s="59" t="n"/>
      <c r="AO79" s="57" t="n"/>
      <c r="AP79" s="57" t="n"/>
      <c r="AQ79" s="57" t="n"/>
      <c r="AR79" s="57" t="n"/>
      <c r="AS79" s="60">
        <f>SUM(AO79:AR79)</f>
        <v/>
      </c>
      <c r="AT79" s="61" t="n"/>
      <c r="AU79" s="57" t="n"/>
      <c r="AV79" s="58">
        <f>AL79</f>
        <v/>
      </c>
      <c r="AW79" s="59" t="n"/>
      <c r="AX79" s="57" t="n"/>
      <c r="AY79" s="57" t="n"/>
      <c r="AZ79" s="57" t="n"/>
      <c r="BA79" s="57" t="n"/>
      <c r="BB79" s="60">
        <f>SUM(AX79:BA79)</f>
        <v/>
      </c>
      <c r="BC79" s="61" t="n"/>
      <c r="BD79" s="57" t="n"/>
      <c r="BE79" s="58">
        <f>AU79</f>
        <v/>
      </c>
      <c r="BF79" s="59" t="n"/>
      <c r="BG79" s="57" t="n"/>
      <c r="BH79" s="57" t="n"/>
      <c r="BI79" s="57" t="n"/>
      <c r="BJ79" s="57" t="n"/>
      <c r="BK79" s="60">
        <f>SUM(BG79:BJ79)</f>
        <v/>
      </c>
      <c r="BL79" s="61" t="n"/>
      <c r="BM79" s="57" t="n"/>
      <c r="BN79" s="58">
        <f>BD79</f>
        <v/>
      </c>
      <c r="BO79" s="59" t="n"/>
      <c r="BP79" s="57" t="n"/>
      <c r="BQ79" s="57" t="n"/>
      <c r="BR79" s="57" t="n"/>
      <c r="BS79" s="57" t="n"/>
      <c r="BT79" s="60">
        <f>SUM(BP79:BS79)</f>
        <v/>
      </c>
      <c r="BU79" s="61" t="n"/>
      <c r="BV79" s="57" t="n"/>
      <c r="BW79" s="58">
        <f>BM79</f>
        <v/>
      </c>
      <c r="BX79" s="59" t="n"/>
      <c r="BY79" s="57" t="n"/>
      <c r="BZ79" s="57" t="n"/>
      <c r="CA79" s="57" t="n"/>
      <c r="CB79" s="57" t="n"/>
      <c r="CC79" s="60">
        <f>SUM(BY79:CB79)</f>
        <v/>
      </c>
      <c r="CD79" s="61" t="n"/>
      <c r="CE79" s="57" t="n"/>
      <c r="CF79" s="58">
        <f>BV79</f>
        <v/>
      </c>
      <c r="CG79" s="59" t="n"/>
      <c r="CH79" s="57" t="n"/>
      <c r="CI79" s="57" t="n"/>
      <c r="CJ79" s="57" t="n"/>
      <c r="CK79" s="57" t="n"/>
      <c r="CL79" s="60">
        <f>SUM(CH79:CK79)</f>
        <v/>
      </c>
      <c r="CM79" s="61" t="n"/>
      <c r="CN79" s="57" t="n"/>
      <c r="CO79" s="58">
        <f>CE79</f>
        <v/>
      </c>
      <c r="CP79" s="59" t="n"/>
      <c r="CQ79" s="57" t="n"/>
      <c r="CR79" s="57" t="n"/>
      <c r="CS79" s="57" t="n"/>
      <c r="CT79" s="57" t="n"/>
      <c r="CU79" s="60">
        <f>SUM(CQ79:CT79)</f>
        <v/>
      </c>
      <c r="CV79" s="61" t="n"/>
      <c r="CW79" s="57" t="n"/>
      <c r="CX79" s="58">
        <f>CN79</f>
        <v/>
      </c>
      <c r="CY79" s="59" t="n"/>
      <c r="CZ79" s="57" t="n"/>
      <c r="DA79" s="57" t="n"/>
      <c r="DB79" s="57" t="n"/>
      <c r="DC79" s="57" t="n"/>
      <c r="DD79" s="60">
        <f>SUM(CZ79:DC79)</f>
        <v/>
      </c>
      <c r="DE79" s="61" t="n"/>
      <c r="DF79" s="57" t="n"/>
      <c r="DG79" s="58">
        <f>CW79</f>
        <v/>
      </c>
      <c r="DH79" s="59" t="n"/>
      <c r="DI79" s="57" t="n"/>
      <c r="DJ79" s="57" t="n"/>
      <c r="DK79" s="57" t="n"/>
      <c r="DL79" s="57" t="n"/>
      <c r="DM79" s="60">
        <f>SUM(DI79:DL79)</f>
        <v/>
      </c>
      <c r="DN79" s="61" t="n"/>
      <c r="DO79" s="57" t="n"/>
      <c r="DP79" s="58">
        <f>DF79</f>
        <v/>
      </c>
      <c r="DQ79" s="59" t="n"/>
      <c r="DR79" s="57" t="n"/>
      <c r="DS79" s="57" t="n"/>
      <c r="DT79" s="57" t="n"/>
      <c r="DU79" s="57" t="n"/>
      <c r="DV79" s="60">
        <f>SUM(DR79:DU79)</f>
        <v/>
      </c>
      <c r="DW79" s="61" t="n"/>
      <c r="DX79" s="57" t="n"/>
      <c r="DY79" s="58">
        <f>DO79</f>
        <v/>
      </c>
      <c r="DZ79" s="59" t="n"/>
      <c r="EA79" s="57" t="n"/>
      <c r="EB79" s="57" t="n"/>
      <c r="EC79" s="57" t="n"/>
      <c r="ED79" s="57" t="n"/>
      <c r="EE79" s="60">
        <f>SUM(EA79:ED79)</f>
        <v/>
      </c>
      <c r="EF79" s="61" t="n"/>
      <c r="EG79" s="57" t="n"/>
      <c r="EH79" s="58">
        <f>DX79</f>
        <v/>
      </c>
      <c r="EI79" s="59" t="n"/>
      <c r="EJ79" s="57" t="n"/>
      <c r="EK79" s="57" t="n"/>
      <c r="EL79" s="57" t="n"/>
      <c r="EM79" s="57" t="n"/>
      <c r="EN79" s="60">
        <f>SUM(EJ79:EM79)</f>
        <v/>
      </c>
      <c r="EO79" s="61" t="n"/>
      <c r="EP79" s="57" t="n"/>
      <c r="EQ79" s="58">
        <f>EG79</f>
        <v/>
      </c>
      <c r="ER79" s="59" t="n"/>
      <c r="ES79" s="57" t="n"/>
      <c r="ET79" s="57" t="n"/>
      <c r="EU79" s="57" t="n"/>
      <c r="EV79" s="57" t="n"/>
      <c r="EW79" s="60">
        <f>SUM(ES79:EV79)</f>
        <v/>
      </c>
      <c r="EX79" s="61" t="n"/>
      <c r="EY79" s="57" t="n"/>
      <c r="EZ79" s="58">
        <f>EP79</f>
        <v/>
      </c>
      <c r="FA79" s="59" t="n"/>
      <c r="FB79" s="57" t="n"/>
      <c r="FC79" s="57" t="n"/>
      <c r="FD79" s="57" t="n"/>
      <c r="FE79" s="57" t="n"/>
      <c r="FF79" s="60">
        <f>SUM(FB79:FE79)</f>
        <v/>
      </c>
      <c r="FG79" s="61" t="n"/>
      <c r="FH79" s="57" t="n"/>
      <c r="FI79" s="58">
        <f>EY79</f>
        <v/>
      </c>
      <c r="FJ79" s="59" t="n"/>
      <c r="FK79" s="57" t="n"/>
      <c r="FL79" s="57" t="n"/>
      <c r="FM79" s="57" t="n"/>
      <c r="FN79" s="57" t="n"/>
      <c r="FO79" s="60">
        <f>SUM(FK79:FN79)</f>
        <v/>
      </c>
      <c r="FP79" s="61" t="n"/>
      <c r="FQ79" s="57" t="n"/>
      <c r="FR79" s="58">
        <f>FH79</f>
        <v/>
      </c>
      <c r="FS79" s="59" t="n"/>
      <c r="FT79" s="57" t="n"/>
      <c r="FU79" s="57" t="n"/>
      <c r="FV79" s="57" t="n"/>
      <c r="FW79" s="57" t="n"/>
      <c r="FX79" s="60">
        <f>SUM(FT79:FW79)</f>
        <v/>
      </c>
      <c r="FY79" s="61" t="n"/>
      <c r="FZ79" s="57" t="n"/>
      <c r="GA79" s="58">
        <f>FQ79</f>
        <v/>
      </c>
      <c r="GB79" s="59" t="n"/>
      <c r="GC79" s="57" t="n"/>
      <c r="GD79" s="57" t="n"/>
      <c r="GE79" s="57" t="n"/>
      <c r="GF79" s="57" t="n"/>
      <c r="GG79" s="60">
        <f>SUM(GC79:GF79)</f>
        <v/>
      </c>
      <c r="GH79" s="61" t="n"/>
      <c r="GI79" s="57" t="n"/>
      <c r="GJ79" s="58">
        <f>FZ79</f>
        <v/>
      </c>
      <c r="GK79" s="59" t="n"/>
      <c r="GL79" s="57" t="n"/>
      <c r="GM79" s="57" t="n"/>
      <c r="GN79" s="57" t="n"/>
      <c r="GO79" s="57" t="n"/>
      <c r="GP79" s="60">
        <f>SUM(GL79:GO79)</f>
        <v/>
      </c>
      <c r="GQ79" s="61" t="n"/>
      <c r="GR79" s="57" t="n"/>
      <c r="GS79" s="58">
        <f>GI79</f>
        <v/>
      </c>
      <c r="GT79" s="59" t="n"/>
      <c r="GU79" s="57" t="n"/>
      <c r="GV79" s="57" t="n"/>
      <c r="GW79" s="57" t="n"/>
      <c r="GX79" s="57" t="n"/>
      <c r="GY79" s="60">
        <f>SUM(GU79:GX79)</f>
        <v/>
      </c>
      <c r="GZ79" s="61" t="n"/>
      <c r="HA79" s="57" t="n"/>
      <c r="HB79" s="58">
        <f>GR79</f>
        <v/>
      </c>
      <c r="HC79" s="59" t="n"/>
      <c r="HD79" s="57" t="n"/>
      <c r="HE79" s="57" t="n"/>
      <c r="HF79" s="57" t="n"/>
      <c r="HG79" s="57" t="n"/>
      <c r="HH79" s="60">
        <f>SUM(HD79:HG79)</f>
        <v/>
      </c>
      <c r="HI79" s="61" t="n"/>
      <c r="HJ79" s="57" t="n"/>
      <c r="HK79" s="58">
        <f>HA79</f>
        <v/>
      </c>
      <c r="HL79" s="59" t="n"/>
      <c r="HM79" s="57" t="n"/>
      <c r="HN79" s="57" t="n"/>
      <c r="HO79" s="57" t="n"/>
      <c r="HP79" s="57" t="n"/>
      <c r="HQ79" s="60">
        <f>SUM(HM79:HP79)</f>
        <v/>
      </c>
      <c r="HR79" s="61" t="n"/>
      <c r="HS79" s="57" t="n"/>
      <c r="HT79" s="58">
        <f>HJ79</f>
        <v/>
      </c>
      <c r="HU79" s="59" t="n"/>
      <c r="HV79" s="57" t="n"/>
      <c r="HW79" s="57" t="n"/>
      <c r="HX79" s="57" t="n"/>
      <c r="HY79" s="57" t="n"/>
      <c r="HZ79" s="60">
        <f>SUM(HV79:HY79)</f>
        <v/>
      </c>
      <c r="IA79" s="61" t="n"/>
      <c r="IB79" s="57" t="n"/>
      <c r="IC79" s="58">
        <f>HS79</f>
        <v/>
      </c>
      <c r="ID79" s="59" t="n"/>
      <c r="IE79" s="57" t="n"/>
      <c r="IF79" s="57" t="n"/>
      <c r="IG79" s="57" t="n"/>
      <c r="IH79" s="57" t="n"/>
      <c r="II79" s="60">
        <f>SUM(IE79:IH79)</f>
        <v/>
      </c>
      <c r="IJ79" s="61" t="n"/>
      <c r="IK79" s="57" t="n"/>
      <c r="IL79" s="58">
        <f>IB79</f>
        <v/>
      </c>
      <c r="IM79" s="59" t="n"/>
      <c r="IN79" s="57" t="n"/>
      <c r="IO79" s="57" t="n"/>
      <c r="IP79" s="57" t="n"/>
      <c r="IQ79" s="57" t="n"/>
      <c r="IR79" s="60">
        <f>SUM(IN79:IQ79)</f>
        <v/>
      </c>
      <c r="IS79" s="61" t="n"/>
      <c r="IT79" s="57" t="n"/>
      <c r="IU79" s="58">
        <f>IK79</f>
        <v/>
      </c>
      <c r="IV79" s="59" t="n"/>
      <c r="IW79" s="57" t="n"/>
      <c r="IX79" s="57" t="n"/>
      <c r="IY79" s="57" t="n"/>
      <c r="IZ79" s="57" t="n"/>
      <c r="JA79" s="60">
        <f>SUM(IW79:IZ79)</f>
        <v/>
      </c>
      <c r="JB79" s="61" t="n"/>
      <c r="JC79" s="57" t="n"/>
      <c r="JD79" s="58">
        <f>IT79</f>
        <v/>
      </c>
      <c r="JE79" s="59" t="n"/>
      <c r="JF79" s="57" t="n"/>
      <c r="JG79" s="57" t="n"/>
      <c r="JH79" s="57" t="n"/>
      <c r="JI79" s="57" t="n"/>
      <c r="JJ79" s="60">
        <f>SUM(JF79:JI79)</f>
        <v/>
      </c>
      <c r="JK79" s="61" t="n"/>
      <c r="JL79" s="57" t="n"/>
      <c r="JM79" s="58">
        <f>JC79</f>
        <v/>
      </c>
      <c r="JN79" s="59" t="n"/>
      <c r="JO79" s="57" t="n"/>
      <c r="JP79" s="57" t="n"/>
      <c r="JQ79" s="57" t="n"/>
      <c r="JR79" s="57" t="n"/>
      <c r="JS79" s="60">
        <f>SUM(JO79:JR79)</f>
        <v/>
      </c>
      <c r="JT79" s="61" t="n"/>
      <c r="JU79" s="62">
        <f>I79+R79+AA79+AJ79+AS79+BB79+BK79+BT79+CC79+CL79+CU79+DD79+DM79+DV79+EE79+EN79+EW79+FF79+FO79+FX79+GG79+GP79+GY79+HH79+HQ79+HZ79+II79+IR79+JA79+JJ79+JS79</f>
        <v/>
      </c>
      <c r="JV79" s="63">
        <f>D79+M79+V79+AE79+AN79+AW79+BF79+BO79+BX79+CG79+CP79+CY79+DH79+DQ79+DZ79+EI79+ER79+FA79+FJ79+FS79+GB79+GK79+GT79+HC79+HL79+HU79+ID79+IM79+IV79+JE79+JN79</f>
        <v/>
      </c>
      <c r="JW79" s="62">
        <f>CHOOSE($Z$3,B79, K79, T79, AC79, AL79, AU79, BD79, BM79, BV79, CE79, CN79, CW79, DF79, DO79, DX79, EG79, EP79, EY79, FH79, FQ79, FZ79, GI79, GR79, HA79, HJ79, HS79, IB79, IK79, IT79, JC79, JL79)</f>
        <v/>
      </c>
      <c r="JX79" s="62">
        <f>IFERROR(JU79/$Z$3,0)</f>
        <v/>
      </c>
      <c r="JY79" s="62">
        <f>Configurações!$C$19</f>
        <v/>
      </c>
      <c r="JZ79" s="64">
        <f>IF(JY79=0,"— Sem meta",IF(JU79&gt;=JY79,"✓ Atingida","Em andamento"))</f>
        <v/>
      </c>
      <c r="KA79" s="65">
        <f>JU79+(1*0.0000001)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66:JZ79"/>
  <mergeCells count="65">
    <mergeCell ref="C6:D6"/>
    <mergeCell ref="I6:J6"/>
    <mergeCell ref="G10:I10"/>
    <mergeCell ref="T65:AB65"/>
    <mergeCell ref="CW65:DE65"/>
    <mergeCell ref="IK65:IS65"/>
    <mergeCell ref="FH65:FP65"/>
    <mergeCell ref="JV65:JV66"/>
    <mergeCell ref="C5:D5"/>
    <mergeCell ref="EY65:FG65"/>
    <mergeCell ref="JY65:JY66"/>
    <mergeCell ref="A2:KA2"/>
    <mergeCell ref="E5:F5"/>
    <mergeCell ref="K5:L5"/>
    <mergeCell ref="J9:L9"/>
    <mergeCell ref="AU65:BC65"/>
    <mergeCell ref="GI65:GQ65"/>
    <mergeCell ref="HJ65:HR65"/>
    <mergeCell ref="A6:B6"/>
    <mergeCell ref="A12:L12"/>
    <mergeCell ref="A65:A66"/>
    <mergeCell ref="JL65:JT65"/>
    <mergeCell ref="A8:L8"/>
    <mergeCell ref="FQ65:FY65"/>
    <mergeCell ref="D9:F9"/>
    <mergeCell ref="G6:H6"/>
    <mergeCell ref="B65:J65"/>
    <mergeCell ref="HS65:IA65"/>
    <mergeCell ref="AC65:AK65"/>
    <mergeCell ref="BD65:BL65"/>
    <mergeCell ref="A4:L4"/>
    <mergeCell ref="DO65:DW65"/>
    <mergeCell ref="A10:C10"/>
    <mergeCell ref="CE65:CM65"/>
    <mergeCell ref="DF65:DN65"/>
    <mergeCell ref="E6:F6"/>
    <mergeCell ref="EG65:EO65"/>
    <mergeCell ref="JX65:JX66"/>
    <mergeCell ref="JZ65:JZ66"/>
    <mergeCell ref="K65:S65"/>
    <mergeCell ref="A5:B5"/>
    <mergeCell ref="G5:H5"/>
    <mergeCell ref="A9:C9"/>
    <mergeCell ref="G9:I9"/>
    <mergeCell ref="I5:J5"/>
    <mergeCell ref="A64:KA64"/>
    <mergeCell ref="IT65:JB65"/>
    <mergeCell ref="A1:KA1"/>
    <mergeCell ref="D10:F10"/>
    <mergeCell ref="BV65:CD65"/>
    <mergeCell ref="IB65:IJ65"/>
    <mergeCell ref="CN65:CV65"/>
    <mergeCell ref="BM65:BU65"/>
    <mergeCell ref="DX65:EF65"/>
    <mergeCell ref="JU65:JU66"/>
    <mergeCell ref="J10:L10"/>
    <mergeCell ref="EP65:EX65"/>
    <mergeCell ref="JW65:JW66"/>
    <mergeCell ref="FZ65:GH65"/>
    <mergeCell ref="KA65:KA66"/>
    <mergeCell ref="HA65:HI65"/>
    <mergeCell ref="AL65:AT65"/>
    <mergeCell ref="GR65:GZ65"/>
    <mergeCell ref="JC65:JK65"/>
    <mergeCell ref="K6:L6"/>
  </mergeCells>
  <conditionalFormatting sqref="H14:H26">
    <cfRule type="expression" priority="1" dxfId="0">
      <formula>ISNUMBER(SEARCH("Atingida",H14))</formula>
    </cfRule>
  </conditionalFormatting>
  <conditionalFormatting sqref="B65:JT79">
    <cfRule type="expression" priority="2" dxfId="1">
      <formula>$Z$3&lt;INT((COLUMN()-2)/9)+1</formula>
    </cfRule>
  </conditionalFormatting>
  <conditionalFormatting sqref="D67:D79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I67:I79">
    <cfRule type="colorScale" priority="5">
      <colorScale>
        <cfvo type="min"/>
        <cfvo type="max"/>
        <color rgb="00FFFFFF"/>
        <color rgb="0063BE7B"/>
      </colorScale>
    </cfRule>
  </conditionalFormatting>
  <conditionalFormatting sqref="M67:M79">
    <cfRule type="cellIs" priority="6" operator="greaterThan" dxfId="2">
      <formula>0</formula>
    </cfRule>
    <cfRule type="cellIs" priority="7" operator="lessThan" dxfId="3">
      <formula>0</formula>
    </cfRule>
  </conditionalFormatting>
  <conditionalFormatting sqref="R67:R79">
    <cfRule type="colorScale" priority="8">
      <colorScale>
        <cfvo type="min"/>
        <cfvo type="max"/>
        <color rgb="00FFFFFF"/>
        <color rgb="0063BE7B"/>
      </colorScale>
    </cfRule>
  </conditionalFormatting>
  <conditionalFormatting sqref="V67:V79">
    <cfRule type="cellIs" priority="9" operator="greaterThan" dxfId="2">
      <formula>0</formula>
    </cfRule>
    <cfRule type="cellIs" priority="10" operator="lessThan" dxfId="3">
      <formula>0</formula>
    </cfRule>
  </conditionalFormatting>
  <conditionalFormatting sqref="AA67:AA79">
    <cfRule type="colorScale" priority="11">
      <colorScale>
        <cfvo type="min"/>
        <cfvo type="max"/>
        <color rgb="00FFFFFF"/>
        <color rgb="0063BE7B"/>
      </colorScale>
    </cfRule>
  </conditionalFormatting>
  <conditionalFormatting sqref="AE67:AE79">
    <cfRule type="cellIs" priority="12" operator="greaterThan" dxfId="2">
      <formula>0</formula>
    </cfRule>
    <cfRule type="cellIs" priority="13" operator="lessThan" dxfId="3">
      <formula>0</formula>
    </cfRule>
  </conditionalFormatting>
  <conditionalFormatting sqref="AJ67:AJ79">
    <cfRule type="colorScale" priority="14">
      <colorScale>
        <cfvo type="min"/>
        <cfvo type="max"/>
        <color rgb="00FFFFFF"/>
        <color rgb="0063BE7B"/>
      </colorScale>
    </cfRule>
  </conditionalFormatting>
  <conditionalFormatting sqref="AN67:AN79">
    <cfRule type="cellIs" priority="15" operator="greaterThan" dxfId="2">
      <formula>0</formula>
    </cfRule>
    <cfRule type="cellIs" priority="16" operator="lessThan" dxfId="3">
      <formula>0</formula>
    </cfRule>
  </conditionalFormatting>
  <conditionalFormatting sqref="AS67:AS79">
    <cfRule type="colorScale" priority="17">
      <colorScale>
        <cfvo type="min"/>
        <cfvo type="max"/>
        <color rgb="00FFFFFF"/>
        <color rgb="0063BE7B"/>
      </colorScale>
    </cfRule>
  </conditionalFormatting>
  <conditionalFormatting sqref="AW67:AW79">
    <cfRule type="cellIs" priority="18" operator="greaterThan" dxfId="2">
      <formula>0</formula>
    </cfRule>
    <cfRule type="cellIs" priority="19" operator="lessThan" dxfId="3">
      <formula>0</formula>
    </cfRule>
  </conditionalFormatting>
  <conditionalFormatting sqref="BB67:BB79">
    <cfRule type="colorScale" priority="20">
      <colorScale>
        <cfvo type="min"/>
        <cfvo type="max"/>
        <color rgb="00FFFFFF"/>
        <color rgb="0063BE7B"/>
      </colorScale>
    </cfRule>
  </conditionalFormatting>
  <conditionalFormatting sqref="BF67:BF79">
    <cfRule type="cellIs" priority="21" operator="greaterThan" dxfId="2">
      <formula>0</formula>
    </cfRule>
    <cfRule type="cellIs" priority="22" operator="lessThan" dxfId="3">
      <formula>0</formula>
    </cfRule>
  </conditionalFormatting>
  <conditionalFormatting sqref="BK67:BK79">
    <cfRule type="colorScale" priority="23">
      <colorScale>
        <cfvo type="min"/>
        <cfvo type="max"/>
        <color rgb="00FFFFFF"/>
        <color rgb="0063BE7B"/>
      </colorScale>
    </cfRule>
  </conditionalFormatting>
  <conditionalFormatting sqref="BO67:BO79">
    <cfRule type="cellIs" priority="24" operator="greaterThan" dxfId="2">
      <formula>0</formula>
    </cfRule>
    <cfRule type="cellIs" priority="25" operator="lessThan" dxfId="3">
      <formula>0</formula>
    </cfRule>
  </conditionalFormatting>
  <conditionalFormatting sqref="BT67:BT79">
    <cfRule type="colorScale" priority="26">
      <colorScale>
        <cfvo type="min"/>
        <cfvo type="max"/>
        <color rgb="00FFFFFF"/>
        <color rgb="0063BE7B"/>
      </colorScale>
    </cfRule>
  </conditionalFormatting>
  <conditionalFormatting sqref="BX67:BX79">
    <cfRule type="cellIs" priority="27" operator="greaterThan" dxfId="2">
      <formula>0</formula>
    </cfRule>
    <cfRule type="cellIs" priority="28" operator="lessThan" dxfId="3">
      <formula>0</formula>
    </cfRule>
  </conditionalFormatting>
  <conditionalFormatting sqref="CC67:CC79">
    <cfRule type="colorScale" priority="29">
      <colorScale>
        <cfvo type="min"/>
        <cfvo type="max"/>
        <color rgb="00FFFFFF"/>
        <color rgb="0063BE7B"/>
      </colorScale>
    </cfRule>
  </conditionalFormatting>
  <conditionalFormatting sqref="CG67:CG79">
    <cfRule type="cellIs" priority="30" operator="greaterThan" dxfId="2">
      <formula>0</formula>
    </cfRule>
    <cfRule type="cellIs" priority="31" operator="lessThan" dxfId="3">
      <formula>0</formula>
    </cfRule>
  </conditionalFormatting>
  <conditionalFormatting sqref="CL67:CL79">
    <cfRule type="colorScale" priority="32">
      <colorScale>
        <cfvo type="min"/>
        <cfvo type="max"/>
        <color rgb="00FFFFFF"/>
        <color rgb="0063BE7B"/>
      </colorScale>
    </cfRule>
  </conditionalFormatting>
  <conditionalFormatting sqref="CP67:CP79">
    <cfRule type="cellIs" priority="33" operator="greaterThan" dxfId="2">
      <formula>0</formula>
    </cfRule>
    <cfRule type="cellIs" priority="34" operator="lessThan" dxfId="3">
      <formula>0</formula>
    </cfRule>
  </conditionalFormatting>
  <conditionalFormatting sqref="CU67:CU79">
    <cfRule type="colorScale" priority="35">
      <colorScale>
        <cfvo type="min"/>
        <cfvo type="max"/>
        <color rgb="00FFFFFF"/>
        <color rgb="0063BE7B"/>
      </colorScale>
    </cfRule>
  </conditionalFormatting>
  <conditionalFormatting sqref="CY67:CY79">
    <cfRule type="cellIs" priority="36" operator="greaterThan" dxfId="2">
      <formula>0</formula>
    </cfRule>
    <cfRule type="cellIs" priority="37" operator="lessThan" dxfId="3">
      <formula>0</formula>
    </cfRule>
  </conditionalFormatting>
  <conditionalFormatting sqref="DD67:DD79">
    <cfRule type="colorScale" priority="38">
      <colorScale>
        <cfvo type="min"/>
        <cfvo type="max"/>
        <color rgb="00FFFFFF"/>
        <color rgb="0063BE7B"/>
      </colorScale>
    </cfRule>
  </conditionalFormatting>
  <conditionalFormatting sqref="DH67:DH79">
    <cfRule type="cellIs" priority="39" operator="greaterThan" dxfId="2">
      <formula>0</formula>
    </cfRule>
    <cfRule type="cellIs" priority="40" operator="lessThan" dxfId="3">
      <formula>0</formula>
    </cfRule>
  </conditionalFormatting>
  <conditionalFormatting sqref="DM67:DM79">
    <cfRule type="colorScale" priority="41">
      <colorScale>
        <cfvo type="min"/>
        <cfvo type="max"/>
        <color rgb="00FFFFFF"/>
        <color rgb="0063BE7B"/>
      </colorScale>
    </cfRule>
  </conditionalFormatting>
  <conditionalFormatting sqref="DQ67:DQ79">
    <cfRule type="cellIs" priority="42" operator="greaterThan" dxfId="2">
      <formula>0</formula>
    </cfRule>
    <cfRule type="cellIs" priority="43" operator="lessThan" dxfId="3">
      <formula>0</formula>
    </cfRule>
  </conditionalFormatting>
  <conditionalFormatting sqref="DV67:DV79">
    <cfRule type="colorScale" priority="44">
      <colorScale>
        <cfvo type="min"/>
        <cfvo type="max"/>
        <color rgb="00FFFFFF"/>
        <color rgb="0063BE7B"/>
      </colorScale>
    </cfRule>
  </conditionalFormatting>
  <conditionalFormatting sqref="DZ67:DZ79">
    <cfRule type="cellIs" priority="45" operator="greaterThan" dxfId="2">
      <formula>0</formula>
    </cfRule>
    <cfRule type="cellIs" priority="46" operator="lessThan" dxfId="3">
      <formula>0</formula>
    </cfRule>
  </conditionalFormatting>
  <conditionalFormatting sqref="EE67:EE79">
    <cfRule type="colorScale" priority="47">
      <colorScale>
        <cfvo type="min"/>
        <cfvo type="max"/>
        <color rgb="00FFFFFF"/>
        <color rgb="0063BE7B"/>
      </colorScale>
    </cfRule>
  </conditionalFormatting>
  <conditionalFormatting sqref="EI67:EI79">
    <cfRule type="cellIs" priority="48" operator="greaterThan" dxfId="2">
      <formula>0</formula>
    </cfRule>
    <cfRule type="cellIs" priority="49" operator="lessThan" dxfId="3">
      <formula>0</formula>
    </cfRule>
  </conditionalFormatting>
  <conditionalFormatting sqref="EN67:EN79">
    <cfRule type="colorScale" priority="50">
      <colorScale>
        <cfvo type="min"/>
        <cfvo type="max"/>
        <color rgb="00FFFFFF"/>
        <color rgb="0063BE7B"/>
      </colorScale>
    </cfRule>
  </conditionalFormatting>
  <conditionalFormatting sqref="ER67:ER79">
    <cfRule type="cellIs" priority="51" operator="greaterThan" dxfId="2">
      <formula>0</formula>
    </cfRule>
    <cfRule type="cellIs" priority="52" operator="lessThan" dxfId="3">
      <formula>0</formula>
    </cfRule>
  </conditionalFormatting>
  <conditionalFormatting sqref="EW67:EW79">
    <cfRule type="colorScale" priority="53">
      <colorScale>
        <cfvo type="min"/>
        <cfvo type="max"/>
        <color rgb="00FFFFFF"/>
        <color rgb="0063BE7B"/>
      </colorScale>
    </cfRule>
  </conditionalFormatting>
  <conditionalFormatting sqref="FA67:FA79">
    <cfRule type="cellIs" priority="54" operator="greaterThan" dxfId="2">
      <formula>0</formula>
    </cfRule>
    <cfRule type="cellIs" priority="55" operator="lessThan" dxfId="3">
      <formula>0</formula>
    </cfRule>
  </conditionalFormatting>
  <conditionalFormatting sqref="FF67:FF79">
    <cfRule type="colorScale" priority="56">
      <colorScale>
        <cfvo type="min"/>
        <cfvo type="max"/>
        <color rgb="00FFFFFF"/>
        <color rgb="0063BE7B"/>
      </colorScale>
    </cfRule>
  </conditionalFormatting>
  <conditionalFormatting sqref="FJ67:FJ79">
    <cfRule type="cellIs" priority="57" operator="greaterThan" dxfId="2">
      <formula>0</formula>
    </cfRule>
    <cfRule type="cellIs" priority="58" operator="lessThan" dxfId="3">
      <formula>0</formula>
    </cfRule>
  </conditionalFormatting>
  <conditionalFormatting sqref="FO67:FO79">
    <cfRule type="colorScale" priority="59">
      <colorScale>
        <cfvo type="min"/>
        <cfvo type="max"/>
        <color rgb="00FFFFFF"/>
        <color rgb="0063BE7B"/>
      </colorScale>
    </cfRule>
  </conditionalFormatting>
  <conditionalFormatting sqref="FS67:FS79">
    <cfRule type="cellIs" priority="60" operator="greaterThan" dxfId="2">
      <formula>0</formula>
    </cfRule>
    <cfRule type="cellIs" priority="61" operator="lessThan" dxfId="3">
      <formula>0</formula>
    </cfRule>
  </conditionalFormatting>
  <conditionalFormatting sqref="FX67:FX79">
    <cfRule type="colorScale" priority="62">
      <colorScale>
        <cfvo type="min"/>
        <cfvo type="max"/>
        <color rgb="00FFFFFF"/>
        <color rgb="0063BE7B"/>
      </colorScale>
    </cfRule>
  </conditionalFormatting>
  <conditionalFormatting sqref="GB67:GB79">
    <cfRule type="cellIs" priority="63" operator="greaterThan" dxfId="2">
      <formula>0</formula>
    </cfRule>
    <cfRule type="cellIs" priority="64" operator="lessThan" dxfId="3">
      <formula>0</formula>
    </cfRule>
  </conditionalFormatting>
  <conditionalFormatting sqref="GG67:GG79">
    <cfRule type="colorScale" priority="65">
      <colorScale>
        <cfvo type="min"/>
        <cfvo type="max"/>
        <color rgb="00FFFFFF"/>
        <color rgb="0063BE7B"/>
      </colorScale>
    </cfRule>
  </conditionalFormatting>
  <conditionalFormatting sqref="GK67:GK79">
    <cfRule type="cellIs" priority="66" operator="greaterThan" dxfId="2">
      <formula>0</formula>
    </cfRule>
    <cfRule type="cellIs" priority="67" operator="lessThan" dxfId="3">
      <formula>0</formula>
    </cfRule>
  </conditionalFormatting>
  <conditionalFormatting sqref="GP67:GP79">
    <cfRule type="colorScale" priority="68">
      <colorScale>
        <cfvo type="min"/>
        <cfvo type="max"/>
        <color rgb="00FFFFFF"/>
        <color rgb="0063BE7B"/>
      </colorScale>
    </cfRule>
  </conditionalFormatting>
  <conditionalFormatting sqref="GT67:GT79">
    <cfRule type="cellIs" priority="69" operator="greaterThan" dxfId="2">
      <formula>0</formula>
    </cfRule>
    <cfRule type="cellIs" priority="70" operator="lessThan" dxfId="3">
      <formula>0</formula>
    </cfRule>
  </conditionalFormatting>
  <conditionalFormatting sqref="GY67:GY79">
    <cfRule type="colorScale" priority="71">
      <colorScale>
        <cfvo type="min"/>
        <cfvo type="max"/>
        <color rgb="00FFFFFF"/>
        <color rgb="0063BE7B"/>
      </colorScale>
    </cfRule>
  </conditionalFormatting>
  <conditionalFormatting sqref="HC67:HC79">
    <cfRule type="cellIs" priority="72" operator="greaterThan" dxfId="2">
      <formula>0</formula>
    </cfRule>
    <cfRule type="cellIs" priority="73" operator="lessThan" dxfId="3">
      <formula>0</formula>
    </cfRule>
  </conditionalFormatting>
  <conditionalFormatting sqref="HH67:HH79">
    <cfRule type="colorScale" priority="74">
      <colorScale>
        <cfvo type="min"/>
        <cfvo type="max"/>
        <color rgb="00FFFFFF"/>
        <color rgb="0063BE7B"/>
      </colorScale>
    </cfRule>
  </conditionalFormatting>
  <conditionalFormatting sqref="HL67:HL79">
    <cfRule type="cellIs" priority="75" operator="greaterThan" dxfId="2">
      <formula>0</formula>
    </cfRule>
    <cfRule type="cellIs" priority="76" operator="lessThan" dxfId="3">
      <formula>0</formula>
    </cfRule>
  </conditionalFormatting>
  <conditionalFormatting sqref="HQ67:HQ79">
    <cfRule type="colorScale" priority="77">
      <colorScale>
        <cfvo type="min"/>
        <cfvo type="max"/>
        <color rgb="00FFFFFF"/>
        <color rgb="0063BE7B"/>
      </colorScale>
    </cfRule>
  </conditionalFormatting>
  <conditionalFormatting sqref="HU67:HU79">
    <cfRule type="cellIs" priority="78" operator="greaterThan" dxfId="2">
      <formula>0</formula>
    </cfRule>
    <cfRule type="cellIs" priority="79" operator="lessThan" dxfId="3">
      <formula>0</formula>
    </cfRule>
  </conditionalFormatting>
  <conditionalFormatting sqref="HZ67:HZ79">
    <cfRule type="colorScale" priority="80">
      <colorScale>
        <cfvo type="min"/>
        <cfvo type="max"/>
        <color rgb="00FFFFFF"/>
        <color rgb="0063BE7B"/>
      </colorScale>
    </cfRule>
  </conditionalFormatting>
  <conditionalFormatting sqref="ID67:ID79">
    <cfRule type="cellIs" priority="81" operator="greaterThan" dxfId="2">
      <formula>0</formula>
    </cfRule>
    <cfRule type="cellIs" priority="82" operator="lessThan" dxfId="3">
      <formula>0</formula>
    </cfRule>
  </conditionalFormatting>
  <conditionalFormatting sqref="II67:II79">
    <cfRule type="colorScale" priority="83">
      <colorScale>
        <cfvo type="min"/>
        <cfvo type="max"/>
        <color rgb="00FFFFFF"/>
        <color rgb="0063BE7B"/>
      </colorScale>
    </cfRule>
  </conditionalFormatting>
  <conditionalFormatting sqref="IM67:IM79">
    <cfRule type="cellIs" priority="84" operator="greaterThan" dxfId="2">
      <formula>0</formula>
    </cfRule>
    <cfRule type="cellIs" priority="85" operator="lessThan" dxfId="3">
      <formula>0</formula>
    </cfRule>
  </conditionalFormatting>
  <conditionalFormatting sqref="IR67:IR79">
    <cfRule type="colorScale" priority="86">
      <colorScale>
        <cfvo type="min"/>
        <cfvo type="max"/>
        <color rgb="00FFFFFF"/>
        <color rgb="0063BE7B"/>
      </colorScale>
    </cfRule>
  </conditionalFormatting>
  <conditionalFormatting sqref="IV67:IV79">
    <cfRule type="cellIs" priority="87" operator="greaterThan" dxfId="2">
      <formula>0</formula>
    </cfRule>
    <cfRule type="cellIs" priority="88" operator="lessThan" dxfId="3">
      <formula>0</formula>
    </cfRule>
  </conditionalFormatting>
  <conditionalFormatting sqref="JA67:JA79">
    <cfRule type="colorScale" priority="89">
      <colorScale>
        <cfvo type="min"/>
        <cfvo type="max"/>
        <color rgb="00FFFFFF"/>
        <color rgb="0063BE7B"/>
      </colorScale>
    </cfRule>
  </conditionalFormatting>
  <conditionalFormatting sqref="JE67:JE79">
    <cfRule type="cellIs" priority="90" operator="greaterThan" dxfId="2">
      <formula>0</formula>
    </cfRule>
    <cfRule type="cellIs" priority="91" operator="lessThan" dxfId="3">
      <formula>0</formula>
    </cfRule>
  </conditionalFormatting>
  <conditionalFormatting sqref="JJ67:JJ79">
    <cfRule type="colorScale" priority="92">
      <colorScale>
        <cfvo type="min"/>
        <cfvo type="max"/>
        <color rgb="00FFFFFF"/>
        <color rgb="0063BE7B"/>
      </colorScale>
    </cfRule>
  </conditionalFormatting>
  <conditionalFormatting sqref="JN67:JN79">
    <cfRule type="cellIs" priority="93" operator="greaterThan" dxfId="2">
      <formula>0</formula>
    </cfRule>
    <cfRule type="cellIs" priority="94" operator="lessThan" dxfId="3">
      <formula>0</formula>
    </cfRule>
  </conditionalFormatting>
  <conditionalFormatting sqref="JS67:JS79">
    <cfRule type="colorScale" priority="95">
      <colorScale>
        <cfvo type="min"/>
        <cfvo type="max"/>
        <color rgb="00FFFFFF"/>
        <color rgb="0063BE7B"/>
      </colorScale>
    </cfRule>
  </conditionalFormatting>
  <conditionalFormatting sqref="JZ67:JZ79">
    <cfRule type="expression" priority="96" dxfId="0">
      <formula>ISNUMBER(SEARCH("Atingida",JZ67))</formula>
    </cfRule>
  </conditionalFormatting>
  <dataValidations count="4">
    <dataValidation sqref="B67:B79 K67:K79 T67:T79 AC67:AC79 AL67:AL79 AU67:AU79 BD67:BD79 BM67:BM79 BV67:BV79 CE67:CE79 CN67:CN79 CW67:CW79 DF67:DF79 DO67:DO79 DX67:DX79 EG67:EG79 EP67:EP79 EY67:EY79 FH67:FH79 FQ67:FQ79 FZ67:FZ79 GI67:GI79 GR67:GR79 HA67:HA79 HJ67:HJ79 HS67:HS79 IB67:IB79 IK67:IK79 IT67:IT79 JC67:JC79 JL67:JL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D67:D79 M67:M79 V67:V79 AE67:AE79 AN67:AN79 AW67:AW79 BF67:BF79 BO67:BO79 BX67:BX79 CG67:CG79 CP67:CP79 CY67:CY79 DH67:DH79 DQ67:DQ79 DZ67:DZ79 EI67:EI79 ER67:ER79 FA67:FA79 FJ67:FJ79 FS67:FS79 GB67:GB79 GK67:GK79 GT67:GT79 HC67:HC79 HL67:HL79 HU67:HU79 ID67:ID79 IM67:IM79 IV67:IV79 JE67:JE79 JN67:JN79" showDropDown="0" showInputMessage="0" showErrorMessage="1" allowBlank="1" errorTitle="Valor inválido" error="Informe um valor numérico (positivo ou negativo)." type="decimal" operator="between">
      <formula1>-999999999</formula1>
      <formula2>999999999</formula2>
    </dataValidation>
    <dataValidation sqref="E67:E79 F67:F79 G67:G79 H67:H79 N67:N79 O67:O79 P67:P79 Q67:Q79 W67:W79 X67:X79 Y67:Y79 Z67:Z79 AF67:AF79 AG67:AG79 AH67:AH79 AI67:AI79 AO67:AO79 AP67:AP79 AQ67:AQ79 AR67:AR79 AX67:AX79 AY67:AY79 AZ67:AZ79 BA67:BA79 BG67:BG79 BH67:BH79 BI67:BI79 BJ67:BJ79 BP67:BP79 BQ67:BQ79 BR67:BR79 BS67:BS79 BY67:BY79 BZ67:BZ79 CA67:CA79 CB67:CB79 CH67:CH79 CI67:CI79 CJ67:CJ79 CK67:CK79 CQ67:CQ79 CR67:CR79 CS67:CS79 CT67:CT79 CZ67:CZ79 DA67:DA79 DB67:DB79 DC67:DC79 DI67:DI79 DJ67:DJ79 DK67:DK79 DL67:DL79 DR67:DR79 DS67:DS79 DT67:DT79 DU67:DU79 EA67:EA79 EB67:EB79 EC67:EC79 ED67:ED79 EJ67:EJ79 EK67:EK79 EL67:EL79 EM67:EM79 ES67:ES79 ET67:ET79 EU67:EU79 EV67:EV79 FB67:FB79 FC67:FC79 FD67:FD79 FE67:FE79 FK67:FK79 FL67:FL79 FM67:FM79 FN67:FN79 FT67:FT79 FU67:FU79 FV67:FV79 FW67:FW79 GC67:GC79 GD67:GD79 GE67:GE79 GF67:GF79 GL67:GL79 GM67:GM79 GN67:GN79 GO67:GO79 GU67:GU79 GV67:GV79 GW67:GW79 GX67:GX79 HD67:HD79 HE67:HE79 HF67:HF79 HG67:HG79 HM67:HM79 HN67:HN79 HO67:HO79 HP67:HP79 HV67:HV79 HW67:HW79 HX67:HX79 HY67:HY79 IE67:IE79 IF67:IF79 IG67:IG79 IH67:IH79 IN67:IN79 IO67:IO79 IP67:IP79 IQ67:IQ79 IW67:IW79 IX67:IX79 IY67:IY79 IZ67:IZ79 JF67:JF79 JG67:JG79 JH67:JH79 JI67:JI79 JO67:JO79 JP67:JP79 JQ67:JQ79 JR67:JR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J67:J79 S67:S79 AB67:AB79 AK67:AK79 AT67:AT79 BC67:BC79 BL67:BL79 BU67:BU79 CD67:CD79 CM67:CM79 CV67:CV79 DE67:DE79 DN67:DN79 DW67:DW79 EF67:EF79 EO67:EO79 EX67:EX79 FG67:FG79 FP67:FP79 FY67:FY79 GH67:GH79 GQ67:GQ79 GZ67:GZ79 HI67:HI79 HR67:HR79 IA67:IA79 IJ67:IJ79 IS67:IS79 JB67:JB79 JK67:JK79 JT67:JT79" showDropDown="0" showInputMessage="0" showErrorMessage="1" allowBlank="1" errorTitle="Texto muito longo" error="Limite de 300 caracteres." type="textLength" operator="lessThanOrEqual">
      <formula1>300</formula1>
    </dataValidation>
  </dataValidations>
  <pageMargins left="0.75" right="0.75" top="1" bottom="1" header="0.5" footer="0.5"/>
  <pageSetup orientation="landscape" fitToHeight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I79"/>
  <sheetViews>
    <sheetView showGridLines="0" zoomScale="90" workbookViewId="0">
      <pane xSplit="1" ySplit="66" topLeftCell="B6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11" customWidth="1" min="5" max="5"/>
    <col width="12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4" customWidth="1" min="13" max="13"/>
    <col width="11" customWidth="1" min="14" max="14"/>
    <col width="12" customWidth="1" min="15" max="15"/>
    <col width="13" customWidth="1" min="16" max="16"/>
    <col width="13" customWidth="1" min="17" max="17"/>
    <col width="13" customWidth="1" min="18" max="18"/>
    <col width="20" customWidth="1" min="19" max="19"/>
    <col width="13" customWidth="1" min="20" max="20"/>
    <col width="13" customWidth="1" min="21" max="21"/>
    <col width="14" customWidth="1" min="22" max="22"/>
    <col width="11" customWidth="1" min="23" max="23"/>
    <col width="12" customWidth="1" min="24" max="24"/>
    <col width="13" customWidth="1" min="25" max="25"/>
    <col width="13" customWidth="1" min="26" max="26"/>
    <col width="13" customWidth="1" min="27" max="27"/>
    <col width="20" customWidth="1" min="28" max="28"/>
    <col width="13" customWidth="1" min="29" max="29"/>
    <col width="13" customWidth="1" min="30" max="30"/>
    <col width="14" customWidth="1" min="31" max="31"/>
    <col width="11" customWidth="1" min="32" max="32"/>
    <col width="12" customWidth="1" min="33" max="33"/>
    <col width="13" customWidth="1" min="34" max="34"/>
    <col width="13" customWidth="1" min="35" max="35"/>
    <col width="13" customWidth="1" min="36" max="36"/>
    <col width="20" customWidth="1" min="37" max="37"/>
    <col width="13" customWidth="1" min="38" max="38"/>
    <col width="13" customWidth="1" min="39" max="39"/>
    <col width="14" customWidth="1" min="40" max="40"/>
    <col width="11" customWidth="1" min="41" max="41"/>
    <col width="12" customWidth="1" min="42" max="42"/>
    <col width="13" customWidth="1" min="43" max="43"/>
    <col width="13" customWidth="1" min="44" max="44"/>
    <col width="13" customWidth="1" min="45" max="45"/>
    <col width="20" customWidth="1" min="46" max="46"/>
    <col width="13" customWidth="1" min="47" max="47"/>
    <col width="13" customWidth="1" min="48" max="48"/>
    <col width="14" customWidth="1" min="49" max="49"/>
    <col width="11" customWidth="1" min="50" max="50"/>
    <col width="12" customWidth="1" min="51" max="51"/>
    <col width="13" customWidth="1" min="52" max="52"/>
    <col width="13" customWidth="1" min="53" max="53"/>
    <col width="13" customWidth="1" min="54" max="54"/>
    <col width="20" customWidth="1" min="55" max="55"/>
    <col width="13" customWidth="1" min="56" max="56"/>
    <col width="13" customWidth="1" min="57" max="57"/>
    <col width="14" customWidth="1" min="58" max="58"/>
    <col width="11" customWidth="1" min="59" max="59"/>
    <col width="12" customWidth="1" min="60" max="60"/>
    <col width="13" customWidth="1" min="61" max="61"/>
    <col width="13" customWidth="1" min="62" max="62"/>
    <col width="13" customWidth="1" min="63" max="63"/>
    <col width="20" customWidth="1" min="64" max="64"/>
    <col width="13" customWidth="1" min="65" max="65"/>
    <col width="13" customWidth="1" min="66" max="66"/>
    <col width="14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20" customWidth="1" min="73" max="73"/>
    <col width="13" customWidth="1" min="74" max="74"/>
    <col width="13" customWidth="1" min="75" max="75"/>
    <col width="14" customWidth="1" min="76" max="76"/>
    <col width="11" customWidth="1" min="77" max="77"/>
    <col width="12" customWidth="1" min="78" max="78"/>
    <col width="13" customWidth="1" min="79" max="79"/>
    <col width="13" customWidth="1" min="80" max="80"/>
    <col width="13" customWidth="1" min="81" max="81"/>
    <col width="20" customWidth="1" min="82" max="82"/>
    <col width="13" customWidth="1" min="83" max="83"/>
    <col width="13" customWidth="1" min="84" max="84"/>
    <col width="14" customWidth="1" min="85" max="85"/>
    <col width="11" customWidth="1" min="86" max="86"/>
    <col width="12" customWidth="1" min="87" max="87"/>
    <col width="13" customWidth="1" min="88" max="88"/>
    <col width="13" customWidth="1" min="89" max="89"/>
    <col width="13" customWidth="1" min="90" max="90"/>
    <col width="20" customWidth="1" min="91" max="91"/>
    <col width="13" customWidth="1" min="92" max="92"/>
    <col width="13" customWidth="1" min="93" max="93"/>
    <col width="14" customWidth="1" min="94" max="94"/>
    <col width="11" customWidth="1" min="95" max="95"/>
    <col width="12" customWidth="1" min="96" max="96"/>
    <col width="13" customWidth="1" min="97" max="97"/>
    <col width="13" customWidth="1" min="98" max="98"/>
    <col width="13" customWidth="1" min="99" max="99"/>
    <col width="20" customWidth="1" min="100" max="100"/>
    <col width="13" customWidth="1" min="101" max="101"/>
    <col width="13" customWidth="1" min="102" max="102"/>
    <col width="14" customWidth="1" min="103" max="103"/>
    <col width="11" customWidth="1" min="104" max="104"/>
    <col width="12" customWidth="1" min="105" max="105"/>
    <col width="13" customWidth="1" min="106" max="106"/>
    <col width="13" customWidth="1" min="107" max="107"/>
    <col width="13" customWidth="1" min="108" max="108"/>
    <col width="20" customWidth="1" min="109" max="109"/>
    <col width="13" customWidth="1" min="110" max="110"/>
    <col width="13" customWidth="1" min="111" max="111"/>
    <col width="14" customWidth="1" min="112" max="112"/>
    <col width="11" customWidth="1" min="113" max="113"/>
    <col width="12" customWidth="1" min="114" max="114"/>
    <col width="13" customWidth="1" min="115" max="115"/>
    <col width="13" customWidth="1" min="116" max="116"/>
    <col width="13" customWidth="1" min="117" max="117"/>
    <col width="20" customWidth="1" min="118" max="118"/>
    <col width="13" customWidth="1" min="119" max="119"/>
    <col width="13" customWidth="1" min="120" max="120"/>
    <col width="14" customWidth="1" min="121" max="121"/>
    <col width="11" customWidth="1" min="122" max="122"/>
    <col width="12" customWidth="1" min="123" max="123"/>
    <col width="13" customWidth="1" min="124" max="124"/>
    <col width="13" customWidth="1" min="125" max="125"/>
    <col width="13" customWidth="1" min="126" max="126"/>
    <col width="20" customWidth="1" min="127" max="127"/>
    <col width="13" customWidth="1" min="128" max="128"/>
    <col width="13" customWidth="1" min="129" max="129"/>
    <col width="14" customWidth="1" min="130" max="130"/>
    <col width="11" customWidth="1" min="131" max="131"/>
    <col width="12" customWidth="1" min="132" max="132"/>
    <col width="13" customWidth="1" min="133" max="133"/>
    <col width="13" customWidth="1" min="134" max="134"/>
    <col width="13" customWidth="1" min="135" max="135"/>
    <col width="20" customWidth="1" min="136" max="136"/>
    <col width="13" customWidth="1" min="137" max="137"/>
    <col width="13" customWidth="1" min="138" max="138"/>
    <col width="14" customWidth="1" min="139" max="139"/>
    <col width="11" customWidth="1" min="140" max="140"/>
    <col width="12" customWidth="1" min="141" max="141"/>
    <col width="13" customWidth="1" min="142" max="142"/>
    <col width="13" customWidth="1" min="143" max="143"/>
    <col width="13" customWidth="1" min="144" max="144"/>
    <col width="20" customWidth="1" min="145" max="145"/>
    <col width="13" customWidth="1" min="146" max="146"/>
    <col width="13" customWidth="1" min="147" max="147"/>
    <col width="14" customWidth="1" min="148" max="148"/>
    <col width="11" customWidth="1" min="149" max="149"/>
    <col width="12" customWidth="1" min="150" max="150"/>
    <col width="13" customWidth="1" min="151" max="151"/>
    <col width="13" customWidth="1" min="152" max="152"/>
    <col width="13" customWidth="1" min="153" max="153"/>
    <col width="20" customWidth="1" min="154" max="154"/>
    <col width="13" customWidth="1" min="155" max="155"/>
    <col width="13" customWidth="1" min="156" max="156"/>
    <col width="14" customWidth="1" min="157" max="157"/>
    <col width="11" customWidth="1" min="158" max="158"/>
    <col width="12" customWidth="1" min="159" max="159"/>
    <col width="13" customWidth="1" min="160" max="160"/>
    <col width="13" customWidth="1" min="161" max="161"/>
    <col width="13" customWidth="1" min="162" max="162"/>
    <col width="20" customWidth="1" min="163" max="163"/>
    <col width="13" customWidth="1" min="164" max="164"/>
    <col width="13" customWidth="1" min="165" max="165"/>
    <col width="14" customWidth="1" min="166" max="166"/>
    <col width="11" customWidth="1" min="167" max="167"/>
    <col width="12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13" customWidth="1" min="173" max="173"/>
    <col width="13" customWidth="1" min="174" max="174"/>
    <col width="14" customWidth="1" min="175" max="175"/>
    <col width="11" customWidth="1" min="176" max="176"/>
    <col width="12" customWidth="1" min="177" max="177"/>
    <col width="13" customWidth="1" min="178" max="178"/>
    <col width="13" customWidth="1" min="179" max="179"/>
    <col width="13" customWidth="1" min="180" max="180"/>
    <col width="20" customWidth="1" min="181" max="181"/>
    <col width="13" customWidth="1" min="182" max="182"/>
    <col width="13" customWidth="1" min="183" max="183"/>
    <col width="14" customWidth="1" min="184" max="184"/>
    <col width="11" customWidth="1" min="185" max="185"/>
    <col width="12" customWidth="1" min="186" max="186"/>
    <col width="13" customWidth="1" min="187" max="187"/>
    <col width="13" customWidth="1" min="188" max="188"/>
    <col width="13" customWidth="1" min="189" max="189"/>
    <col width="20" customWidth="1" min="190" max="190"/>
    <col width="13" customWidth="1" min="191" max="191"/>
    <col width="13" customWidth="1" min="192" max="192"/>
    <col width="14" customWidth="1" min="193" max="193"/>
    <col width="11" customWidth="1" min="194" max="194"/>
    <col width="12" customWidth="1" min="195" max="195"/>
    <col width="13" customWidth="1" min="196" max="196"/>
    <col width="13" customWidth="1" min="197" max="197"/>
    <col width="13" customWidth="1" min="198" max="198"/>
    <col width="20" customWidth="1" min="199" max="199"/>
    <col width="13" customWidth="1" min="200" max="200"/>
    <col width="13" customWidth="1" min="201" max="201"/>
    <col width="14" customWidth="1" min="202" max="202"/>
    <col width="11" customWidth="1" min="203" max="203"/>
    <col width="12" customWidth="1" min="204" max="204"/>
    <col width="13" customWidth="1" min="205" max="205"/>
    <col width="13" customWidth="1" min="206" max="206"/>
    <col width="13" customWidth="1" min="207" max="207"/>
    <col width="20" customWidth="1" min="208" max="208"/>
    <col width="13" customWidth="1" min="209" max="209"/>
    <col width="13" customWidth="1" min="210" max="210"/>
    <col width="14" customWidth="1" min="211" max="211"/>
    <col width="11" customWidth="1" min="212" max="212"/>
    <col width="12" customWidth="1" min="213" max="213"/>
    <col width="13" customWidth="1" min="214" max="214"/>
    <col width="13" customWidth="1" min="215" max="215"/>
    <col width="13" customWidth="1" min="216" max="216"/>
    <col width="20" customWidth="1" min="217" max="217"/>
    <col width="13" customWidth="1" min="218" max="218"/>
    <col width="13" customWidth="1" min="219" max="219"/>
    <col width="14" customWidth="1" min="220" max="220"/>
    <col width="11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20" customWidth="1" min="226" max="226"/>
    <col width="13" customWidth="1" min="227" max="227"/>
    <col width="13" customWidth="1" min="228" max="228"/>
    <col width="14" customWidth="1" min="229" max="229"/>
    <col width="11" customWidth="1" min="230" max="230"/>
    <col width="12" customWidth="1" min="231" max="231"/>
    <col width="13" customWidth="1" min="232" max="232"/>
    <col width="13" customWidth="1" min="233" max="233"/>
    <col width="13" customWidth="1" min="234" max="234"/>
    <col width="20" customWidth="1" min="235" max="235"/>
    <col width="13" customWidth="1" min="236" max="236"/>
    <col width="13" customWidth="1" min="237" max="237"/>
    <col width="14" customWidth="1" min="238" max="238"/>
    <col width="11" customWidth="1" min="239" max="239"/>
    <col width="12" customWidth="1" min="240" max="240"/>
    <col width="13" customWidth="1" min="241" max="241"/>
    <col width="13" customWidth="1" min="242" max="242"/>
    <col width="13" customWidth="1" min="243" max="243"/>
    <col width="20" customWidth="1" min="244" max="244"/>
    <col width="13" customWidth="1" min="245" max="245"/>
    <col width="13" customWidth="1" min="246" max="246"/>
    <col width="14" customWidth="1" min="247" max="247"/>
    <col width="11" customWidth="1" min="248" max="248"/>
    <col width="12" customWidth="1" min="249" max="249"/>
    <col width="13" customWidth="1" min="250" max="250"/>
    <col width="13" customWidth="1" min="251" max="251"/>
    <col width="13" customWidth="1" min="252" max="252"/>
    <col width="20" customWidth="1" min="253" max="253"/>
    <col width="13" customWidth="1" min="254" max="254"/>
    <col width="13" customWidth="1" min="255" max="255"/>
    <col width="14" customWidth="1" min="256" max="256"/>
    <col width="11" customWidth="1" min="257" max="257"/>
    <col width="12" customWidth="1" min="258" max="258"/>
    <col width="13" customWidth="1" min="259" max="259"/>
    <col width="13" customWidth="1" min="260" max="260"/>
    <col width="13" customWidth="1" min="261" max="261"/>
    <col width="20" customWidth="1" min="262" max="262"/>
    <col width="13" customWidth="1" min="263" max="263"/>
    <col width="13" customWidth="1" min="264" max="264"/>
    <col width="14" customWidth="1" min="265" max="265"/>
    <col width="11" customWidth="1" min="266" max="266"/>
    <col width="12" customWidth="1" min="267" max="267"/>
    <col width="13" customWidth="1" min="268" max="268"/>
    <col width="13" customWidth="1" min="269" max="269"/>
    <col width="13" customWidth="1" min="270" max="270"/>
    <col width="20" customWidth="1" min="271" max="271"/>
    <col width="13" customWidth="1" min="272" max="272"/>
    <col width="13" customWidth="1" min="273" max="273"/>
    <col width="14" customWidth="1" min="274" max="274"/>
    <col width="11" customWidth="1" min="275" max="275"/>
    <col width="12" customWidth="1" min="276" max="276"/>
    <col width="13" customWidth="1" min="277" max="277"/>
    <col width="13" customWidth="1" min="278" max="278"/>
    <col width="13" customWidth="1" min="279" max="279"/>
    <col width="20" customWidth="1" min="280" max="280"/>
    <col width="16" customWidth="1" min="281" max="281"/>
    <col width="16" customWidth="1" min="282" max="282"/>
    <col width="16" customWidth="1" min="283" max="283"/>
    <col width="14" customWidth="1" min="284" max="284"/>
    <col width="14" customWidth="1" min="285" max="285"/>
    <col width="14" customWidth="1" min="286" max="286"/>
    <col hidden="1" width="10" customWidth="1" min="287" max="287"/>
    <col hidden="1" width="16" customWidth="1" min="289" max="289"/>
    <col hidden="1" width="16" customWidth="1" min="290" max="290"/>
    <col hidden="1" width="16" customWidth="1" min="291" max="291"/>
    <col hidden="1" width="16" customWidth="1" min="292" max="292"/>
    <col hidden="1" width="16" customWidth="1" min="294" max="294"/>
    <col hidden="1" width="16" customWidth="1" min="295" max="295"/>
  </cols>
  <sheetData>
    <row r="1" ht="32" customHeight="1">
      <c r="A1" s="11">
        <f>"ACOMPANHAMENTO DIÁRIO DE ASSESSORES — DEZEMBRO / "&amp;Configurações!$B$3</f>
        <v/>
      </c>
      <c r="KC1" t="inlineStr">
        <is>
          <t>Dia</t>
        </is>
      </c>
      <c r="KD1" t="inlineStr">
        <is>
          <t>Data</t>
        </is>
      </c>
      <c r="KE1" t="inlineStr">
        <is>
          <t>Produção do Dia</t>
        </is>
      </c>
      <c r="KF1" t="inlineStr">
        <is>
          <t>Captação do Dia</t>
        </is>
      </c>
    </row>
    <row r="2" ht="18" customHeight="1">
      <c r="A2" s="12">
        <f>"Dias no mês: "&amp;$Z$3&amp;"   |   Cada assessor ocupa 1 linha. Role para a direita para ver os dias. Apenas as células destacadas em amarelo são editáveis."</f>
        <v/>
      </c>
      <c r="KC2" s="13" t="n">
        <v>1</v>
      </c>
      <c r="KD2" s="14">
        <f>IF(1&lt;=$Z$3,DATE(Configurações!$B$3,12,1),"")</f>
        <v/>
      </c>
      <c r="KE2" s="13">
        <f>SUM($I$67:$I$79)</f>
        <v/>
      </c>
      <c r="KF2" s="13">
        <f>SUM($D$67:$D$79)</f>
        <v/>
      </c>
      <c r="KH2" t="inlineStr">
        <is>
          <t>COE</t>
        </is>
      </c>
      <c r="KI2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</row>
    <row r="3">
      <c r="Y3" s="15" t="inlineStr">
        <is>
          <t>Dias no mês</t>
        </is>
      </c>
      <c r="Z3" s="16">
        <f>DAY(EOMONTH(DATE(Configurações!$B$3,12,1),0))</f>
        <v/>
      </c>
      <c r="KC3" s="13" t="n">
        <v>2</v>
      </c>
      <c r="KD3" s="14">
        <f>IF(2&lt;=$Z$3,DATE(Configurações!$B$3,12,2),"")</f>
        <v/>
      </c>
      <c r="KE3" s="13">
        <f>SUM($R$67:$R$79)</f>
        <v/>
      </c>
      <c r="KF3" s="13">
        <f>SUM($M$67:$M$79)</f>
        <v/>
      </c>
      <c r="KH3" t="inlineStr">
        <is>
          <t>PREVIDÊNCIA</t>
        </is>
      </c>
      <c r="KI3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</row>
    <row r="4" ht="22" customHeight="1">
      <c r="A4" s="17" t="inlineStr">
        <is>
          <t>📊  INDICADORES DO MÊS</t>
        </is>
      </c>
      <c r="KC4" s="13" t="n">
        <v>3</v>
      </c>
      <c r="KD4" s="14">
        <f>IF(3&lt;=$Z$3,DATE(Configurações!$B$3,12,3),"")</f>
        <v/>
      </c>
      <c r="KE4" s="13">
        <f>SUM($AA$67:$AA$79)</f>
        <v/>
      </c>
      <c r="KF4" s="13">
        <f>SUM($V$67:$V$79)</f>
        <v/>
      </c>
      <c r="KH4" t="inlineStr">
        <is>
          <t>CRÉDITO PRIVADO</t>
        </is>
      </c>
      <c r="KI4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</row>
    <row r="5" ht="26" customHeight="1">
      <c r="A5" s="18" t="inlineStr">
        <is>
          <t>PRODUÇÃO TOTAL DO MÊS</t>
        </is>
      </c>
      <c r="C5" s="18" t="inlineStr">
        <is>
          <t>CAPTAÇÃO LÍQUIDA DO MÊS</t>
        </is>
      </c>
      <c r="E5" s="18" t="inlineStr">
        <is>
          <t>SALDO PULSO TOTAL (ATUAL)</t>
        </is>
      </c>
      <c r="G5" s="18" t="inlineStr">
        <is>
          <t>MÉDIA DIÁRIA DA EQUIPE</t>
        </is>
      </c>
      <c r="I5" s="18" t="inlineStr">
        <is>
          <t>MELHOR DIA DE PRODUÇÃO</t>
        </is>
      </c>
      <c r="K5" s="18" t="inlineStr">
        <is>
          <t>MELHOR ASSESSOR DO MÊS</t>
        </is>
      </c>
      <c r="KC5" s="13" t="n">
        <v>4</v>
      </c>
      <c r="KD5" s="14">
        <f>IF(4&lt;=$Z$3,DATE(Configurações!$B$3,12,4),"")</f>
        <v/>
      </c>
      <c r="KE5" s="13">
        <f>SUM($AJ$67:$AJ$79)</f>
        <v/>
      </c>
      <c r="KF5" s="13">
        <f>SUM($AE$67:$AE$79)</f>
        <v/>
      </c>
      <c r="KH5" t="inlineStr">
        <is>
          <t>TÍTULOS PÚBLICOS</t>
        </is>
      </c>
      <c r="KI5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</row>
    <row r="6" ht="30" customHeight="1">
      <c r="A6" s="19">
        <f>SUM($JU$67:$JU$79)</f>
        <v/>
      </c>
      <c r="C6" s="19">
        <f>SUM($JV$67:$JV$79)</f>
        <v/>
      </c>
      <c r="E6" s="19">
        <f>SUM($JW$67:$JW$79)</f>
        <v/>
      </c>
      <c r="G6" s="19">
        <f>IFERROR(SUM($JU$67:$JU$79)/$Z$3,0)</f>
        <v/>
      </c>
      <c r="I6" s="20">
        <f>IFERROR("Dia "&amp;TEXT(INDEX($KD$2:$KD$32,MATCH(MAX($KE$2:$KE$32),$KE$2:$KE$32,0)),"dd/mm")&amp;"  -  "&amp;TEXT(MAX($KE$2:$KE$32),"R$ #,##0"),"—")</f>
        <v/>
      </c>
      <c r="K6" s="20">
        <f>IFERROR($B$14&amp;"  -  "&amp;TEXT($C$14,"R$ #,##0"),"—")</f>
        <v/>
      </c>
      <c r="KC6" s="13" t="n">
        <v>5</v>
      </c>
      <c r="KD6" s="14">
        <f>IF(5&lt;=$Z$3,DATE(Configurações!$B$3,12,5),"")</f>
        <v/>
      </c>
      <c r="KE6" s="13">
        <f>SUM($AS$67:$AS$79)</f>
        <v/>
      </c>
      <c r="KF6" s="13">
        <f>SUM($AN$67:$AN$79)</f>
        <v/>
      </c>
    </row>
    <row r="7">
      <c r="KC7" s="13" t="n">
        <v>6</v>
      </c>
      <c r="KD7" s="14">
        <f>IF(6&lt;=$Z$3,DATE(Configurações!$B$3,12,6),"")</f>
        <v/>
      </c>
      <c r="KE7" s="13">
        <f>SUM($BB$67:$BB$79)</f>
        <v/>
      </c>
      <c r="KF7" s="13">
        <f>SUM($AW$67:$AW$79)</f>
        <v/>
      </c>
    </row>
    <row r="8" ht="22" customHeight="1">
      <c r="A8" s="17" t="inlineStr">
        <is>
          <t>💰  TOTAIS POR PRODUTO</t>
        </is>
      </c>
      <c r="KC8" s="13" t="n">
        <v>7</v>
      </c>
      <c r="KD8" s="14">
        <f>IF(7&lt;=$Z$3,DATE(Configurações!$B$3,12,7),"")</f>
        <v/>
      </c>
      <c r="KE8" s="13">
        <f>SUM($BK$67:$BK$79)</f>
        <v/>
      </c>
      <c r="KF8" s="13">
        <f>SUM($BF$67:$BF$79)</f>
        <v/>
      </c>
    </row>
    <row r="9" ht="20" customHeight="1">
      <c r="A9" s="18" t="inlineStr">
        <is>
          <t>COE</t>
        </is>
      </c>
      <c r="D9" s="18" t="inlineStr">
        <is>
          <t>PREVIDÊNCIA</t>
        </is>
      </c>
      <c r="G9" s="18" t="inlineStr">
        <is>
          <t>CRÉDITO PRIVADO</t>
        </is>
      </c>
      <c r="J9" s="18" t="inlineStr">
        <is>
          <t>TÍTULOS PÚBLICOS</t>
        </is>
      </c>
      <c r="KC9" s="13" t="n">
        <v>8</v>
      </c>
      <c r="KD9" s="14">
        <f>IF(8&lt;=$Z$3,DATE(Configurações!$B$3,12,8),"")</f>
        <v/>
      </c>
      <c r="KE9" s="13">
        <f>SUM($BT$67:$BT$79)</f>
        <v/>
      </c>
      <c r="KF9" s="13">
        <f>SUM($BO$67:$BO$79)</f>
        <v/>
      </c>
    </row>
    <row r="10" ht="26" customHeight="1">
      <c r="A10" s="19">
        <f>SUM($E$67:$E$79)+SUM($N$67:$N$79)+SUM($W$67:$W$79)+SUM($AF$67:$AF$79)+SUM($AO$67:$AO$79)+SUM($AX$67:$AX$79)+SUM($BG$67:$BG$79)+SUM($BP$67:$BP$79)+SUM($BY$67:$BY$79)+SUM($CH$67:$CH$79)+SUM($CQ$67:$CQ$79)+SUM($CZ$67:$CZ$79)+SUM($DI$67:$DI$79)+SUM($DR$67:$DR$79)+SUM($EA$67:$EA$79)+SUM($EJ$67:$EJ$79)+SUM($ES$67:$ES$79)+SUM($FB$67:$FB$79)+SUM($FK$67:$FK$79)+SUM($FT$67:$FT$79)+SUM($GC$67:$GC$79)+SUM($GL$67:$GL$79)+SUM($GU$67:$GU$79)+SUM($HD$67:$HD$79)+SUM($HM$67:$HM$79)+SUM($HV$67:$HV$79)+SUM($IE$67:$IE$79)+SUM($IN$67:$IN$79)+SUM($IW$67:$IW$79)+SUM($JF$67:$JF$79)+SUM($JO$67:$JO$79)</f>
        <v/>
      </c>
      <c r="D10" s="19">
        <f>SUM($F$67:$F$79)+SUM($O$67:$O$79)+SUM($X$67:$X$79)+SUM($AG$67:$AG$79)+SUM($AP$67:$AP$79)+SUM($AY$67:$AY$79)+SUM($BH$67:$BH$79)+SUM($BQ$67:$BQ$79)+SUM($BZ$67:$BZ$79)+SUM($CI$67:$CI$79)+SUM($CR$67:$CR$79)+SUM($DA$67:$DA$79)+SUM($DJ$67:$DJ$79)+SUM($DS$67:$DS$79)+SUM($EB$67:$EB$79)+SUM($EK$67:$EK$79)+SUM($ET$67:$ET$79)+SUM($FC$67:$FC$79)+SUM($FL$67:$FL$79)+SUM($FU$67:$FU$79)+SUM($GD$67:$GD$79)+SUM($GM$67:$GM$79)+SUM($GV$67:$GV$79)+SUM($HE$67:$HE$79)+SUM($HN$67:$HN$79)+SUM($HW$67:$HW$79)+SUM($IF$67:$IF$79)+SUM($IO$67:$IO$79)+SUM($IX$67:$IX$79)+SUM($JG$67:$JG$79)+SUM($JP$67:$JP$79)</f>
        <v/>
      </c>
      <c r="G10" s="19">
        <f>SUM($G$67:$G$79)+SUM($P$67:$P$79)+SUM($Y$67:$Y$79)+SUM($AH$67:$AH$79)+SUM($AQ$67:$AQ$79)+SUM($AZ$67:$AZ$79)+SUM($BI$67:$BI$79)+SUM($BR$67:$BR$79)+SUM($CA$67:$CA$79)+SUM($CJ$67:$CJ$79)+SUM($CS$67:$CS$79)+SUM($DB$67:$DB$79)+SUM($DK$67:$DK$79)+SUM($DT$67:$DT$79)+SUM($EC$67:$EC$79)+SUM($EL$67:$EL$79)+SUM($EU$67:$EU$79)+SUM($FD$67:$FD$79)+SUM($FM$67:$FM$79)+SUM($FV$67:$FV$79)+SUM($GE$67:$GE$79)+SUM($GN$67:$GN$79)+SUM($GW$67:$GW$79)+SUM($HF$67:$HF$79)+SUM($HO$67:$HO$79)+SUM($HX$67:$HX$79)+SUM($IG$67:$IG$79)+SUM($IP$67:$IP$79)+SUM($IY$67:$IY$79)+SUM($JH$67:$JH$79)+SUM($JQ$67:$JQ$79)</f>
        <v/>
      </c>
      <c r="J10" s="19">
        <f>SUM($H$67:$H$79)+SUM($Q$67:$Q$79)+SUM($Z$67:$Z$79)+SUM($AI$67:$AI$79)+SUM($AR$67:$AR$79)+SUM($BA$67:$BA$79)+SUM($BJ$67:$BJ$79)+SUM($BS$67:$BS$79)+SUM($CB$67:$CB$79)+SUM($CK$67:$CK$79)+SUM($CT$67:$CT$79)+SUM($DC$67:$DC$79)+SUM($DL$67:$DL$79)+SUM($DU$67:$DU$79)+SUM($ED$67:$ED$79)+SUM($EM$67:$EM$79)+SUM($EV$67:$EV$79)+SUM($FE$67:$FE$79)+SUM($FN$67:$FN$79)+SUM($FW$67:$FW$79)+SUM($GF$67:$GF$79)+SUM($GO$67:$GO$79)+SUM($GX$67:$GX$79)+SUM($HG$67:$HG$79)+SUM($HP$67:$HP$79)+SUM($HY$67:$HY$79)+SUM($IH$67:$IH$79)+SUM($IQ$67:$IQ$79)+SUM($IZ$67:$IZ$79)+SUM($JI$67:$JI$79)+SUM($JR$67:$JR$79)</f>
        <v/>
      </c>
      <c r="KC10" s="13" t="n">
        <v>9</v>
      </c>
      <c r="KD10" s="14">
        <f>IF(9&lt;=$Z$3,DATE(Configurações!$B$3,12,9),"")</f>
        <v/>
      </c>
      <c r="KE10" s="13">
        <f>SUM($CC$67:$CC$79)</f>
        <v/>
      </c>
      <c r="KF10" s="13">
        <f>SUM($BX$67:$BX$79)</f>
        <v/>
      </c>
    </row>
    <row r="11">
      <c r="KC11" s="13" t="n">
        <v>10</v>
      </c>
      <c r="KD11" s="14">
        <f>IF(10&lt;=$Z$3,DATE(Configurações!$B$3,12,10),"")</f>
        <v/>
      </c>
      <c r="KE11" s="13">
        <f>SUM($CL$67:$CL$79)</f>
        <v/>
      </c>
      <c r="KF11" s="13">
        <f>SUM($CG$67:$CG$79)</f>
        <v/>
      </c>
    </row>
    <row r="12" ht="22" customHeight="1">
      <c r="A12" s="17" t="inlineStr">
        <is>
          <t>🏆  RANKING DE ASSESSORES (TOP 5 EM DESTAQUE)</t>
        </is>
      </c>
      <c r="KC12" s="13" t="n">
        <v>11</v>
      </c>
      <c r="KD12" s="14">
        <f>IF(11&lt;=$Z$3,DATE(Configurações!$B$3,12,11),"")</f>
        <v/>
      </c>
      <c r="KE12" s="13">
        <f>SUM($CU$67:$CU$79)</f>
        <v/>
      </c>
      <c r="KF12" s="13">
        <f>SUM($CP$67:$CP$79)</f>
        <v/>
      </c>
    </row>
    <row r="13" ht="22" customHeight="1">
      <c r="A13" s="5" t="inlineStr">
        <is>
          <t>Pos.</t>
        </is>
      </c>
      <c r="B13" s="5" t="inlineStr">
        <is>
          <t>Assessor</t>
        </is>
      </c>
      <c r="C13" s="5" t="inlineStr">
        <is>
          <t>Produção Total</t>
        </is>
      </c>
      <c r="D13" s="5" t="inlineStr">
        <is>
          <t>Captação Líquida</t>
        </is>
      </c>
      <c r="E13" s="5" t="inlineStr">
        <is>
          <t>Saldo Pulso Atual</t>
        </is>
      </c>
      <c r="F13" s="5" t="inlineStr">
        <is>
          <t>Média Diária</t>
        </is>
      </c>
      <c r="G13" s="5" t="inlineStr">
        <is>
          <t>Meta Mensal</t>
        </is>
      </c>
      <c r="H13" s="5" t="inlineStr">
        <is>
          <t>Status</t>
        </is>
      </c>
      <c r="KC13" s="13" t="n">
        <v>12</v>
      </c>
      <c r="KD13" s="14">
        <f>IF(12&lt;=$Z$3,DATE(Configurações!$B$3,12,12),"")</f>
        <v/>
      </c>
      <c r="KE13" s="13">
        <f>SUM($DD$67:$DD$79)</f>
        <v/>
      </c>
      <c r="KF13" s="13">
        <f>SUM($CY$67:$CY$79)</f>
        <v/>
      </c>
    </row>
    <row r="14" ht="18" customHeight="1">
      <c r="A14" s="21" t="n">
        <v>1</v>
      </c>
      <c r="B14" s="22">
        <f>INDEX($A$67:$A$79,MATCH(LARGE($KA$67:$KA$79,1),$KA$67:$KA$79,0))</f>
        <v/>
      </c>
      <c r="C14" s="23">
        <f>INDEX($JU$67:$JU$79,MATCH(LARGE($KA$67:$KA$79,1),$KA$67:$KA$79,0))</f>
        <v/>
      </c>
      <c r="D14" s="24">
        <f>INDEX($JV$67:$JV$79,MATCH(LARGE($KA$67:$KA$79,1),$KA$67:$KA$79,0))</f>
        <v/>
      </c>
      <c r="E14" s="23">
        <f>INDEX($JW$67:$JW$79,MATCH(LARGE($KA$67:$KA$79,1),$KA$67:$KA$79,0))</f>
        <v/>
      </c>
      <c r="F14" s="23">
        <f>INDEX($JX$67:$JX$79,MATCH(LARGE($KA$67:$KA$79,1),$KA$67:$KA$79,0))</f>
        <v/>
      </c>
      <c r="G14" s="23">
        <f>INDEX($JY$67:$JY$79,MATCH(LARGE($KA$67:$KA$79,1),$KA$67:$KA$79,0))</f>
        <v/>
      </c>
      <c r="H14" s="25">
        <f>IF(G14=0,"— Sem meta",IF(C14&gt;=G14,"✓ Meta atingida","Em andamento"))</f>
        <v/>
      </c>
      <c r="KC14" s="13" t="n">
        <v>13</v>
      </c>
      <c r="KD14" s="14">
        <f>IF(13&lt;=$Z$3,DATE(Configurações!$B$3,12,13),"")</f>
        <v/>
      </c>
      <c r="KE14" s="13">
        <f>SUM($DM$67:$DM$79)</f>
        <v/>
      </c>
      <c r="KF14" s="13">
        <f>SUM($DH$67:$DH$79)</f>
        <v/>
      </c>
    </row>
    <row r="15" ht="18" customHeight="1">
      <c r="A15" s="26" t="n">
        <v>2</v>
      </c>
      <c r="B15" s="27">
        <f>INDEX($A$67:$A$79,MATCH(LARGE($KA$67:$KA$79,2),$KA$67:$KA$79,0))</f>
        <v/>
      </c>
      <c r="C15" s="28">
        <f>INDEX($JU$67:$JU$79,MATCH(LARGE($KA$67:$KA$79,2),$KA$67:$KA$79,0))</f>
        <v/>
      </c>
      <c r="D15" s="29">
        <f>INDEX($JV$67:$JV$79,MATCH(LARGE($KA$67:$KA$79,2),$KA$67:$KA$79,0))</f>
        <v/>
      </c>
      <c r="E15" s="28">
        <f>INDEX($JW$67:$JW$79,MATCH(LARGE($KA$67:$KA$79,2),$KA$67:$KA$79,0))</f>
        <v/>
      </c>
      <c r="F15" s="28">
        <f>INDEX($JX$67:$JX$79,MATCH(LARGE($KA$67:$KA$79,2),$KA$67:$KA$79,0))</f>
        <v/>
      </c>
      <c r="G15" s="28">
        <f>INDEX($JY$67:$JY$79,MATCH(LARGE($KA$67:$KA$79,2),$KA$67:$KA$79,0))</f>
        <v/>
      </c>
      <c r="H15" s="30">
        <f>IF(G15=0,"— Sem meta",IF(C15&gt;=G15,"✓ Meta atingida","Em andamento"))</f>
        <v/>
      </c>
      <c r="KC15" s="13" t="n">
        <v>14</v>
      </c>
      <c r="KD15" s="14">
        <f>IF(14&lt;=$Z$3,DATE(Configurações!$B$3,12,14),"")</f>
        <v/>
      </c>
      <c r="KE15" s="13">
        <f>SUM($DV$67:$DV$79)</f>
        <v/>
      </c>
      <c r="KF15" s="13">
        <f>SUM($DQ$67:$DQ$79)</f>
        <v/>
      </c>
    </row>
    <row r="16" ht="18" customHeight="1">
      <c r="A16" s="31" t="n">
        <v>3</v>
      </c>
      <c r="B16" s="32">
        <f>INDEX($A$67:$A$79,MATCH(LARGE($KA$67:$KA$79,3),$KA$67:$KA$79,0))</f>
        <v/>
      </c>
      <c r="C16" s="33">
        <f>INDEX($JU$67:$JU$79,MATCH(LARGE($KA$67:$KA$79,3),$KA$67:$KA$79,0))</f>
        <v/>
      </c>
      <c r="D16" s="34">
        <f>INDEX($JV$67:$JV$79,MATCH(LARGE($KA$67:$KA$79,3),$KA$67:$KA$79,0))</f>
        <v/>
      </c>
      <c r="E16" s="33">
        <f>INDEX($JW$67:$JW$79,MATCH(LARGE($KA$67:$KA$79,3),$KA$67:$KA$79,0))</f>
        <v/>
      </c>
      <c r="F16" s="33">
        <f>INDEX($JX$67:$JX$79,MATCH(LARGE($KA$67:$KA$79,3),$KA$67:$KA$79,0))</f>
        <v/>
      </c>
      <c r="G16" s="33">
        <f>INDEX($JY$67:$JY$79,MATCH(LARGE($KA$67:$KA$79,3),$KA$67:$KA$79,0))</f>
        <v/>
      </c>
      <c r="H16" s="35">
        <f>IF(G16=0,"— Sem meta",IF(C16&gt;=G16,"✓ Meta atingida","Em andamento"))</f>
        <v/>
      </c>
      <c r="KC16" s="13" t="n">
        <v>15</v>
      </c>
      <c r="KD16" s="14">
        <f>IF(15&lt;=$Z$3,DATE(Configurações!$B$3,12,15),"")</f>
        <v/>
      </c>
      <c r="KE16" s="13">
        <f>SUM($EE$67:$EE$79)</f>
        <v/>
      </c>
      <c r="KF16" s="13">
        <f>SUM($DZ$67:$DZ$79)</f>
        <v/>
      </c>
    </row>
    <row r="17" ht="18" customHeight="1">
      <c r="A17" s="36" t="n">
        <v>4</v>
      </c>
      <c r="B17" s="37">
        <f>INDEX($A$67:$A$79,MATCH(LARGE($KA$67:$KA$79,4),$KA$67:$KA$79,0))</f>
        <v/>
      </c>
      <c r="C17" s="38">
        <f>INDEX($JU$67:$JU$79,MATCH(LARGE($KA$67:$KA$79,4),$KA$67:$KA$79,0))</f>
        <v/>
      </c>
      <c r="D17" s="39">
        <f>INDEX($JV$67:$JV$79,MATCH(LARGE($KA$67:$KA$79,4),$KA$67:$KA$79,0))</f>
        <v/>
      </c>
      <c r="E17" s="38">
        <f>INDEX($JW$67:$JW$79,MATCH(LARGE($KA$67:$KA$79,4),$KA$67:$KA$79,0))</f>
        <v/>
      </c>
      <c r="F17" s="38">
        <f>INDEX($JX$67:$JX$79,MATCH(LARGE($KA$67:$KA$79,4),$KA$67:$KA$79,0))</f>
        <v/>
      </c>
      <c r="G17" s="38">
        <f>INDEX($JY$67:$JY$79,MATCH(LARGE($KA$67:$KA$79,4),$KA$67:$KA$79,0))</f>
        <v/>
      </c>
      <c r="H17" s="40">
        <f>IF(G17=0,"— Sem meta",IF(C17&gt;=G17,"✓ Meta atingida","Em andamento"))</f>
        <v/>
      </c>
      <c r="KC17" s="13" t="n">
        <v>16</v>
      </c>
      <c r="KD17" s="14">
        <f>IF(16&lt;=$Z$3,DATE(Configurações!$B$3,12,16),"")</f>
        <v/>
      </c>
      <c r="KE17" s="13">
        <f>SUM($EN$67:$EN$79)</f>
        <v/>
      </c>
      <c r="KF17" s="13">
        <f>SUM($EI$67:$EI$79)</f>
        <v/>
      </c>
    </row>
    <row r="18" ht="18" customHeight="1">
      <c r="A18" s="36" t="n">
        <v>5</v>
      </c>
      <c r="B18" s="37">
        <f>INDEX($A$67:$A$79,MATCH(LARGE($KA$67:$KA$79,5),$KA$67:$KA$79,0))</f>
        <v/>
      </c>
      <c r="C18" s="38">
        <f>INDEX($JU$67:$JU$79,MATCH(LARGE($KA$67:$KA$79,5),$KA$67:$KA$79,0))</f>
        <v/>
      </c>
      <c r="D18" s="39">
        <f>INDEX($JV$67:$JV$79,MATCH(LARGE($KA$67:$KA$79,5),$KA$67:$KA$79,0))</f>
        <v/>
      </c>
      <c r="E18" s="38">
        <f>INDEX($JW$67:$JW$79,MATCH(LARGE($KA$67:$KA$79,5),$KA$67:$KA$79,0))</f>
        <v/>
      </c>
      <c r="F18" s="38">
        <f>INDEX($JX$67:$JX$79,MATCH(LARGE($KA$67:$KA$79,5),$KA$67:$KA$79,0))</f>
        <v/>
      </c>
      <c r="G18" s="38">
        <f>INDEX($JY$67:$JY$79,MATCH(LARGE($KA$67:$KA$79,5),$KA$67:$KA$79,0))</f>
        <v/>
      </c>
      <c r="H18" s="40">
        <f>IF(G18=0,"— Sem meta",IF(C18&gt;=G18,"✓ Meta atingida","Em andamento"))</f>
        <v/>
      </c>
      <c r="KC18" s="13" t="n">
        <v>17</v>
      </c>
      <c r="KD18" s="14">
        <f>IF(17&lt;=$Z$3,DATE(Configurações!$B$3,12,17),"")</f>
        <v/>
      </c>
      <c r="KE18" s="13">
        <f>SUM($EW$67:$EW$79)</f>
        <v/>
      </c>
      <c r="KF18" s="13">
        <f>SUM($ER$67:$ER$79)</f>
        <v/>
      </c>
    </row>
    <row r="19" ht="18" customHeight="1">
      <c r="A19" s="41" t="n">
        <v>6</v>
      </c>
      <c r="B19" s="42">
        <f>INDEX($A$67:$A$79,MATCH(LARGE($KA$67:$KA$79,6),$KA$67:$KA$79,0))</f>
        <v/>
      </c>
      <c r="C19" s="43">
        <f>INDEX($JU$67:$JU$79,MATCH(LARGE($KA$67:$KA$79,6),$KA$67:$KA$79,0))</f>
        <v/>
      </c>
      <c r="D19" s="44">
        <f>INDEX($JV$67:$JV$79,MATCH(LARGE($KA$67:$KA$79,6),$KA$67:$KA$79,0))</f>
        <v/>
      </c>
      <c r="E19" s="43">
        <f>INDEX($JW$67:$JW$79,MATCH(LARGE($KA$67:$KA$79,6),$KA$67:$KA$79,0))</f>
        <v/>
      </c>
      <c r="F19" s="43">
        <f>INDEX($JX$67:$JX$79,MATCH(LARGE($KA$67:$KA$79,6),$KA$67:$KA$79,0))</f>
        <v/>
      </c>
      <c r="G19" s="43">
        <f>INDEX($JY$67:$JY$79,MATCH(LARGE($KA$67:$KA$79,6),$KA$67:$KA$79,0))</f>
        <v/>
      </c>
      <c r="H19" s="45">
        <f>IF(G19=0,"— Sem meta",IF(C19&gt;=G19,"✓ Meta atingida","Em andamento"))</f>
        <v/>
      </c>
      <c r="KC19" s="13" t="n">
        <v>18</v>
      </c>
      <c r="KD19" s="14">
        <f>IF(18&lt;=$Z$3,DATE(Configurações!$B$3,12,18),"")</f>
        <v/>
      </c>
      <c r="KE19" s="13">
        <f>SUM($FF$67:$FF$79)</f>
        <v/>
      </c>
      <c r="KF19" s="13">
        <f>SUM($FA$67:$FA$79)</f>
        <v/>
      </c>
    </row>
    <row r="20" ht="18" customHeight="1">
      <c r="A20" s="46" t="n">
        <v>7</v>
      </c>
      <c r="B20" s="47">
        <f>INDEX($A$67:$A$79,MATCH(LARGE($KA$67:$KA$79,7),$KA$67:$KA$79,0))</f>
        <v/>
      </c>
      <c r="C20" s="48">
        <f>INDEX($JU$67:$JU$79,MATCH(LARGE($KA$67:$KA$79,7),$KA$67:$KA$79,0))</f>
        <v/>
      </c>
      <c r="D20" s="49">
        <f>INDEX($JV$67:$JV$79,MATCH(LARGE($KA$67:$KA$79,7),$KA$67:$KA$79,0))</f>
        <v/>
      </c>
      <c r="E20" s="48">
        <f>INDEX($JW$67:$JW$79,MATCH(LARGE($KA$67:$KA$79,7),$KA$67:$KA$79,0))</f>
        <v/>
      </c>
      <c r="F20" s="48">
        <f>INDEX($JX$67:$JX$79,MATCH(LARGE($KA$67:$KA$79,7),$KA$67:$KA$79,0))</f>
        <v/>
      </c>
      <c r="G20" s="48">
        <f>INDEX($JY$67:$JY$79,MATCH(LARGE($KA$67:$KA$79,7),$KA$67:$KA$79,0))</f>
        <v/>
      </c>
      <c r="H20" s="50">
        <f>IF(G20=0,"— Sem meta",IF(C20&gt;=G20,"✓ Meta atingida","Em andamento"))</f>
        <v/>
      </c>
      <c r="KC20" s="13" t="n">
        <v>19</v>
      </c>
      <c r="KD20" s="14">
        <f>IF(19&lt;=$Z$3,DATE(Configurações!$B$3,12,19),"")</f>
        <v/>
      </c>
      <c r="KE20" s="13">
        <f>SUM($FO$67:$FO$79)</f>
        <v/>
      </c>
      <c r="KF20" s="13">
        <f>SUM($FJ$67:$FJ$79)</f>
        <v/>
      </c>
    </row>
    <row r="21" ht="18" customHeight="1">
      <c r="A21" s="41" t="n">
        <v>8</v>
      </c>
      <c r="B21" s="42">
        <f>INDEX($A$67:$A$79,MATCH(LARGE($KA$67:$KA$79,8),$KA$67:$KA$79,0))</f>
        <v/>
      </c>
      <c r="C21" s="43">
        <f>INDEX($JU$67:$JU$79,MATCH(LARGE($KA$67:$KA$79,8),$KA$67:$KA$79,0))</f>
        <v/>
      </c>
      <c r="D21" s="44">
        <f>INDEX($JV$67:$JV$79,MATCH(LARGE($KA$67:$KA$79,8),$KA$67:$KA$79,0))</f>
        <v/>
      </c>
      <c r="E21" s="43">
        <f>INDEX($JW$67:$JW$79,MATCH(LARGE($KA$67:$KA$79,8),$KA$67:$KA$79,0))</f>
        <v/>
      </c>
      <c r="F21" s="43">
        <f>INDEX($JX$67:$JX$79,MATCH(LARGE($KA$67:$KA$79,8),$KA$67:$KA$79,0))</f>
        <v/>
      </c>
      <c r="G21" s="43">
        <f>INDEX($JY$67:$JY$79,MATCH(LARGE($KA$67:$KA$79,8),$KA$67:$KA$79,0))</f>
        <v/>
      </c>
      <c r="H21" s="45">
        <f>IF(G21=0,"— Sem meta",IF(C21&gt;=G21,"✓ Meta atingida","Em andamento"))</f>
        <v/>
      </c>
      <c r="KC21" s="13" t="n">
        <v>20</v>
      </c>
      <c r="KD21" s="14">
        <f>IF(20&lt;=$Z$3,DATE(Configurações!$B$3,12,20),"")</f>
        <v/>
      </c>
      <c r="KE21" s="13">
        <f>SUM($FX$67:$FX$79)</f>
        <v/>
      </c>
      <c r="KF21" s="13">
        <f>SUM($FS$67:$FS$79)</f>
        <v/>
      </c>
    </row>
    <row r="22" ht="18" customHeight="1">
      <c r="A22" s="46" t="n">
        <v>9</v>
      </c>
      <c r="B22" s="47">
        <f>INDEX($A$67:$A$79,MATCH(LARGE($KA$67:$KA$79,9),$KA$67:$KA$79,0))</f>
        <v/>
      </c>
      <c r="C22" s="48">
        <f>INDEX($JU$67:$JU$79,MATCH(LARGE($KA$67:$KA$79,9),$KA$67:$KA$79,0))</f>
        <v/>
      </c>
      <c r="D22" s="49">
        <f>INDEX($JV$67:$JV$79,MATCH(LARGE($KA$67:$KA$79,9),$KA$67:$KA$79,0))</f>
        <v/>
      </c>
      <c r="E22" s="48">
        <f>INDEX($JW$67:$JW$79,MATCH(LARGE($KA$67:$KA$79,9),$KA$67:$KA$79,0))</f>
        <v/>
      </c>
      <c r="F22" s="48">
        <f>INDEX($JX$67:$JX$79,MATCH(LARGE($KA$67:$KA$79,9),$KA$67:$KA$79,0))</f>
        <v/>
      </c>
      <c r="G22" s="48">
        <f>INDEX($JY$67:$JY$79,MATCH(LARGE($KA$67:$KA$79,9),$KA$67:$KA$79,0))</f>
        <v/>
      </c>
      <c r="H22" s="50">
        <f>IF(G22=0,"— Sem meta",IF(C22&gt;=G22,"✓ Meta atingida","Em andamento"))</f>
        <v/>
      </c>
      <c r="KC22" s="13" t="n">
        <v>21</v>
      </c>
      <c r="KD22" s="14">
        <f>IF(21&lt;=$Z$3,DATE(Configurações!$B$3,12,21),"")</f>
        <v/>
      </c>
      <c r="KE22" s="13">
        <f>SUM($GG$67:$GG$79)</f>
        <v/>
      </c>
      <c r="KF22" s="13">
        <f>SUM($GB$67:$GB$79)</f>
        <v/>
      </c>
    </row>
    <row r="23" ht="18" customHeight="1">
      <c r="A23" s="41" t="n">
        <v>10</v>
      </c>
      <c r="B23" s="42">
        <f>INDEX($A$67:$A$79,MATCH(LARGE($KA$67:$KA$79,10),$KA$67:$KA$79,0))</f>
        <v/>
      </c>
      <c r="C23" s="43">
        <f>INDEX($JU$67:$JU$79,MATCH(LARGE($KA$67:$KA$79,10),$KA$67:$KA$79,0))</f>
        <v/>
      </c>
      <c r="D23" s="44">
        <f>INDEX($JV$67:$JV$79,MATCH(LARGE($KA$67:$KA$79,10),$KA$67:$KA$79,0))</f>
        <v/>
      </c>
      <c r="E23" s="43">
        <f>INDEX($JW$67:$JW$79,MATCH(LARGE($KA$67:$KA$79,10),$KA$67:$KA$79,0))</f>
        <v/>
      </c>
      <c r="F23" s="43">
        <f>INDEX($JX$67:$JX$79,MATCH(LARGE($KA$67:$KA$79,10),$KA$67:$KA$79,0))</f>
        <v/>
      </c>
      <c r="G23" s="43">
        <f>INDEX($JY$67:$JY$79,MATCH(LARGE($KA$67:$KA$79,10),$KA$67:$KA$79,0))</f>
        <v/>
      </c>
      <c r="H23" s="45">
        <f>IF(G23=0,"— Sem meta",IF(C23&gt;=G23,"✓ Meta atingida","Em andamento"))</f>
        <v/>
      </c>
      <c r="KC23" s="13" t="n">
        <v>22</v>
      </c>
      <c r="KD23" s="14">
        <f>IF(22&lt;=$Z$3,DATE(Configurações!$B$3,12,22),"")</f>
        <v/>
      </c>
      <c r="KE23" s="13">
        <f>SUM($GP$67:$GP$79)</f>
        <v/>
      </c>
      <c r="KF23" s="13">
        <f>SUM($GK$67:$GK$79)</f>
        <v/>
      </c>
    </row>
    <row r="24" ht="18" customHeight="1">
      <c r="A24" s="46" t="n">
        <v>11</v>
      </c>
      <c r="B24" s="47">
        <f>INDEX($A$67:$A$79,MATCH(LARGE($KA$67:$KA$79,11),$KA$67:$KA$79,0))</f>
        <v/>
      </c>
      <c r="C24" s="48">
        <f>INDEX($JU$67:$JU$79,MATCH(LARGE($KA$67:$KA$79,11),$KA$67:$KA$79,0))</f>
        <v/>
      </c>
      <c r="D24" s="49">
        <f>INDEX($JV$67:$JV$79,MATCH(LARGE($KA$67:$KA$79,11),$KA$67:$KA$79,0))</f>
        <v/>
      </c>
      <c r="E24" s="48">
        <f>INDEX($JW$67:$JW$79,MATCH(LARGE($KA$67:$KA$79,11),$KA$67:$KA$79,0))</f>
        <v/>
      </c>
      <c r="F24" s="48">
        <f>INDEX($JX$67:$JX$79,MATCH(LARGE($KA$67:$KA$79,11),$KA$67:$KA$79,0))</f>
        <v/>
      </c>
      <c r="G24" s="48">
        <f>INDEX($JY$67:$JY$79,MATCH(LARGE($KA$67:$KA$79,11),$KA$67:$KA$79,0))</f>
        <v/>
      </c>
      <c r="H24" s="50">
        <f>IF(G24=0,"— Sem meta",IF(C24&gt;=G24,"✓ Meta atingida","Em andamento"))</f>
        <v/>
      </c>
      <c r="KC24" s="13" t="n">
        <v>23</v>
      </c>
      <c r="KD24" s="14">
        <f>IF(23&lt;=$Z$3,DATE(Configurações!$B$3,12,23),"")</f>
        <v/>
      </c>
      <c r="KE24" s="13">
        <f>SUM($GY$67:$GY$79)</f>
        <v/>
      </c>
      <c r="KF24" s="13">
        <f>SUM($GT$67:$GT$79)</f>
        <v/>
      </c>
    </row>
    <row r="25" ht="18" customHeight="1">
      <c r="A25" s="41" t="n">
        <v>12</v>
      </c>
      <c r="B25" s="42">
        <f>INDEX($A$67:$A$79,MATCH(LARGE($KA$67:$KA$79,12),$KA$67:$KA$79,0))</f>
        <v/>
      </c>
      <c r="C25" s="43">
        <f>INDEX($JU$67:$JU$79,MATCH(LARGE($KA$67:$KA$79,12),$KA$67:$KA$79,0))</f>
        <v/>
      </c>
      <c r="D25" s="44">
        <f>INDEX($JV$67:$JV$79,MATCH(LARGE($KA$67:$KA$79,12),$KA$67:$KA$79,0))</f>
        <v/>
      </c>
      <c r="E25" s="43">
        <f>INDEX($JW$67:$JW$79,MATCH(LARGE($KA$67:$KA$79,12),$KA$67:$KA$79,0))</f>
        <v/>
      </c>
      <c r="F25" s="43">
        <f>INDEX($JX$67:$JX$79,MATCH(LARGE($KA$67:$KA$79,12),$KA$67:$KA$79,0))</f>
        <v/>
      </c>
      <c r="G25" s="43">
        <f>INDEX($JY$67:$JY$79,MATCH(LARGE($KA$67:$KA$79,12),$KA$67:$KA$79,0))</f>
        <v/>
      </c>
      <c r="H25" s="45">
        <f>IF(G25=0,"— Sem meta",IF(C25&gt;=G25,"✓ Meta atingida","Em andamento"))</f>
        <v/>
      </c>
      <c r="KC25" s="13" t="n">
        <v>24</v>
      </c>
      <c r="KD25" s="14">
        <f>IF(24&lt;=$Z$3,DATE(Configurações!$B$3,12,24),"")</f>
        <v/>
      </c>
      <c r="KE25" s="13">
        <f>SUM($HH$67:$HH$79)</f>
        <v/>
      </c>
      <c r="KF25" s="13">
        <f>SUM($HC$67:$HC$79)</f>
        <v/>
      </c>
    </row>
    <row r="26" ht="18" customHeight="1">
      <c r="A26" s="46" t="n">
        <v>13</v>
      </c>
      <c r="B26" s="47">
        <f>INDEX($A$67:$A$79,MATCH(LARGE($KA$67:$KA$79,13),$KA$67:$KA$79,0))</f>
        <v/>
      </c>
      <c r="C26" s="48">
        <f>INDEX($JU$67:$JU$79,MATCH(LARGE($KA$67:$KA$79,13),$KA$67:$KA$79,0))</f>
        <v/>
      </c>
      <c r="D26" s="49">
        <f>INDEX($JV$67:$JV$79,MATCH(LARGE($KA$67:$KA$79,13),$KA$67:$KA$79,0))</f>
        <v/>
      </c>
      <c r="E26" s="48">
        <f>INDEX($JW$67:$JW$79,MATCH(LARGE($KA$67:$KA$79,13),$KA$67:$KA$79,0))</f>
        <v/>
      </c>
      <c r="F26" s="48">
        <f>INDEX($JX$67:$JX$79,MATCH(LARGE($KA$67:$KA$79,13),$KA$67:$KA$79,0))</f>
        <v/>
      </c>
      <c r="G26" s="48">
        <f>INDEX($JY$67:$JY$79,MATCH(LARGE($KA$67:$KA$79,13),$KA$67:$KA$79,0))</f>
        <v/>
      </c>
      <c r="H26" s="50">
        <f>IF(G26=0,"— Sem meta",IF(C26&gt;=G26,"✓ Meta atingida","Em andamento"))</f>
        <v/>
      </c>
      <c r="KC26" s="13" t="n">
        <v>25</v>
      </c>
      <c r="KD26" s="14">
        <f>IF(25&lt;=$Z$3,DATE(Configurações!$B$3,12,25),"")</f>
        <v/>
      </c>
      <c r="KE26" s="13">
        <f>SUM($HQ$67:$HQ$79)</f>
        <v/>
      </c>
      <c r="KF26" s="13">
        <f>SUM($HL$67:$HL$79)</f>
        <v/>
      </c>
    </row>
    <row r="27">
      <c r="KC27" s="13" t="n">
        <v>26</v>
      </c>
      <c r="KD27" s="14">
        <f>IF(26&lt;=$Z$3,DATE(Configurações!$B$3,12,26),"")</f>
        <v/>
      </c>
      <c r="KE27" s="13">
        <f>SUM($HZ$67:$HZ$79)</f>
        <v/>
      </c>
      <c r="KF27" s="13">
        <f>SUM($HU$67:$HU$79)</f>
        <v/>
      </c>
    </row>
    <row r="28">
      <c r="KC28" s="13" t="n">
        <v>27</v>
      </c>
      <c r="KD28" s="14">
        <f>IF(27&lt;=$Z$3,DATE(Configurações!$B$3,12,27),"")</f>
        <v/>
      </c>
      <c r="KE28" s="13">
        <f>SUM($II$67:$II$79)</f>
        <v/>
      </c>
      <c r="KF28" s="13">
        <f>SUM($ID$67:$ID$79)</f>
        <v/>
      </c>
    </row>
    <row r="29">
      <c r="KC29" s="13" t="n">
        <v>28</v>
      </c>
      <c r="KD29" s="14">
        <f>IF(28&lt;=$Z$3,DATE(Configurações!$B$3,12,28),"")</f>
        <v/>
      </c>
      <c r="KE29" s="13">
        <f>SUM($IR$67:$IR$79)</f>
        <v/>
      </c>
      <c r="KF29" s="13">
        <f>SUM($IM$67:$IM$79)</f>
        <v/>
      </c>
    </row>
    <row r="30">
      <c r="KC30" s="13" t="n">
        <v>29</v>
      </c>
      <c r="KD30" s="14">
        <f>IF(29&lt;=$Z$3,DATE(Configurações!$B$3,12,29),"")</f>
        <v/>
      </c>
      <c r="KE30" s="13">
        <f>SUM($JA$67:$JA$79)</f>
        <v/>
      </c>
      <c r="KF30" s="13">
        <f>SUM($IV$67:$IV$79)</f>
        <v/>
      </c>
    </row>
    <row r="31">
      <c r="KC31" s="13" t="n">
        <v>30</v>
      </c>
      <c r="KD31" s="14">
        <f>IF(30&lt;=$Z$3,DATE(Configurações!$B$3,12,30),"")</f>
        <v/>
      </c>
      <c r="KE31" s="13">
        <f>SUM($JJ$67:$JJ$79)</f>
        <v/>
      </c>
      <c r="KF31" s="13">
        <f>SUM($JE$67:$JE$79)</f>
        <v/>
      </c>
    </row>
    <row r="32">
      <c r="KC32" s="13" t="n">
        <v>31</v>
      </c>
      <c r="KD32" s="14">
        <f>IF(31&lt;=$Z$3,DATE(Configurações!$B$3,12,31),"")</f>
        <v/>
      </c>
      <c r="KE32" s="13">
        <f>SUM($JS$67:$JS$79)</f>
        <v/>
      </c>
      <c r="KF32" s="13">
        <f>SUM($JN$67:$JN$79)</f>
        <v/>
      </c>
    </row>
    <row r="64" ht="22" customHeight="1">
      <c r="A64" s="51" t="inlineStr">
        <is>
          <t>📋  LANÇAMENTOS DIÁRIOS POR ASSESSOR (role para a direita)</t>
        </is>
      </c>
    </row>
    <row r="65" ht="20" customHeight="1">
      <c r="A65" s="52" t="inlineStr">
        <is>
          <t>Assessor</t>
        </is>
      </c>
      <c r="B65" s="18">
        <f>"Dia 1 — "&amp;IF(1&lt;=$Z$3,TEXT(DATE(Configurações!$B$3,12,1),"dd/mm")&amp;" ("&amp;CHOOSE(WEEKDAY(DATE(Configurações!$B$3,12,1)),"Dom","Seg","Ter","Qua","Qui","Sex","Sáb")&amp;")","—")</f>
        <v/>
      </c>
      <c r="K65" s="18">
        <f>"Dia 2 — "&amp;IF(2&lt;=$Z$3,TEXT(DATE(Configurações!$B$3,12,2),"dd/mm")&amp;" ("&amp;CHOOSE(WEEKDAY(DATE(Configurações!$B$3,12,2)),"Dom","Seg","Ter","Qua","Qui","Sex","Sáb")&amp;")","—")</f>
        <v/>
      </c>
      <c r="T65" s="18">
        <f>"Dia 3 — "&amp;IF(3&lt;=$Z$3,TEXT(DATE(Configurações!$B$3,12,3),"dd/mm")&amp;" ("&amp;CHOOSE(WEEKDAY(DATE(Configurações!$B$3,12,3)),"Dom","Seg","Ter","Qua","Qui","Sex","Sáb")&amp;")","—")</f>
        <v/>
      </c>
      <c r="AC65" s="18">
        <f>"Dia 4 — "&amp;IF(4&lt;=$Z$3,TEXT(DATE(Configurações!$B$3,12,4),"dd/mm")&amp;" ("&amp;CHOOSE(WEEKDAY(DATE(Configurações!$B$3,12,4)),"Dom","Seg","Ter","Qua","Qui","Sex","Sáb")&amp;")","—")</f>
        <v/>
      </c>
      <c r="AL65" s="18">
        <f>"Dia 5 — "&amp;IF(5&lt;=$Z$3,TEXT(DATE(Configurações!$B$3,12,5),"dd/mm")&amp;" ("&amp;CHOOSE(WEEKDAY(DATE(Configurações!$B$3,12,5)),"Dom","Seg","Ter","Qua","Qui","Sex","Sáb")&amp;")","—")</f>
        <v/>
      </c>
      <c r="AU65" s="18">
        <f>"Dia 6 — "&amp;IF(6&lt;=$Z$3,TEXT(DATE(Configurações!$B$3,12,6),"dd/mm")&amp;" ("&amp;CHOOSE(WEEKDAY(DATE(Configurações!$B$3,12,6)),"Dom","Seg","Ter","Qua","Qui","Sex","Sáb")&amp;")","—")</f>
        <v/>
      </c>
      <c r="BD65" s="18">
        <f>"Dia 7 — "&amp;IF(7&lt;=$Z$3,TEXT(DATE(Configurações!$B$3,12,7),"dd/mm")&amp;" ("&amp;CHOOSE(WEEKDAY(DATE(Configurações!$B$3,12,7)),"Dom","Seg","Ter","Qua","Qui","Sex","Sáb")&amp;")","—")</f>
        <v/>
      </c>
      <c r="BM65" s="18">
        <f>"Dia 8 — "&amp;IF(8&lt;=$Z$3,TEXT(DATE(Configurações!$B$3,12,8),"dd/mm")&amp;" ("&amp;CHOOSE(WEEKDAY(DATE(Configurações!$B$3,12,8)),"Dom","Seg","Ter","Qua","Qui","Sex","Sáb")&amp;")","—")</f>
        <v/>
      </c>
      <c r="BV65" s="18">
        <f>"Dia 9 — "&amp;IF(9&lt;=$Z$3,TEXT(DATE(Configurações!$B$3,12,9),"dd/mm")&amp;" ("&amp;CHOOSE(WEEKDAY(DATE(Configurações!$B$3,12,9)),"Dom","Seg","Ter","Qua","Qui","Sex","Sáb")&amp;")","—")</f>
        <v/>
      </c>
      <c r="CE65" s="18">
        <f>"Dia 10 — "&amp;IF(10&lt;=$Z$3,TEXT(DATE(Configurações!$B$3,12,10),"dd/mm")&amp;" ("&amp;CHOOSE(WEEKDAY(DATE(Configurações!$B$3,12,10)),"Dom","Seg","Ter","Qua","Qui","Sex","Sáb")&amp;")","—")</f>
        <v/>
      </c>
      <c r="CN65" s="18">
        <f>"Dia 11 — "&amp;IF(11&lt;=$Z$3,TEXT(DATE(Configurações!$B$3,12,11),"dd/mm")&amp;" ("&amp;CHOOSE(WEEKDAY(DATE(Configurações!$B$3,12,11)),"Dom","Seg","Ter","Qua","Qui","Sex","Sáb")&amp;")","—")</f>
        <v/>
      </c>
      <c r="CW65" s="18">
        <f>"Dia 12 — "&amp;IF(12&lt;=$Z$3,TEXT(DATE(Configurações!$B$3,12,12),"dd/mm")&amp;" ("&amp;CHOOSE(WEEKDAY(DATE(Configurações!$B$3,12,12)),"Dom","Seg","Ter","Qua","Qui","Sex","Sáb")&amp;")","—")</f>
        <v/>
      </c>
      <c r="DF65" s="18">
        <f>"Dia 13 — "&amp;IF(13&lt;=$Z$3,TEXT(DATE(Configurações!$B$3,12,13),"dd/mm")&amp;" ("&amp;CHOOSE(WEEKDAY(DATE(Configurações!$B$3,12,13)),"Dom","Seg","Ter","Qua","Qui","Sex","Sáb")&amp;")","—")</f>
        <v/>
      </c>
      <c r="DO65" s="18">
        <f>"Dia 14 — "&amp;IF(14&lt;=$Z$3,TEXT(DATE(Configurações!$B$3,12,14),"dd/mm")&amp;" ("&amp;CHOOSE(WEEKDAY(DATE(Configurações!$B$3,12,14)),"Dom","Seg","Ter","Qua","Qui","Sex","Sáb")&amp;")","—")</f>
        <v/>
      </c>
      <c r="DX65" s="18">
        <f>"Dia 15 — "&amp;IF(15&lt;=$Z$3,TEXT(DATE(Configurações!$B$3,12,15),"dd/mm")&amp;" ("&amp;CHOOSE(WEEKDAY(DATE(Configurações!$B$3,12,15)),"Dom","Seg","Ter","Qua","Qui","Sex","Sáb")&amp;")","—")</f>
        <v/>
      </c>
      <c r="EG65" s="18">
        <f>"Dia 16 — "&amp;IF(16&lt;=$Z$3,TEXT(DATE(Configurações!$B$3,12,16),"dd/mm")&amp;" ("&amp;CHOOSE(WEEKDAY(DATE(Configurações!$B$3,12,16)),"Dom","Seg","Ter","Qua","Qui","Sex","Sáb")&amp;")","—")</f>
        <v/>
      </c>
      <c r="EP65" s="18">
        <f>"Dia 17 — "&amp;IF(17&lt;=$Z$3,TEXT(DATE(Configurações!$B$3,12,17),"dd/mm")&amp;" ("&amp;CHOOSE(WEEKDAY(DATE(Configurações!$B$3,12,17)),"Dom","Seg","Ter","Qua","Qui","Sex","Sáb")&amp;")","—")</f>
        <v/>
      </c>
      <c r="EY65" s="18">
        <f>"Dia 18 — "&amp;IF(18&lt;=$Z$3,TEXT(DATE(Configurações!$B$3,12,18),"dd/mm")&amp;" ("&amp;CHOOSE(WEEKDAY(DATE(Configurações!$B$3,12,18)),"Dom","Seg","Ter","Qua","Qui","Sex","Sáb")&amp;")","—")</f>
        <v/>
      </c>
      <c r="FH65" s="18">
        <f>"Dia 19 — "&amp;IF(19&lt;=$Z$3,TEXT(DATE(Configurações!$B$3,12,19),"dd/mm")&amp;" ("&amp;CHOOSE(WEEKDAY(DATE(Configurações!$B$3,12,19)),"Dom","Seg","Ter","Qua","Qui","Sex","Sáb")&amp;")","—")</f>
        <v/>
      </c>
      <c r="FQ65" s="18">
        <f>"Dia 20 — "&amp;IF(20&lt;=$Z$3,TEXT(DATE(Configurações!$B$3,12,20),"dd/mm")&amp;" ("&amp;CHOOSE(WEEKDAY(DATE(Configurações!$B$3,12,20)),"Dom","Seg","Ter","Qua","Qui","Sex","Sáb")&amp;")","—")</f>
        <v/>
      </c>
      <c r="FZ65" s="18">
        <f>"Dia 21 — "&amp;IF(21&lt;=$Z$3,TEXT(DATE(Configurações!$B$3,12,21),"dd/mm")&amp;" ("&amp;CHOOSE(WEEKDAY(DATE(Configurações!$B$3,12,21)),"Dom","Seg","Ter","Qua","Qui","Sex","Sáb")&amp;")","—")</f>
        <v/>
      </c>
      <c r="GI65" s="18">
        <f>"Dia 22 — "&amp;IF(22&lt;=$Z$3,TEXT(DATE(Configurações!$B$3,12,22),"dd/mm")&amp;" ("&amp;CHOOSE(WEEKDAY(DATE(Configurações!$B$3,12,22)),"Dom","Seg","Ter","Qua","Qui","Sex","Sáb")&amp;")","—")</f>
        <v/>
      </c>
      <c r="GR65" s="18">
        <f>"Dia 23 — "&amp;IF(23&lt;=$Z$3,TEXT(DATE(Configurações!$B$3,12,23),"dd/mm")&amp;" ("&amp;CHOOSE(WEEKDAY(DATE(Configurações!$B$3,12,23)),"Dom","Seg","Ter","Qua","Qui","Sex","Sáb")&amp;")","—")</f>
        <v/>
      </c>
      <c r="HA65" s="18">
        <f>"Dia 24 — "&amp;IF(24&lt;=$Z$3,TEXT(DATE(Configurações!$B$3,12,24),"dd/mm")&amp;" ("&amp;CHOOSE(WEEKDAY(DATE(Configurações!$B$3,12,24)),"Dom","Seg","Ter","Qua","Qui","Sex","Sáb")&amp;")","—")</f>
        <v/>
      </c>
      <c r="HJ65" s="18">
        <f>"Dia 25 — "&amp;IF(25&lt;=$Z$3,TEXT(DATE(Configurações!$B$3,12,25),"dd/mm")&amp;" ("&amp;CHOOSE(WEEKDAY(DATE(Configurações!$B$3,12,25)),"Dom","Seg","Ter","Qua","Qui","Sex","Sáb")&amp;")","—")</f>
        <v/>
      </c>
      <c r="HS65" s="18">
        <f>"Dia 26 — "&amp;IF(26&lt;=$Z$3,TEXT(DATE(Configurações!$B$3,12,26),"dd/mm")&amp;" ("&amp;CHOOSE(WEEKDAY(DATE(Configurações!$B$3,12,26)),"Dom","Seg","Ter","Qua","Qui","Sex","Sáb")&amp;")","—")</f>
        <v/>
      </c>
      <c r="IB65" s="18">
        <f>"Dia 27 — "&amp;IF(27&lt;=$Z$3,TEXT(DATE(Configurações!$B$3,12,27),"dd/mm")&amp;" ("&amp;CHOOSE(WEEKDAY(DATE(Configurações!$B$3,12,27)),"Dom","Seg","Ter","Qua","Qui","Sex","Sáb")&amp;")","—")</f>
        <v/>
      </c>
      <c r="IK65" s="18">
        <f>"Dia 28 — "&amp;IF(28&lt;=$Z$3,TEXT(DATE(Configurações!$B$3,12,28),"dd/mm")&amp;" ("&amp;CHOOSE(WEEKDAY(DATE(Configurações!$B$3,12,28)),"Dom","Seg","Ter","Qua","Qui","Sex","Sáb")&amp;")","—")</f>
        <v/>
      </c>
      <c r="IT65" s="18">
        <f>"Dia 29 — "&amp;IF(29&lt;=$Z$3,TEXT(DATE(Configurações!$B$3,12,29),"dd/mm")&amp;" ("&amp;CHOOSE(WEEKDAY(DATE(Configurações!$B$3,12,29)),"Dom","Seg","Ter","Qua","Qui","Sex","Sáb")&amp;")","—")</f>
        <v/>
      </c>
      <c r="JC65" s="18">
        <f>"Dia 30 — "&amp;IF(30&lt;=$Z$3,TEXT(DATE(Configurações!$B$3,12,30),"dd/mm")&amp;" ("&amp;CHOOSE(WEEKDAY(DATE(Configurações!$B$3,12,30)),"Dom","Seg","Ter","Qua","Qui","Sex","Sáb")&amp;")","—")</f>
        <v/>
      </c>
      <c r="JL65" s="18">
        <f>"Dia 31 — "&amp;IF(31&lt;=$Z$3,TEXT(DATE(Configurações!$B$3,12,31),"dd/mm")&amp;" ("&amp;CHOOSE(WEEKDAY(DATE(Configurações!$B$3,12,31)),"Dom","Seg","Ter","Qua","Qui","Sex","Sáb")&amp;")","—")</f>
        <v/>
      </c>
      <c r="JU65" s="53" t="inlineStr">
        <is>
          <t>Produção Total (Mês)</t>
        </is>
      </c>
      <c r="JV65" s="53" t="inlineStr">
        <is>
          <t>Captação Líquida (Mês)</t>
        </is>
      </c>
      <c r="JW65" s="53" t="inlineStr">
        <is>
          <t>Saldo Pulso Atual</t>
        </is>
      </c>
      <c r="JX65" s="53" t="inlineStr">
        <is>
          <t>Média Diária</t>
        </is>
      </c>
      <c r="JY65" s="53" t="inlineStr">
        <is>
          <t>Meta Mensal</t>
        </is>
      </c>
      <c r="JZ65" s="53" t="inlineStr">
        <is>
          <t>Status Meta</t>
        </is>
      </c>
      <c r="KA65" s="53" t="inlineStr"/>
    </row>
    <row r="66" ht="26" customHeight="1">
      <c r="B66" s="54" t="inlineStr">
        <is>
          <t>Saldo Pulso</t>
        </is>
      </c>
      <c r="C66" s="54" t="inlineStr">
        <is>
          <t>Saldo Anterior</t>
        </is>
      </c>
      <c r="D66" s="54" t="inlineStr">
        <is>
          <t>Captação Líq.</t>
        </is>
      </c>
      <c r="E66" s="54" t="inlineStr">
        <is>
          <t>COE</t>
        </is>
      </c>
      <c r="F66" s="54" t="inlineStr">
        <is>
          <t>Previdência</t>
        </is>
      </c>
      <c r="G66" s="54" t="inlineStr">
        <is>
          <t>Créd. Privado</t>
        </is>
      </c>
      <c r="H66" s="54" t="inlineStr">
        <is>
          <t>Tít. Públicos</t>
        </is>
      </c>
      <c r="I66" s="54" t="inlineStr">
        <is>
          <t>Produção Tot.</t>
        </is>
      </c>
      <c r="J66" s="54" t="inlineStr">
        <is>
          <t>Obs.</t>
        </is>
      </c>
      <c r="K66" s="54" t="inlineStr">
        <is>
          <t>Saldo Pulso</t>
        </is>
      </c>
      <c r="L66" s="54" t="inlineStr">
        <is>
          <t>Saldo Anterior</t>
        </is>
      </c>
      <c r="M66" s="54" t="inlineStr">
        <is>
          <t>Captação Líq.</t>
        </is>
      </c>
      <c r="N66" s="54" t="inlineStr">
        <is>
          <t>COE</t>
        </is>
      </c>
      <c r="O66" s="54" t="inlineStr">
        <is>
          <t>Previdência</t>
        </is>
      </c>
      <c r="P66" s="54" t="inlineStr">
        <is>
          <t>Créd. Privado</t>
        </is>
      </c>
      <c r="Q66" s="54" t="inlineStr">
        <is>
          <t>Tít. Públicos</t>
        </is>
      </c>
      <c r="R66" s="54" t="inlineStr">
        <is>
          <t>Produção Tot.</t>
        </is>
      </c>
      <c r="S66" s="54" t="inlineStr">
        <is>
          <t>Obs.</t>
        </is>
      </c>
      <c r="T66" s="54" t="inlineStr">
        <is>
          <t>Saldo Pulso</t>
        </is>
      </c>
      <c r="U66" s="54" t="inlineStr">
        <is>
          <t>Saldo Anterior</t>
        </is>
      </c>
      <c r="V66" s="54" t="inlineStr">
        <is>
          <t>Captação Líq.</t>
        </is>
      </c>
      <c r="W66" s="54" t="inlineStr">
        <is>
          <t>COE</t>
        </is>
      </c>
      <c r="X66" s="54" t="inlineStr">
        <is>
          <t>Previdência</t>
        </is>
      </c>
      <c r="Y66" s="54" t="inlineStr">
        <is>
          <t>Créd. Privado</t>
        </is>
      </c>
      <c r="Z66" s="54" t="inlineStr">
        <is>
          <t>Tít. Públicos</t>
        </is>
      </c>
      <c r="AA66" s="54" t="inlineStr">
        <is>
          <t>Produção Tot.</t>
        </is>
      </c>
      <c r="AB66" s="54" t="inlineStr">
        <is>
          <t>Obs.</t>
        </is>
      </c>
      <c r="AC66" s="54" t="inlineStr">
        <is>
          <t>Saldo Pulso</t>
        </is>
      </c>
      <c r="AD66" s="54" t="inlineStr">
        <is>
          <t>Saldo Anterior</t>
        </is>
      </c>
      <c r="AE66" s="54" t="inlineStr">
        <is>
          <t>Captação Líq.</t>
        </is>
      </c>
      <c r="AF66" s="54" t="inlineStr">
        <is>
          <t>COE</t>
        </is>
      </c>
      <c r="AG66" s="54" t="inlineStr">
        <is>
          <t>Previdência</t>
        </is>
      </c>
      <c r="AH66" s="54" t="inlineStr">
        <is>
          <t>Créd. Privado</t>
        </is>
      </c>
      <c r="AI66" s="54" t="inlineStr">
        <is>
          <t>Tít. Públicos</t>
        </is>
      </c>
      <c r="AJ66" s="54" t="inlineStr">
        <is>
          <t>Produção Tot.</t>
        </is>
      </c>
      <c r="AK66" s="54" t="inlineStr">
        <is>
          <t>Obs.</t>
        </is>
      </c>
      <c r="AL66" s="54" t="inlineStr">
        <is>
          <t>Saldo Pulso</t>
        </is>
      </c>
      <c r="AM66" s="54" t="inlineStr">
        <is>
          <t>Saldo Anterior</t>
        </is>
      </c>
      <c r="AN66" s="54" t="inlineStr">
        <is>
          <t>Captação Líq.</t>
        </is>
      </c>
      <c r="AO66" s="54" t="inlineStr">
        <is>
          <t>COE</t>
        </is>
      </c>
      <c r="AP66" s="54" t="inlineStr">
        <is>
          <t>Previdência</t>
        </is>
      </c>
      <c r="AQ66" s="54" t="inlineStr">
        <is>
          <t>Créd. Privado</t>
        </is>
      </c>
      <c r="AR66" s="54" t="inlineStr">
        <is>
          <t>Tít. Públicos</t>
        </is>
      </c>
      <c r="AS66" s="54" t="inlineStr">
        <is>
          <t>Produção Tot.</t>
        </is>
      </c>
      <c r="AT66" s="54" t="inlineStr">
        <is>
          <t>Obs.</t>
        </is>
      </c>
      <c r="AU66" s="54" t="inlineStr">
        <is>
          <t>Saldo Pulso</t>
        </is>
      </c>
      <c r="AV66" s="54" t="inlineStr">
        <is>
          <t>Saldo Anterior</t>
        </is>
      </c>
      <c r="AW66" s="54" t="inlineStr">
        <is>
          <t>Captação Líq.</t>
        </is>
      </c>
      <c r="AX66" s="54" t="inlineStr">
        <is>
          <t>COE</t>
        </is>
      </c>
      <c r="AY66" s="54" t="inlineStr">
        <is>
          <t>Previdência</t>
        </is>
      </c>
      <c r="AZ66" s="54" t="inlineStr">
        <is>
          <t>Créd. Privado</t>
        </is>
      </c>
      <c r="BA66" s="54" t="inlineStr">
        <is>
          <t>Tít. Públicos</t>
        </is>
      </c>
      <c r="BB66" s="54" t="inlineStr">
        <is>
          <t>Produção Tot.</t>
        </is>
      </c>
      <c r="BC66" s="54" t="inlineStr">
        <is>
          <t>Obs.</t>
        </is>
      </c>
      <c r="BD66" s="54" t="inlineStr">
        <is>
          <t>Saldo Pulso</t>
        </is>
      </c>
      <c r="BE66" s="54" t="inlineStr">
        <is>
          <t>Saldo Anterior</t>
        </is>
      </c>
      <c r="BF66" s="54" t="inlineStr">
        <is>
          <t>Captação Líq.</t>
        </is>
      </c>
      <c r="BG66" s="54" t="inlineStr">
        <is>
          <t>COE</t>
        </is>
      </c>
      <c r="BH66" s="54" t="inlineStr">
        <is>
          <t>Previdência</t>
        </is>
      </c>
      <c r="BI66" s="54" t="inlineStr">
        <is>
          <t>Créd. Privado</t>
        </is>
      </c>
      <c r="BJ66" s="54" t="inlineStr">
        <is>
          <t>Tít. Públicos</t>
        </is>
      </c>
      <c r="BK66" s="54" t="inlineStr">
        <is>
          <t>Produção Tot.</t>
        </is>
      </c>
      <c r="BL66" s="54" t="inlineStr">
        <is>
          <t>Obs.</t>
        </is>
      </c>
      <c r="BM66" s="54" t="inlineStr">
        <is>
          <t>Saldo Pulso</t>
        </is>
      </c>
      <c r="BN66" s="54" t="inlineStr">
        <is>
          <t>Saldo Anterior</t>
        </is>
      </c>
      <c r="BO66" s="54" t="inlineStr">
        <is>
          <t>Captação Líq.</t>
        </is>
      </c>
      <c r="BP66" s="54" t="inlineStr">
        <is>
          <t>COE</t>
        </is>
      </c>
      <c r="BQ66" s="54" t="inlineStr">
        <is>
          <t>Previdência</t>
        </is>
      </c>
      <c r="BR66" s="54" t="inlineStr">
        <is>
          <t>Créd. Privado</t>
        </is>
      </c>
      <c r="BS66" s="54" t="inlineStr">
        <is>
          <t>Tít. Públicos</t>
        </is>
      </c>
      <c r="BT66" s="54" t="inlineStr">
        <is>
          <t>Produção Tot.</t>
        </is>
      </c>
      <c r="BU66" s="54" t="inlineStr">
        <is>
          <t>Obs.</t>
        </is>
      </c>
      <c r="BV66" s="54" t="inlineStr">
        <is>
          <t>Saldo Pulso</t>
        </is>
      </c>
      <c r="BW66" s="54" t="inlineStr">
        <is>
          <t>Saldo Anterior</t>
        </is>
      </c>
      <c r="BX66" s="54" t="inlineStr">
        <is>
          <t>Captação Líq.</t>
        </is>
      </c>
      <c r="BY66" s="54" t="inlineStr">
        <is>
          <t>COE</t>
        </is>
      </c>
      <c r="BZ66" s="54" t="inlineStr">
        <is>
          <t>Previdência</t>
        </is>
      </c>
      <c r="CA66" s="54" t="inlineStr">
        <is>
          <t>Créd. Privado</t>
        </is>
      </c>
      <c r="CB66" s="54" t="inlineStr">
        <is>
          <t>Tít. Públicos</t>
        </is>
      </c>
      <c r="CC66" s="54" t="inlineStr">
        <is>
          <t>Produção Tot.</t>
        </is>
      </c>
      <c r="CD66" s="54" t="inlineStr">
        <is>
          <t>Obs.</t>
        </is>
      </c>
      <c r="CE66" s="54" t="inlineStr">
        <is>
          <t>Saldo Pulso</t>
        </is>
      </c>
      <c r="CF66" s="54" t="inlineStr">
        <is>
          <t>Saldo Anterior</t>
        </is>
      </c>
      <c r="CG66" s="54" t="inlineStr">
        <is>
          <t>Captação Líq.</t>
        </is>
      </c>
      <c r="CH66" s="54" t="inlineStr">
        <is>
          <t>COE</t>
        </is>
      </c>
      <c r="CI66" s="54" t="inlineStr">
        <is>
          <t>Previdência</t>
        </is>
      </c>
      <c r="CJ66" s="54" t="inlineStr">
        <is>
          <t>Créd. Privado</t>
        </is>
      </c>
      <c r="CK66" s="54" t="inlineStr">
        <is>
          <t>Tít. Públicos</t>
        </is>
      </c>
      <c r="CL66" s="54" t="inlineStr">
        <is>
          <t>Produção Tot.</t>
        </is>
      </c>
      <c r="CM66" s="54" t="inlineStr">
        <is>
          <t>Obs.</t>
        </is>
      </c>
      <c r="CN66" s="54" t="inlineStr">
        <is>
          <t>Saldo Pulso</t>
        </is>
      </c>
      <c r="CO66" s="54" t="inlineStr">
        <is>
          <t>Saldo Anterior</t>
        </is>
      </c>
      <c r="CP66" s="54" t="inlineStr">
        <is>
          <t>Captação Líq.</t>
        </is>
      </c>
      <c r="CQ66" s="54" t="inlineStr">
        <is>
          <t>COE</t>
        </is>
      </c>
      <c r="CR66" s="54" t="inlineStr">
        <is>
          <t>Previdência</t>
        </is>
      </c>
      <c r="CS66" s="54" t="inlineStr">
        <is>
          <t>Créd. Privado</t>
        </is>
      </c>
      <c r="CT66" s="54" t="inlineStr">
        <is>
          <t>Tít. Públicos</t>
        </is>
      </c>
      <c r="CU66" s="54" t="inlineStr">
        <is>
          <t>Produção Tot.</t>
        </is>
      </c>
      <c r="CV66" s="54" t="inlineStr">
        <is>
          <t>Obs.</t>
        </is>
      </c>
      <c r="CW66" s="54" t="inlineStr">
        <is>
          <t>Saldo Pulso</t>
        </is>
      </c>
      <c r="CX66" s="54" t="inlineStr">
        <is>
          <t>Saldo Anterior</t>
        </is>
      </c>
      <c r="CY66" s="54" t="inlineStr">
        <is>
          <t>Captação Líq.</t>
        </is>
      </c>
      <c r="CZ66" s="54" t="inlineStr">
        <is>
          <t>COE</t>
        </is>
      </c>
      <c r="DA66" s="54" t="inlineStr">
        <is>
          <t>Previdência</t>
        </is>
      </c>
      <c r="DB66" s="54" t="inlineStr">
        <is>
          <t>Créd. Privado</t>
        </is>
      </c>
      <c r="DC66" s="54" t="inlineStr">
        <is>
          <t>Tít. Públicos</t>
        </is>
      </c>
      <c r="DD66" s="54" t="inlineStr">
        <is>
          <t>Produção Tot.</t>
        </is>
      </c>
      <c r="DE66" s="54" t="inlineStr">
        <is>
          <t>Obs.</t>
        </is>
      </c>
      <c r="DF66" s="54" t="inlineStr">
        <is>
          <t>Saldo Pulso</t>
        </is>
      </c>
      <c r="DG66" s="54" t="inlineStr">
        <is>
          <t>Saldo Anterior</t>
        </is>
      </c>
      <c r="DH66" s="54" t="inlineStr">
        <is>
          <t>Captação Líq.</t>
        </is>
      </c>
      <c r="DI66" s="54" t="inlineStr">
        <is>
          <t>COE</t>
        </is>
      </c>
      <c r="DJ66" s="54" t="inlineStr">
        <is>
          <t>Previdência</t>
        </is>
      </c>
      <c r="DK66" s="54" t="inlineStr">
        <is>
          <t>Créd. Privado</t>
        </is>
      </c>
      <c r="DL66" s="54" t="inlineStr">
        <is>
          <t>Tít. Públicos</t>
        </is>
      </c>
      <c r="DM66" s="54" t="inlineStr">
        <is>
          <t>Produção Tot.</t>
        </is>
      </c>
      <c r="DN66" s="54" t="inlineStr">
        <is>
          <t>Obs.</t>
        </is>
      </c>
      <c r="DO66" s="54" t="inlineStr">
        <is>
          <t>Saldo Pulso</t>
        </is>
      </c>
      <c r="DP66" s="54" t="inlineStr">
        <is>
          <t>Saldo Anterior</t>
        </is>
      </c>
      <c r="DQ66" s="54" t="inlineStr">
        <is>
          <t>Captação Líq.</t>
        </is>
      </c>
      <c r="DR66" s="54" t="inlineStr">
        <is>
          <t>COE</t>
        </is>
      </c>
      <c r="DS66" s="54" t="inlineStr">
        <is>
          <t>Previdência</t>
        </is>
      </c>
      <c r="DT66" s="54" t="inlineStr">
        <is>
          <t>Créd. Privado</t>
        </is>
      </c>
      <c r="DU66" s="54" t="inlineStr">
        <is>
          <t>Tít. Públicos</t>
        </is>
      </c>
      <c r="DV66" s="54" t="inlineStr">
        <is>
          <t>Produção Tot.</t>
        </is>
      </c>
      <c r="DW66" s="54" t="inlineStr">
        <is>
          <t>Obs.</t>
        </is>
      </c>
      <c r="DX66" s="54" t="inlineStr">
        <is>
          <t>Saldo Pulso</t>
        </is>
      </c>
      <c r="DY66" s="54" t="inlineStr">
        <is>
          <t>Saldo Anterior</t>
        </is>
      </c>
      <c r="DZ66" s="54" t="inlineStr">
        <is>
          <t>Captação Líq.</t>
        </is>
      </c>
      <c r="EA66" s="54" t="inlineStr">
        <is>
          <t>COE</t>
        </is>
      </c>
      <c r="EB66" s="54" t="inlineStr">
        <is>
          <t>Previdência</t>
        </is>
      </c>
      <c r="EC66" s="54" t="inlineStr">
        <is>
          <t>Créd. Privado</t>
        </is>
      </c>
      <c r="ED66" s="54" t="inlineStr">
        <is>
          <t>Tít. Públicos</t>
        </is>
      </c>
      <c r="EE66" s="54" t="inlineStr">
        <is>
          <t>Produção Tot.</t>
        </is>
      </c>
      <c r="EF66" s="54" t="inlineStr">
        <is>
          <t>Obs.</t>
        </is>
      </c>
      <c r="EG66" s="54" t="inlineStr">
        <is>
          <t>Saldo Pulso</t>
        </is>
      </c>
      <c r="EH66" s="54" t="inlineStr">
        <is>
          <t>Saldo Anterior</t>
        </is>
      </c>
      <c r="EI66" s="54" t="inlineStr">
        <is>
          <t>Captação Líq.</t>
        </is>
      </c>
      <c r="EJ66" s="54" t="inlineStr">
        <is>
          <t>COE</t>
        </is>
      </c>
      <c r="EK66" s="54" t="inlineStr">
        <is>
          <t>Previdência</t>
        </is>
      </c>
      <c r="EL66" s="54" t="inlineStr">
        <is>
          <t>Créd. Privado</t>
        </is>
      </c>
      <c r="EM66" s="54" t="inlineStr">
        <is>
          <t>Tít. Públicos</t>
        </is>
      </c>
      <c r="EN66" s="54" t="inlineStr">
        <is>
          <t>Produção Tot.</t>
        </is>
      </c>
      <c r="EO66" s="54" t="inlineStr">
        <is>
          <t>Obs.</t>
        </is>
      </c>
      <c r="EP66" s="54" t="inlineStr">
        <is>
          <t>Saldo Pulso</t>
        </is>
      </c>
      <c r="EQ66" s="54" t="inlineStr">
        <is>
          <t>Saldo Anterior</t>
        </is>
      </c>
      <c r="ER66" s="54" t="inlineStr">
        <is>
          <t>Captação Líq.</t>
        </is>
      </c>
      <c r="ES66" s="54" t="inlineStr">
        <is>
          <t>COE</t>
        </is>
      </c>
      <c r="ET66" s="54" t="inlineStr">
        <is>
          <t>Previdência</t>
        </is>
      </c>
      <c r="EU66" s="54" t="inlineStr">
        <is>
          <t>Créd. Privado</t>
        </is>
      </c>
      <c r="EV66" s="54" t="inlineStr">
        <is>
          <t>Tít. Públicos</t>
        </is>
      </c>
      <c r="EW66" s="54" t="inlineStr">
        <is>
          <t>Produção Tot.</t>
        </is>
      </c>
      <c r="EX66" s="54" t="inlineStr">
        <is>
          <t>Obs.</t>
        </is>
      </c>
      <c r="EY66" s="54" t="inlineStr">
        <is>
          <t>Saldo Pulso</t>
        </is>
      </c>
      <c r="EZ66" s="54" t="inlineStr">
        <is>
          <t>Saldo Anterior</t>
        </is>
      </c>
      <c r="FA66" s="54" t="inlineStr">
        <is>
          <t>Captação Líq.</t>
        </is>
      </c>
      <c r="FB66" s="54" t="inlineStr">
        <is>
          <t>COE</t>
        </is>
      </c>
      <c r="FC66" s="54" t="inlineStr">
        <is>
          <t>Previdência</t>
        </is>
      </c>
      <c r="FD66" s="54" t="inlineStr">
        <is>
          <t>Créd. Privado</t>
        </is>
      </c>
      <c r="FE66" s="54" t="inlineStr">
        <is>
          <t>Tít. Públicos</t>
        </is>
      </c>
      <c r="FF66" s="54" t="inlineStr">
        <is>
          <t>Produção Tot.</t>
        </is>
      </c>
      <c r="FG66" s="54" t="inlineStr">
        <is>
          <t>Obs.</t>
        </is>
      </c>
      <c r="FH66" s="54" t="inlineStr">
        <is>
          <t>Saldo Pulso</t>
        </is>
      </c>
      <c r="FI66" s="54" t="inlineStr">
        <is>
          <t>Saldo Anterior</t>
        </is>
      </c>
      <c r="FJ66" s="54" t="inlineStr">
        <is>
          <t>Captação Líq.</t>
        </is>
      </c>
      <c r="FK66" s="54" t="inlineStr">
        <is>
          <t>COE</t>
        </is>
      </c>
      <c r="FL66" s="54" t="inlineStr">
        <is>
          <t>Previdência</t>
        </is>
      </c>
      <c r="FM66" s="54" t="inlineStr">
        <is>
          <t>Créd. Privado</t>
        </is>
      </c>
      <c r="FN66" s="54" t="inlineStr">
        <is>
          <t>Tít. Públicos</t>
        </is>
      </c>
      <c r="FO66" s="54" t="inlineStr">
        <is>
          <t>Produção Tot.</t>
        </is>
      </c>
      <c r="FP66" s="54" t="inlineStr">
        <is>
          <t>Obs.</t>
        </is>
      </c>
      <c r="FQ66" s="54" t="inlineStr">
        <is>
          <t>Saldo Pulso</t>
        </is>
      </c>
      <c r="FR66" s="54" t="inlineStr">
        <is>
          <t>Saldo Anterior</t>
        </is>
      </c>
      <c r="FS66" s="54" t="inlineStr">
        <is>
          <t>Captação Líq.</t>
        </is>
      </c>
      <c r="FT66" s="54" t="inlineStr">
        <is>
          <t>COE</t>
        </is>
      </c>
      <c r="FU66" s="54" t="inlineStr">
        <is>
          <t>Previdência</t>
        </is>
      </c>
      <c r="FV66" s="54" t="inlineStr">
        <is>
          <t>Créd. Privado</t>
        </is>
      </c>
      <c r="FW66" s="54" t="inlineStr">
        <is>
          <t>Tít. Públicos</t>
        </is>
      </c>
      <c r="FX66" s="54" t="inlineStr">
        <is>
          <t>Produção Tot.</t>
        </is>
      </c>
      <c r="FY66" s="54" t="inlineStr">
        <is>
          <t>Obs.</t>
        </is>
      </c>
      <c r="FZ66" s="54" t="inlineStr">
        <is>
          <t>Saldo Pulso</t>
        </is>
      </c>
      <c r="GA66" s="54" t="inlineStr">
        <is>
          <t>Saldo Anterior</t>
        </is>
      </c>
      <c r="GB66" s="54" t="inlineStr">
        <is>
          <t>Captação Líq.</t>
        </is>
      </c>
      <c r="GC66" s="54" t="inlineStr">
        <is>
          <t>COE</t>
        </is>
      </c>
      <c r="GD66" s="54" t="inlineStr">
        <is>
          <t>Previdência</t>
        </is>
      </c>
      <c r="GE66" s="54" t="inlineStr">
        <is>
          <t>Créd. Privado</t>
        </is>
      </c>
      <c r="GF66" s="54" t="inlineStr">
        <is>
          <t>Tít. Públicos</t>
        </is>
      </c>
      <c r="GG66" s="54" t="inlineStr">
        <is>
          <t>Produção Tot.</t>
        </is>
      </c>
      <c r="GH66" s="54" t="inlineStr">
        <is>
          <t>Obs.</t>
        </is>
      </c>
      <c r="GI66" s="54" t="inlineStr">
        <is>
          <t>Saldo Pulso</t>
        </is>
      </c>
      <c r="GJ66" s="54" t="inlineStr">
        <is>
          <t>Saldo Anterior</t>
        </is>
      </c>
      <c r="GK66" s="54" t="inlineStr">
        <is>
          <t>Captação Líq.</t>
        </is>
      </c>
      <c r="GL66" s="54" t="inlineStr">
        <is>
          <t>COE</t>
        </is>
      </c>
      <c r="GM66" s="54" t="inlineStr">
        <is>
          <t>Previdência</t>
        </is>
      </c>
      <c r="GN66" s="54" t="inlineStr">
        <is>
          <t>Créd. Privado</t>
        </is>
      </c>
      <c r="GO66" s="54" t="inlineStr">
        <is>
          <t>Tít. Públicos</t>
        </is>
      </c>
      <c r="GP66" s="54" t="inlineStr">
        <is>
          <t>Produção Tot.</t>
        </is>
      </c>
      <c r="GQ66" s="54" t="inlineStr">
        <is>
          <t>Obs.</t>
        </is>
      </c>
      <c r="GR66" s="54" t="inlineStr">
        <is>
          <t>Saldo Pulso</t>
        </is>
      </c>
      <c r="GS66" s="54" t="inlineStr">
        <is>
          <t>Saldo Anterior</t>
        </is>
      </c>
      <c r="GT66" s="54" t="inlineStr">
        <is>
          <t>Captação Líq.</t>
        </is>
      </c>
      <c r="GU66" s="54" t="inlineStr">
        <is>
          <t>COE</t>
        </is>
      </c>
      <c r="GV66" s="54" t="inlineStr">
        <is>
          <t>Previdência</t>
        </is>
      </c>
      <c r="GW66" s="54" t="inlineStr">
        <is>
          <t>Créd. Privado</t>
        </is>
      </c>
      <c r="GX66" s="54" t="inlineStr">
        <is>
          <t>Tít. Públicos</t>
        </is>
      </c>
      <c r="GY66" s="54" t="inlineStr">
        <is>
          <t>Produção Tot.</t>
        </is>
      </c>
      <c r="GZ66" s="54" t="inlineStr">
        <is>
          <t>Obs.</t>
        </is>
      </c>
      <c r="HA66" s="54" t="inlineStr">
        <is>
          <t>Saldo Pulso</t>
        </is>
      </c>
      <c r="HB66" s="54" t="inlineStr">
        <is>
          <t>Saldo Anterior</t>
        </is>
      </c>
      <c r="HC66" s="54" t="inlineStr">
        <is>
          <t>Captação Líq.</t>
        </is>
      </c>
      <c r="HD66" s="54" t="inlineStr">
        <is>
          <t>COE</t>
        </is>
      </c>
      <c r="HE66" s="54" t="inlineStr">
        <is>
          <t>Previdência</t>
        </is>
      </c>
      <c r="HF66" s="54" t="inlineStr">
        <is>
          <t>Créd. Privado</t>
        </is>
      </c>
      <c r="HG66" s="54" t="inlineStr">
        <is>
          <t>Tít. Públicos</t>
        </is>
      </c>
      <c r="HH66" s="54" t="inlineStr">
        <is>
          <t>Produção Tot.</t>
        </is>
      </c>
      <c r="HI66" s="54" t="inlineStr">
        <is>
          <t>Obs.</t>
        </is>
      </c>
      <c r="HJ66" s="54" t="inlineStr">
        <is>
          <t>Saldo Pulso</t>
        </is>
      </c>
      <c r="HK66" s="54" t="inlineStr">
        <is>
          <t>Saldo Anterior</t>
        </is>
      </c>
      <c r="HL66" s="54" t="inlineStr">
        <is>
          <t>Captação Líq.</t>
        </is>
      </c>
      <c r="HM66" s="54" t="inlineStr">
        <is>
          <t>COE</t>
        </is>
      </c>
      <c r="HN66" s="54" t="inlineStr">
        <is>
          <t>Previdência</t>
        </is>
      </c>
      <c r="HO66" s="54" t="inlineStr">
        <is>
          <t>Créd. Privado</t>
        </is>
      </c>
      <c r="HP66" s="54" t="inlineStr">
        <is>
          <t>Tít. Públicos</t>
        </is>
      </c>
      <c r="HQ66" s="54" t="inlineStr">
        <is>
          <t>Produção Tot.</t>
        </is>
      </c>
      <c r="HR66" s="54" t="inlineStr">
        <is>
          <t>Obs.</t>
        </is>
      </c>
      <c r="HS66" s="54" t="inlineStr">
        <is>
          <t>Saldo Pulso</t>
        </is>
      </c>
      <c r="HT66" s="54" t="inlineStr">
        <is>
          <t>Saldo Anterior</t>
        </is>
      </c>
      <c r="HU66" s="54" t="inlineStr">
        <is>
          <t>Captação Líq.</t>
        </is>
      </c>
      <c r="HV66" s="54" t="inlineStr">
        <is>
          <t>COE</t>
        </is>
      </c>
      <c r="HW66" s="54" t="inlineStr">
        <is>
          <t>Previdência</t>
        </is>
      </c>
      <c r="HX66" s="54" t="inlineStr">
        <is>
          <t>Créd. Privado</t>
        </is>
      </c>
      <c r="HY66" s="54" t="inlineStr">
        <is>
          <t>Tít. Públicos</t>
        </is>
      </c>
      <c r="HZ66" s="54" t="inlineStr">
        <is>
          <t>Produção Tot.</t>
        </is>
      </c>
      <c r="IA66" s="54" t="inlineStr">
        <is>
          <t>Obs.</t>
        </is>
      </c>
      <c r="IB66" s="54" t="inlineStr">
        <is>
          <t>Saldo Pulso</t>
        </is>
      </c>
      <c r="IC66" s="54" t="inlineStr">
        <is>
          <t>Saldo Anterior</t>
        </is>
      </c>
      <c r="ID66" s="54" t="inlineStr">
        <is>
          <t>Captação Líq.</t>
        </is>
      </c>
      <c r="IE66" s="54" t="inlineStr">
        <is>
          <t>COE</t>
        </is>
      </c>
      <c r="IF66" s="54" t="inlineStr">
        <is>
          <t>Previdência</t>
        </is>
      </c>
      <c r="IG66" s="54" t="inlineStr">
        <is>
          <t>Créd. Privado</t>
        </is>
      </c>
      <c r="IH66" s="54" t="inlineStr">
        <is>
          <t>Tít. Públicos</t>
        </is>
      </c>
      <c r="II66" s="54" t="inlineStr">
        <is>
          <t>Produção Tot.</t>
        </is>
      </c>
      <c r="IJ66" s="54" t="inlineStr">
        <is>
          <t>Obs.</t>
        </is>
      </c>
      <c r="IK66" s="54" t="inlineStr">
        <is>
          <t>Saldo Pulso</t>
        </is>
      </c>
      <c r="IL66" s="54" t="inlineStr">
        <is>
          <t>Saldo Anterior</t>
        </is>
      </c>
      <c r="IM66" s="54" t="inlineStr">
        <is>
          <t>Captação Líq.</t>
        </is>
      </c>
      <c r="IN66" s="54" t="inlineStr">
        <is>
          <t>COE</t>
        </is>
      </c>
      <c r="IO66" s="54" t="inlineStr">
        <is>
          <t>Previdência</t>
        </is>
      </c>
      <c r="IP66" s="54" t="inlineStr">
        <is>
          <t>Créd. Privado</t>
        </is>
      </c>
      <c r="IQ66" s="54" t="inlineStr">
        <is>
          <t>Tít. Públicos</t>
        </is>
      </c>
      <c r="IR66" s="54" t="inlineStr">
        <is>
          <t>Produção Tot.</t>
        </is>
      </c>
      <c r="IS66" s="54" t="inlineStr">
        <is>
          <t>Obs.</t>
        </is>
      </c>
      <c r="IT66" s="54" t="inlineStr">
        <is>
          <t>Saldo Pulso</t>
        </is>
      </c>
      <c r="IU66" s="54" t="inlineStr">
        <is>
          <t>Saldo Anterior</t>
        </is>
      </c>
      <c r="IV66" s="54" t="inlineStr">
        <is>
          <t>Captação Líq.</t>
        </is>
      </c>
      <c r="IW66" s="54" t="inlineStr">
        <is>
          <t>COE</t>
        </is>
      </c>
      <c r="IX66" s="54" t="inlineStr">
        <is>
          <t>Previdência</t>
        </is>
      </c>
      <c r="IY66" s="54" t="inlineStr">
        <is>
          <t>Créd. Privado</t>
        </is>
      </c>
      <c r="IZ66" s="54" t="inlineStr">
        <is>
          <t>Tít. Públicos</t>
        </is>
      </c>
      <c r="JA66" s="54" t="inlineStr">
        <is>
          <t>Produção Tot.</t>
        </is>
      </c>
      <c r="JB66" s="54" t="inlineStr">
        <is>
          <t>Obs.</t>
        </is>
      </c>
      <c r="JC66" s="54" t="inlineStr">
        <is>
          <t>Saldo Pulso</t>
        </is>
      </c>
      <c r="JD66" s="54" t="inlineStr">
        <is>
          <t>Saldo Anterior</t>
        </is>
      </c>
      <c r="JE66" s="54" t="inlineStr">
        <is>
          <t>Captação Líq.</t>
        </is>
      </c>
      <c r="JF66" s="54" t="inlineStr">
        <is>
          <t>COE</t>
        </is>
      </c>
      <c r="JG66" s="54" t="inlineStr">
        <is>
          <t>Previdência</t>
        </is>
      </c>
      <c r="JH66" s="54" t="inlineStr">
        <is>
          <t>Créd. Privado</t>
        </is>
      </c>
      <c r="JI66" s="54" t="inlineStr">
        <is>
          <t>Tít. Públicos</t>
        </is>
      </c>
      <c r="JJ66" s="54" t="inlineStr">
        <is>
          <t>Produção Tot.</t>
        </is>
      </c>
      <c r="JK66" s="54" t="inlineStr">
        <is>
          <t>Obs.</t>
        </is>
      </c>
      <c r="JL66" s="54" t="inlineStr">
        <is>
          <t>Saldo Pulso</t>
        </is>
      </c>
      <c r="JM66" s="54" t="inlineStr">
        <is>
          <t>Saldo Anterior</t>
        </is>
      </c>
      <c r="JN66" s="54" t="inlineStr">
        <is>
          <t>Captação Líq.</t>
        </is>
      </c>
      <c r="JO66" s="54" t="inlineStr">
        <is>
          <t>COE</t>
        </is>
      </c>
      <c r="JP66" s="54" t="inlineStr">
        <is>
          <t>Previdência</t>
        </is>
      </c>
      <c r="JQ66" s="54" t="inlineStr">
        <is>
          <t>Créd. Privado</t>
        </is>
      </c>
      <c r="JR66" s="54" t="inlineStr">
        <is>
          <t>Tít. Públicos</t>
        </is>
      </c>
      <c r="JS66" s="54" t="inlineStr">
        <is>
          <t>Produção Tot.</t>
        </is>
      </c>
      <c r="JT66" s="54" t="inlineStr">
        <is>
          <t>Obs.</t>
        </is>
      </c>
      <c r="JU66" s="55" t="n"/>
      <c r="JV66" s="55" t="n"/>
      <c r="JW66" s="55" t="n"/>
      <c r="JX66" s="55" t="n"/>
      <c r="JY66" s="55" t="n"/>
      <c r="JZ66" s="55" t="n"/>
      <c r="KA66" s="55" t="n"/>
    </row>
    <row r="67" ht="20" customHeight="1">
      <c r="A67" s="56">
        <f>IF(Configurações!$B$7="","Assessor 1",Configurações!$B$7)</f>
        <v/>
      </c>
      <c r="B67" s="57" t="n"/>
      <c r="C67" s="58">
        <f>'Novembro'!$JW67</f>
        <v/>
      </c>
      <c r="D67" s="59" t="n"/>
      <c r="E67" s="57" t="n"/>
      <c r="F67" s="57" t="n"/>
      <c r="G67" s="57" t="n"/>
      <c r="H67" s="57" t="n"/>
      <c r="I67" s="60">
        <f>SUM(E67:H67)</f>
        <v/>
      </c>
      <c r="J67" s="61" t="n"/>
      <c r="K67" s="57" t="n"/>
      <c r="L67" s="58">
        <f>B67</f>
        <v/>
      </c>
      <c r="M67" s="59" t="n"/>
      <c r="N67" s="57" t="n"/>
      <c r="O67" s="57" t="n"/>
      <c r="P67" s="57" t="n"/>
      <c r="Q67" s="57" t="n"/>
      <c r="R67" s="60">
        <f>SUM(N67:Q67)</f>
        <v/>
      </c>
      <c r="S67" s="61" t="n"/>
      <c r="T67" s="57" t="n"/>
      <c r="U67" s="58">
        <f>K67</f>
        <v/>
      </c>
      <c r="V67" s="59" t="n"/>
      <c r="W67" s="57" t="n"/>
      <c r="X67" s="57" t="n"/>
      <c r="Y67" s="57" t="n"/>
      <c r="Z67" s="57" t="n"/>
      <c r="AA67" s="60">
        <f>SUM(W67:Z67)</f>
        <v/>
      </c>
      <c r="AB67" s="61" t="n"/>
      <c r="AC67" s="57" t="n"/>
      <c r="AD67" s="58">
        <f>T67</f>
        <v/>
      </c>
      <c r="AE67" s="59" t="n"/>
      <c r="AF67" s="57" t="n"/>
      <c r="AG67" s="57" t="n"/>
      <c r="AH67" s="57" t="n"/>
      <c r="AI67" s="57" t="n"/>
      <c r="AJ67" s="60">
        <f>SUM(AF67:AI67)</f>
        <v/>
      </c>
      <c r="AK67" s="61" t="n"/>
      <c r="AL67" s="57" t="n"/>
      <c r="AM67" s="58">
        <f>AC67</f>
        <v/>
      </c>
      <c r="AN67" s="59" t="n"/>
      <c r="AO67" s="57" t="n"/>
      <c r="AP67" s="57" t="n"/>
      <c r="AQ67" s="57" t="n"/>
      <c r="AR67" s="57" t="n"/>
      <c r="AS67" s="60">
        <f>SUM(AO67:AR67)</f>
        <v/>
      </c>
      <c r="AT67" s="61" t="n"/>
      <c r="AU67" s="57" t="n"/>
      <c r="AV67" s="58">
        <f>AL67</f>
        <v/>
      </c>
      <c r="AW67" s="59" t="n"/>
      <c r="AX67" s="57" t="n"/>
      <c r="AY67" s="57" t="n"/>
      <c r="AZ67" s="57" t="n"/>
      <c r="BA67" s="57" t="n"/>
      <c r="BB67" s="60">
        <f>SUM(AX67:BA67)</f>
        <v/>
      </c>
      <c r="BC67" s="61" t="n"/>
      <c r="BD67" s="57" t="n"/>
      <c r="BE67" s="58">
        <f>AU67</f>
        <v/>
      </c>
      <c r="BF67" s="59" t="n"/>
      <c r="BG67" s="57" t="n"/>
      <c r="BH67" s="57" t="n"/>
      <c r="BI67" s="57" t="n"/>
      <c r="BJ67" s="57" t="n"/>
      <c r="BK67" s="60">
        <f>SUM(BG67:BJ67)</f>
        <v/>
      </c>
      <c r="BL67" s="61" t="n"/>
      <c r="BM67" s="57" t="n"/>
      <c r="BN67" s="58">
        <f>BD67</f>
        <v/>
      </c>
      <c r="BO67" s="59" t="n"/>
      <c r="BP67" s="57" t="n"/>
      <c r="BQ67" s="57" t="n"/>
      <c r="BR67" s="57" t="n"/>
      <c r="BS67" s="57" t="n"/>
      <c r="BT67" s="60">
        <f>SUM(BP67:BS67)</f>
        <v/>
      </c>
      <c r="BU67" s="61" t="n"/>
      <c r="BV67" s="57" t="n"/>
      <c r="BW67" s="58">
        <f>BM67</f>
        <v/>
      </c>
      <c r="BX67" s="59" t="n"/>
      <c r="BY67" s="57" t="n"/>
      <c r="BZ67" s="57" t="n"/>
      <c r="CA67" s="57" t="n"/>
      <c r="CB67" s="57" t="n"/>
      <c r="CC67" s="60">
        <f>SUM(BY67:CB67)</f>
        <v/>
      </c>
      <c r="CD67" s="61" t="n"/>
      <c r="CE67" s="57" t="n"/>
      <c r="CF67" s="58">
        <f>BV67</f>
        <v/>
      </c>
      <c r="CG67" s="59" t="n"/>
      <c r="CH67" s="57" t="n"/>
      <c r="CI67" s="57" t="n"/>
      <c r="CJ67" s="57" t="n"/>
      <c r="CK67" s="57" t="n"/>
      <c r="CL67" s="60">
        <f>SUM(CH67:CK67)</f>
        <v/>
      </c>
      <c r="CM67" s="61" t="n"/>
      <c r="CN67" s="57" t="n"/>
      <c r="CO67" s="58">
        <f>CE67</f>
        <v/>
      </c>
      <c r="CP67" s="59" t="n"/>
      <c r="CQ67" s="57" t="n"/>
      <c r="CR67" s="57" t="n"/>
      <c r="CS67" s="57" t="n"/>
      <c r="CT67" s="57" t="n"/>
      <c r="CU67" s="60">
        <f>SUM(CQ67:CT67)</f>
        <v/>
      </c>
      <c r="CV67" s="61" t="n"/>
      <c r="CW67" s="57" t="n"/>
      <c r="CX67" s="58">
        <f>CN67</f>
        <v/>
      </c>
      <c r="CY67" s="59" t="n"/>
      <c r="CZ67" s="57" t="n"/>
      <c r="DA67" s="57" t="n"/>
      <c r="DB67" s="57" t="n"/>
      <c r="DC67" s="57" t="n"/>
      <c r="DD67" s="60">
        <f>SUM(CZ67:DC67)</f>
        <v/>
      </c>
      <c r="DE67" s="61" t="n"/>
      <c r="DF67" s="57" t="n"/>
      <c r="DG67" s="58">
        <f>CW67</f>
        <v/>
      </c>
      <c r="DH67" s="59" t="n"/>
      <c r="DI67" s="57" t="n"/>
      <c r="DJ67" s="57" t="n"/>
      <c r="DK67" s="57" t="n"/>
      <c r="DL67" s="57" t="n"/>
      <c r="DM67" s="60">
        <f>SUM(DI67:DL67)</f>
        <v/>
      </c>
      <c r="DN67" s="61" t="n"/>
      <c r="DO67" s="57" t="n"/>
      <c r="DP67" s="58">
        <f>DF67</f>
        <v/>
      </c>
      <c r="DQ67" s="59" t="n"/>
      <c r="DR67" s="57" t="n"/>
      <c r="DS67" s="57" t="n"/>
      <c r="DT67" s="57" t="n"/>
      <c r="DU67" s="57" t="n"/>
      <c r="DV67" s="60">
        <f>SUM(DR67:DU67)</f>
        <v/>
      </c>
      <c r="DW67" s="61" t="n"/>
      <c r="DX67" s="57" t="n"/>
      <c r="DY67" s="58">
        <f>DO67</f>
        <v/>
      </c>
      <c r="DZ67" s="59" t="n"/>
      <c r="EA67" s="57" t="n"/>
      <c r="EB67" s="57" t="n"/>
      <c r="EC67" s="57" t="n"/>
      <c r="ED67" s="57" t="n"/>
      <c r="EE67" s="60">
        <f>SUM(EA67:ED67)</f>
        <v/>
      </c>
      <c r="EF67" s="61" t="n"/>
      <c r="EG67" s="57" t="n"/>
      <c r="EH67" s="58">
        <f>DX67</f>
        <v/>
      </c>
      <c r="EI67" s="59" t="n"/>
      <c r="EJ67" s="57" t="n"/>
      <c r="EK67" s="57" t="n"/>
      <c r="EL67" s="57" t="n"/>
      <c r="EM67" s="57" t="n"/>
      <c r="EN67" s="60">
        <f>SUM(EJ67:EM67)</f>
        <v/>
      </c>
      <c r="EO67" s="61" t="n"/>
      <c r="EP67" s="57" t="n"/>
      <c r="EQ67" s="58">
        <f>EG67</f>
        <v/>
      </c>
      <c r="ER67" s="59" t="n"/>
      <c r="ES67" s="57" t="n"/>
      <c r="ET67" s="57" t="n"/>
      <c r="EU67" s="57" t="n"/>
      <c r="EV67" s="57" t="n"/>
      <c r="EW67" s="60">
        <f>SUM(ES67:EV67)</f>
        <v/>
      </c>
      <c r="EX67" s="61" t="n"/>
      <c r="EY67" s="57" t="n"/>
      <c r="EZ67" s="58">
        <f>EP67</f>
        <v/>
      </c>
      <c r="FA67" s="59" t="n"/>
      <c r="FB67" s="57" t="n"/>
      <c r="FC67" s="57" t="n"/>
      <c r="FD67" s="57" t="n"/>
      <c r="FE67" s="57" t="n"/>
      <c r="FF67" s="60">
        <f>SUM(FB67:FE67)</f>
        <v/>
      </c>
      <c r="FG67" s="61" t="n"/>
      <c r="FH67" s="57" t="n"/>
      <c r="FI67" s="58">
        <f>EY67</f>
        <v/>
      </c>
      <c r="FJ67" s="59" t="n"/>
      <c r="FK67" s="57" t="n"/>
      <c r="FL67" s="57" t="n"/>
      <c r="FM67" s="57" t="n"/>
      <c r="FN67" s="57" t="n"/>
      <c r="FO67" s="60">
        <f>SUM(FK67:FN67)</f>
        <v/>
      </c>
      <c r="FP67" s="61" t="n"/>
      <c r="FQ67" s="57" t="n"/>
      <c r="FR67" s="58">
        <f>FH67</f>
        <v/>
      </c>
      <c r="FS67" s="59" t="n"/>
      <c r="FT67" s="57" t="n"/>
      <c r="FU67" s="57" t="n"/>
      <c r="FV67" s="57" t="n"/>
      <c r="FW67" s="57" t="n"/>
      <c r="FX67" s="60">
        <f>SUM(FT67:FW67)</f>
        <v/>
      </c>
      <c r="FY67" s="61" t="n"/>
      <c r="FZ67" s="57" t="n"/>
      <c r="GA67" s="58">
        <f>FQ67</f>
        <v/>
      </c>
      <c r="GB67" s="59" t="n"/>
      <c r="GC67" s="57" t="n"/>
      <c r="GD67" s="57" t="n"/>
      <c r="GE67" s="57" t="n"/>
      <c r="GF67" s="57" t="n"/>
      <c r="GG67" s="60">
        <f>SUM(GC67:GF67)</f>
        <v/>
      </c>
      <c r="GH67" s="61" t="n"/>
      <c r="GI67" s="57" t="n"/>
      <c r="GJ67" s="58">
        <f>FZ67</f>
        <v/>
      </c>
      <c r="GK67" s="59" t="n"/>
      <c r="GL67" s="57" t="n"/>
      <c r="GM67" s="57" t="n"/>
      <c r="GN67" s="57" t="n"/>
      <c r="GO67" s="57" t="n"/>
      <c r="GP67" s="60">
        <f>SUM(GL67:GO67)</f>
        <v/>
      </c>
      <c r="GQ67" s="61" t="n"/>
      <c r="GR67" s="57" t="n"/>
      <c r="GS67" s="58">
        <f>GI67</f>
        <v/>
      </c>
      <c r="GT67" s="59" t="n"/>
      <c r="GU67" s="57" t="n"/>
      <c r="GV67" s="57" t="n"/>
      <c r="GW67" s="57" t="n"/>
      <c r="GX67" s="57" t="n"/>
      <c r="GY67" s="60">
        <f>SUM(GU67:GX67)</f>
        <v/>
      </c>
      <c r="GZ67" s="61" t="n"/>
      <c r="HA67" s="57" t="n"/>
      <c r="HB67" s="58">
        <f>GR67</f>
        <v/>
      </c>
      <c r="HC67" s="59" t="n"/>
      <c r="HD67" s="57" t="n"/>
      <c r="HE67" s="57" t="n"/>
      <c r="HF67" s="57" t="n"/>
      <c r="HG67" s="57" t="n"/>
      <c r="HH67" s="60">
        <f>SUM(HD67:HG67)</f>
        <v/>
      </c>
      <c r="HI67" s="61" t="n"/>
      <c r="HJ67" s="57" t="n"/>
      <c r="HK67" s="58">
        <f>HA67</f>
        <v/>
      </c>
      <c r="HL67" s="59" t="n"/>
      <c r="HM67" s="57" t="n"/>
      <c r="HN67" s="57" t="n"/>
      <c r="HO67" s="57" t="n"/>
      <c r="HP67" s="57" t="n"/>
      <c r="HQ67" s="60">
        <f>SUM(HM67:HP67)</f>
        <v/>
      </c>
      <c r="HR67" s="61" t="n"/>
      <c r="HS67" s="57" t="n"/>
      <c r="HT67" s="58">
        <f>HJ67</f>
        <v/>
      </c>
      <c r="HU67" s="59" t="n"/>
      <c r="HV67" s="57" t="n"/>
      <c r="HW67" s="57" t="n"/>
      <c r="HX67" s="57" t="n"/>
      <c r="HY67" s="57" t="n"/>
      <c r="HZ67" s="60">
        <f>SUM(HV67:HY67)</f>
        <v/>
      </c>
      <c r="IA67" s="61" t="n"/>
      <c r="IB67" s="57" t="n"/>
      <c r="IC67" s="58">
        <f>HS67</f>
        <v/>
      </c>
      <c r="ID67" s="59" t="n"/>
      <c r="IE67" s="57" t="n"/>
      <c r="IF67" s="57" t="n"/>
      <c r="IG67" s="57" t="n"/>
      <c r="IH67" s="57" t="n"/>
      <c r="II67" s="60">
        <f>SUM(IE67:IH67)</f>
        <v/>
      </c>
      <c r="IJ67" s="61" t="n"/>
      <c r="IK67" s="57" t="n"/>
      <c r="IL67" s="58">
        <f>IB67</f>
        <v/>
      </c>
      <c r="IM67" s="59" t="n"/>
      <c r="IN67" s="57" t="n"/>
      <c r="IO67" s="57" t="n"/>
      <c r="IP67" s="57" t="n"/>
      <c r="IQ67" s="57" t="n"/>
      <c r="IR67" s="60">
        <f>SUM(IN67:IQ67)</f>
        <v/>
      </c>
      <c r="IS67" s="61" t="n"/>
      <c r="IT67" s="57" t="n"/>
      <c r="IU67" s="58">
        <f>IK67</f>
        <v/>
      </c>
      <c r="IV67" s="59" t="n"/>
      <c r="IW67" s="57" t="n"/>
      <c r="IX67" s="57" t="n"/>
      <c r="IY67" s="57" t="n"/>
      <c r="IZ67" s="57" t="n"/>
      <c r="JA67" s="60">
        <f>SUM(IW67:IZ67)</f>
        <v/>
      </c>
      <c r="JB67" s="61" t="n"/>
      <c r="JC67" s="57" t="n"/>
      <c r="JD67" s="58">
        <f>IT67</f>
        <v/>
      </c>
      <c r="JE67" s="59" t="n"/>
      <c r="JF67" s="57" t="n"/>
      <c r="JG67" s="57" t="n"/>
      <c r="JH67" s="57" t="n"/>
      <c r="JI67" s="57" t="n"/>
      <c r="JJ67" s="60">
        <f>SUM(JF67:JI67)</f>
        <v/>
      </c>
      <c r="JK67" s="61" t="n"/>
      <c r="JL67" s="57" t="n"/>
      <c r="JM67" s="58">
        <f>JC67</f>
        <v/>
      </c>
      <c r="JN67" s="59" t="n"/>
      <c r="JO67" s="57" t="n"/>
      <c r="JP67" s="57" t="n"/>
      <c r="JQ67" s="57" t="n"/>
      <c r="JR67" s="57" t="n"/>
      <c r="JS67" s="60">
        <f>SUM(JO67:JR67)</f>
        <v/>
      </c>
      <c r="JT67" s="61" t="n"/>
      <c r="JU67" s="62">
        <f>I67+R67+AA67+AJ67+AS67+BB67+BK67+BT67+CC67+CL67+CU67+DD67+DM67+DV67+EE67+EN67+EW67+FF67+FO67+FX67+GG67+GP67+GY67+HH67+HQ67+HZ67+II67+IR67+JA67+JJ67+JS67</f>
        <v/>
      </c>
      <c r="JV67" s="63">
        <f>D67+M67+V67+AE67+AN67+AW67+BF67+BO67+BX67+CG67+CP67+CY67+DH67+DQ67+DZ67+EI67+ER67+FA67+FJ67+FS67+GB67+GK67+GT67+HC67+HL67+HU67+ID67+IM67+IV67+JE67+JN67</f>
        <v/>
      </c>
      <c r="JW67" s="62">
        <f>CHOOSE($Z$3,B67, K67, T67, AC67, AL67, AU67, BD67, BM67, BV67, CE67, CN67, CW67, DF67, DO67, DX67, EG67, EP67, EY67, FH67, FQ67, FZ67, GI67, GR67, HA67, HJ67, HS67, IB67, IK67, IT67, JC67, JL67)</f>
        <v/>
      </c>
      <c r="JX67" s="62">
        <f>IFERROR(JU67/$Z$3,0)</f>
        <v/>
      </c>
      <c r="JY67" s="62">
        <f>Configurações!$C$7</f>
        <v/>
      </c>
      <c r="JZ67" s="64">
        <f>IF(JY67=0,"— Sem meta",IF(JU67&gt;=JY67,"✓ Atingida","Em andamento"))</f>
        <v/>
      </c>
      <c r="KA67" s="65">
        <f>JU67+(13*0.0000001)</f>
        <v/>
      </c>
    </row>
    <row r="68" ht="20" customHeight="1">
      <c r="A68" s="56">
        <f>IF(Configurações!$B$8="","Assessor 2",Configurações!$B$8)</f>
        <v/>
      </c>
      <c r="B68" s="57" t="n"/>
      <c r="C68" s="66">
        <f>'Novembro'!$JW68</f>
        <v/>
      </c>
      <c r="D68" s="59" t="n"/>
      <c r="E68" s="57" t="n"/>
      <c r="F68" s="57" t="n"/>
      <c r="G68" s="57" t="n"/>
      <c r="H68" s="57" t="n"/>
      <c r="I68" s="67">
        <f>SUM(E68:H68)</f>
        <v/>
      </c>
      <c r="J68" s="61" t="n"/>
      <c r="K68" s="57" t="n"/>
      <c r="L68" s="66">
        <f>B68</f>
        <v/>
      </c>
      <c r="M68" s="59" t="n"/>
      <c r="N68" s="57" t="n"/>
      <c r="O68" s="57" t="n"/>
      <c r="P68" s="57" t="n"/>
      <c r="Q68" s="57" t="n"/>
      <c r="R68" s="67">
        <f>SUM(N68:Q68)</f>
        <v/>
      </c>
      <c r="S68" s="61" t="n"/>
      <c r="T68" s="57" t="n"/>
      <c r="U68" s="66">
        <f>K68</f>
        <v/>
      </c>
      <c r="V68" s="59" t="n"/>
      <c r="W68" s="57" t="n"/>
      <c r="X68" s="57" t="n"/>
      <c r="Y68" s="57" t="n"/>
      <c r="Z68" s="57" t="n"/>
      <c r="AA68" s="67">
        <f>SUM(W68:Z68)</f>
        <v/>
      </c>
      <c r="AB68" s="61" t="n"/>
      <c r="AC68" s="57" t="n"/>
      <c r="AD68" s="66">
        <f>T68</f>
        <v/>
      </c>
      <c r="AE68" s="59" t="n"/>
      <c r="AF68" s="57" t="n"/>
      <c r="AG68" s="57" t="n"/>
      <c r="AH68" s="57" t="n"/>
      <c r="AI68" s="57" t="n"/>
      <c r="AJ68" s="67">
        <f>SUM(AF68:AI68)</f>
        <v/>
      </c>
      <c r="AK68" s="61" t="n"/>
      <c r="AL68" s="57" t="n"/>
      <c r="AM68" s="66">
        <f>AC68</f>
        <v/>
      </c>
      <c r="AN68" s="59" t="n"/>
      <c r="AO68" s="57" t="n"/>
      <c r="AP68" s="57" t="n"/>
      <c r="AQ68" s="57" t="n"/>
      <c r="AR68" s="57" t="n"/>
      <c r="AS68" s="67">
        <f>SUM(AO68:AR68)</f>
        <v/>
      </c>
      <c r="AT68" s="61" t="n"/>
      <c r="AU68" s="57" t="n"/>
      <c r="AV68" s="66">
        <f>AL68</f>
        <v/>
      </c>
      <c r="AW68" s="59" t="n"/>
      <c r="AX68" s="57" t="n"/>
      <c r="AY68" s="57" t="n"/>
      <c r="AZ68" s="57" t="n"/>
      <c r="BA68" s="57" t="n"/>
      <c r="BB68" s="67">
        <f>SUM(AX68:BA68)</f>
        <v/>
      </c>
      <c r="BC68" s="61" t="n"/>
      <c r="BD68" s="57" t="n"/>
      <c r="BE68" s="66">
        <f>AU68</f>
        <v/>
      </c>
      <c r="BF68" s="59" t="n"/>
      <c r="BG68" s="57" t="n"/>
      <c r="BH68" s="57" t="n"/>
      <c r="BI68" s="57" t="n"/>
      <c r="BJ68" s="57" t="n"/>
      <c r="BK68" s="67">
        <f>SUM(BG68:BJ68)</f>
        <v/>
      </c>
      <c r="BL68" s="61" t="n"/>
      <c r="BM68" s="57" t="n"/>
      <c r="BN68" s="66">
        <f>BD68</f>
        <v/>
      </c>
      <c r="BO68" s="59" t="n"/>
      <c r="BP68" s="57" t="n"/>
      <c r="BQ68" s="57" t="n"/>
      <c r="BR68" s="57" t="n"/>
      <c r="BS68" s="57" t="n"/>
      <c r="BT68" s="67">
        <f>SUM(BP68:BS68)</f>
        <v/>
      </c>
      <c r="BU68" s="61" t="n"/>
      <c r="BV68" s="57" t="n"/>
      <c r="BW68" s="66">
        <f>BM68</f>
        <v/>
      </c>
      <c r="BX68" s="59" t="n"/>
      <c r="BY68" s="57" t="n"/>
      <c r="BZ68" s="57" t="n"/>
      <c r="CA68" s="57" t="n"/>
      <c r="CB68" s="57" t="n"/>
      <c r="CC68" s="67">
        <f>SUM(BY68:CB68)</f>
        <v/>
      </c>
      <c r="CD68" s="61" t="n"/>
      <c r="CE68" s="57" t="n"/>
      <c r="CF68" s="66">
        <f>BV68</f>
        <v/>
      </c>
      <c r="CG68" s="59" t="n"/>
      <c r="CH68" s="57" t="n"/>
      <c r="CI68" s="57" t="n"/>
      <c r="CJ68" s="57" t="n"/>
      <c r="CK68" s="57" t="n"/>
      <c r="CL68" s="67">
        <f>SUM(CH68:CK68)</f>
        <v/>
      </c>
      <c r="CM68" s="61" t="n"/>
      <c r="CN68" s="57" t="n"/>
      <c r="CO68" s="66">
        <f>CE68</f>
        <v/>
      </c>
      <c r="CP68" s="59" t="n"/>
      <c r="CQ68" s="57" t="n"/>
      <c r="CR68" s="57" t="n"/>
      <c r="CS68" s="57" t="n"/>
      <c r="CT68" s="57" t="n"/>
      <c r="CU68" s="67">
        <f>SUM(CQ68:CT68)</f>
        <v/>
      </c>
      <c r="CV68" s="61" t="n"/>
      <c r="CW68" s="57" t="n"/>
      <c r="CX68" s="66">
        <f>CN68</f>
        <v/>
      </c>
      <c r="CY68" s="59" t="n"/>
      <c r="CZ68" s="57" t="n"/>
      <c r="DA68" s="57" t="n"/>
      <c r="DB68" s="57" t="n"/>
      <c r="DC68" s="57" t="n"/>
      <c r="DD68" s="67">
        <f>SUM(CZ68:DC68)</f>
        <v/>
      </c>
      <c r="DE68" s="61" t="n"/>
      <c r="DF68" s="57" t="n"/>
      <c r="DG68" s="66">
        <f>CW68</f>
        <v/>
      </c>
      <c r="DH68" s="59" t="n"/>
      <c r="DI68" s="57" t="n"/>
      <c r="DJ68" s="57" t="n"/>
      <c r="DK68" s="57" t="n"/>
      <c r="DL68" s="57" t="n"/>
      <c r="DM68" s="67">
        <f>SUM(DI68:DL68)</f>
        <v/>
      </c>
      <c r="DN68" s="61" t="n"/>
      <c r="DO68" s="57" t="n"/>
      <c r="DP68" s="66">
        <f>DF68</f>
        <v/>
      </c>
      <c r="DQ68" s="59" t="n"/>
      <c r="DR68" s="57" t="n"/>
      <c r="DS68" s="57" t="n"/>
      <c r="DT68" s="57" t="n"/>
      <c r="DU68" s="57" t="n"/>
      <c r="DV68" s="67">
        <f>SUM(DR68:DU68)</f>
        <v/>
      </c>
      <c r="DW68" s="61" t="n"/>
      <c r="DX68" s="57" t="n"/>
      <c r="DY68" s="66">
        <f>DO68</f>
        <v/>
      </c>
      <c r="DZ68" s="59" t="n"/>
      <c r="EA68" s="57" t="n"/>
      <c r="EB68" s="57" t="n"/>
      <c r="EC68" s="57" t="n"/>
      <c r="ED68" s="57" t="n"/>
      <c r="EE68" s="67">
        <f>SUM(EA68:ED68)</f>
        <v/>
      </c>
      <c r="EF68" s="61" t="n"/>
      <c r="EG68" s="57" t="n"/>
      <c r="EH68" s="66">
        <f>DX68</f>
        <v/>
      </c>
      <c r="EI68" s="59" t="n"/>
      <c r="EJ68" s="57" t="n"/>
      <c r="EK68" s="57" t="n"/>
      <c r="EL68" s="57" t="n"/>
      <c r="EM68" s="57" t="n"/>
      <c r="EN68" s="67">
        <f>SUM(EJ68:EM68)</f>
        <v/>
      </c>
      <c r="EO68" s="61" t="n"/>
      <c r="EP68" s="57" t="n"/>
      <c r="EQ68" s="66">
        <f>EG68</f>
        <v/>
      </c>
      <c r="ER68" s="59" t="n"/>
      <c r="ES68" s="57" t="n"/>
      <c r="ET68" s="57" t="n"/>
      <c r="EU68" s="57" t="n"/>
      <c r="EV68" s="57" t="n"/>
      <c r="EW68" s="67">
        <f>SUM(ES68:EV68)</f>
        <v/>
      </c>
      <c r="EX68" s="61" t="n"/>
      <c r="EY68" s="57" t="n"/>
      <c r="EZ68" s="66">
        <f>EP68</f>
        <v/>
      </c>
      <c r="FA68" s="59" t="n"/>
      <c r="FB68" s="57" t="n"/>
      <c r="FC68" s="57" t="n"/>
      <c r="FD68" s="57" t="n"/>
      <c r="FE68" s="57" t="n"/>
      <c r="FF68" s="67">
        <f>SUM(FB68:FE68)</f>
        <v/>
      </c>
      <c r="FG68" s="61" t="n"/>
      <c r="FH68" s="57" t="n"/>
      <c r="FI68" s="66">
        <f>EY68</f>
        <v/>
      </c>
      <c r="FJ68" s="59" t="n"/>
      <c r="FK68" s="57" t="n"/>
      <c r="FL68" s="57" t="n"/>
      <c r="FM68" s="57" t="n"/>
      <c r="FN68" s="57" t="n"/>
      <c r="FO68" s="67">
        <f>SUM(FK68:FN68)</f>
        <v/>
      </c>
      <c r="FP68" s="61" t="n"/>
      <c r="FQ68" s="57" t="n"/>
      <c r="FR68" s="66">
        <f>FH68</f>
        <v/>
      </c>
      <c r="FS68" s="59" t="n"/>
      <c r="FT68" s="57" t="n"/>
      <c r="FU68" s="57" t="n"/>
      <c r="FV68" s="57" t="n"/>
      <c r="FW68" s="57" t="n"/>
      <c r="FX68" s="67">
        <f>SUM(FT68:FW68)</f>
        <v/>
      </c>
      <c r="FY68" s="61" t="n"/>
      <c r="FZ68" s="57" t="n"/>
      <c r="GA68" s="66">
        <f>FQ68</f>
        <v/>
      </c>
      <c r="GB68" s="59" t="n"/>
      <c r="GC68" s="57" t="n"/>
      <c r="GD68" s="57" t="n"/>
      <c r="GE68" s="57" t="n"/>
      <c r="GF68" s="57" t="n"/>
      <c r="GG68" s="67">
        <f>SUM(GC68:GF68)</f>
        <v/>
      </c>
      <c r="GH68" s="61" t="n"/>
      <c r="GI68" s="57" t="n"/>
      <c r="GJ68" s="66">
        <f>FZ68</f>
        <v/>
      </c>
      <c r="GK68" s="59" t="n"/>
      <c r="GL68" s="57" t="n"/>
      <c r="GM68" s="57" t="n"/>
      <c r="GN68" s="57" t="n"/>
      <c r="GO68" s="57" t="n"/>
      <c r="GP68" s="67">
        <f>SUM(GL68:GO68)</f>
        <v/>
      </c>
      <c r="GQ68" s="61" t="n"/>
      <c r="GR68" s="57" t="n"/>
      <c r="GS68" s="66">
        <f>GI68</f>
        <v/>
      </c>
      <c r="GT68" s="59" t="n"/>
      <c r="GU68" s="57" t="n"/>
      <c r="GV68" s="57" t="n"/>
      <c r="GW68" s="57" t="n"/>
      <c r="GX68" s="57" t="n"/>
      <c r="GY68" s="67">
        <f>SUM(GU68:GX68)</f>
        <v/>
      </c>
      <c r="GZ68" s="61" t="n"/>
      <c r="HA68" s="57" t="n"/>
      <c r="HB68" s="66">
        <f>GR68</f>
        <v/>
      </c>
      <c r="HC68" s="59" t="n"/>
      <c r="HD68" s="57" t="n"/>
      <c r="HE68" s="57" t="n"/>
      <c r="HF68" s="57" t="n"/>
      <c r="HG68" s="57" t="n"/>
      <c r="HH68" s="67">
        <f>SUM(HD68:HG68)</f>
        <v/>
      </c>
      <c r="HI68" s="61" t="n"/>
      <c r="HJ68" s="57" t="n"/>
      <c r="HK68" s="66">
        <f>HA68</f>
        <v/>
      </c>
      <c r="HL68" s="59" t="n"/>
      <c r="HM68" s="57" t="n"/>
      <c r="HN68" s="57" t="n"/>
      <c r="HO68" s="57" t="n"/>
      <c r="HP68" s="57" t="n"/>
      <c r="HQ68" s="67">
        <f>SUM(HM68:HP68)</f>
        <v/>
      </c>
      <c r="HR68" s="61" t="n"/>
      <c r="HS68" s="57" t="n"/>
      <c r="HT68" s="66">
        <f>HJ68</f>
        <v/>
      </c>
      <c r="HU68" s="59" t="n"/>
      <c r="HV68" s="57" t="n"/>
      <c r="HW68" s="57" t="n"/>
      <c r="HX68" s="57" t="n"/>
      <c r="HY68" s="57" t="n"/>
      <c r="HZ68" s="67">
        <f>SUM(HV68:HY68)</f>
        <v/>
      </c>
      <c r="IA68" s="61" t="n"/>
      <c r="IB68" s="57" t="n"/>
      <c r="IC68" s="66">
        <f>HS68</f>
        <v/>
      </c>
      <c r="ID68" s="59" t="n"/>
      <c r="IE68" s="57" t="n"/>
      <c r="IF68" s="57" t="n"/>
      <c r="IG68" s="57" t="n"/>
      <c r="IH68" s="57" t="n"/>
      <c r="II68" s="67">
        <f>SUM(IE68:IH68)</f>
        <v/>
      </c>
      <c r="IJ68" s="61" t="n"/>
      <c r="IK68" s="57" t="n"/>
      <c r="IL68" s="66">
        <f>IB68</f>
        <v/>
      </c>
      <c r="IM68" s="59" t="n"/>
      <c r="IN68" s="57" t="n"/>
      <c r="IO68" s="57" t="n"/>
      <c r="IP68" s="57" t="n"/>
      <c r="IQ68" s="57" t="n"/>
      <c r="IR68" s="67">
        <f>SUM(IN68:IQ68)</f>
        <v/>
      </c>
      <c r="IS68" s="61" t="n"/>
      <c r="IT68" s="57" t="n"/>
      <c r="IU68" s="66">
        <f>IK68</f>
        <v/>
      </c>
      <c r="IV68" s="59" t="n"/>
      <c r="IW68" s="57" t="n"/>
      <c r="IX68" s="57" t="n"/>
      <c r="IY68" s="57" t="n"/>
      <c r="IZ68" s="57" t="n"/>
      <c r="JA68" s="67">
        <f>SUM(IW68:IZ68)</f>
        <v/>
      </c>
      <c r="JB68" s="61" t="n"/>
      <c r="JC68" s="57" t="n"/>
      <c r="JD68" s="66">
        <f>IT68</f>
        <v/>
      </c>
      <c r="JE68" s="59" t="n"/>
      <c r="JF68" s="57" t="n"/>
      <c r="JG68" s="57" t="n"/>
      <c r="JH68" s="57" t="n"/>
      <c r="JI68" s="57" t="n"/>
      <c r="JJ68" s="67">
        <f>SUM(JF68:JI68)</f>
        <v/>
      </c>
      <c r="JK68" s="61" t="n"/>
      <c r="JL68" s="57" t="n"/>
      <c r="JM68" s="66">
        <f>JC68</f>
        <v/>
      </c>
      <c r="JN68" s="59" t="n"/>
      <c r="JO68" s="57" t="n"/>
      <c r="JP68" s="57" t="n"/>
      <c r="JQ68" s="57" t="n"/>
      <c r="JR68" s="57" t="n"/>
      <c r="JS68" s="67">
        <f>SUM(JO68:JR68)</f>
        <v/>
      </c>
      <c r="JT68" s="61" t="n"/>
      <c r="JU68" s="62">
        <f>I68+R68+AA68+AJ68+AS68+BB68+BK68+BT68+CC68+CL68+CU68+DD68+DM68+DV68+EE68+EN68+EW68+FF68+FO68+FX68+GG68+GP68+GY68+HH68+HQ68+HZ68+II68+IR68+JA68+JJ68+JS68</f>
        <v/>
      </c>
      <c r="JV68" s="63">
        <f>D68+M68+V68+AE68+AN68+AW68+BF68+BO68+BX68+CG68+CP68+CY68+DH68+DQ68+DZ68+EI68+ER68+FA68+FJ68+FS68+GB68+GK68+GT68+HC68+HL68+HU68+ID68+IM68+IV68+JE68+JN68</f>
        <v/>
      </c>
      <c r="JW68" s="62">
        <f>CHOOSE($Z$3,B68, K68, T68, AC68, AL68, AU68, BD68, BM68, BV68, CE68, CN68, CW68, DF68, DO68, DX68, EG68, EP68, EY68, FH68, FQ68, FZ68, GI68, GR68, HA68, HJ68, HS68, IB68, IK68, IT68, JC68, JL68)</f>
        <v/>
      </c>
      <c r="JX68" s="62">
        <f>IFERROR(JU68/$Z$3,0)</f>
        <v/>
      </c>
      <c r="JY68" s="62">
        <f>Configurações!$C$8</f>
        <v/>
      </c>
      <c r="JZ68" s="64">
        <f>IF(JY68=0,"— Sem meta",IF(JU68&gt;=JY68,"✓ Atingida","Em andamento"))</f>
        <v/>
      </c>
      <c r="KA68" s="65">
        <f>JU68+(12*0.0000001)</f>
        <v/>
      </c>
    </row>
    <row r="69" ht="20" customHeight="1">
      <c r="A69" s="56">
        <f>IF(Configurações!$B$9="","Assessor 3",Configurações!$B$9)</f>
        <v/>
      </c>
      <c r="B69" s="57" t="n"/>
      <c r="C69" s="58">
        <f>'Novembro'!$JW69</f>
        <v/>
      </c>
      <c r="D69" s="59" t="n"/>
      <c r="E69" s="57" t="n"/>
      <c r="F69" s="57" t="n"/>
      <c r="G69" s="57" t="n"/>
      <c r="H69" s="57" t="n"/>
      <c r="I69" s="60">
        <f>SUM(E69:H69)</f>
        <v/>
      </c>
      <c r="J69" s="61" t="n"/>
      <c r="K69" s="57" t="n"/>
      <c r="L69" s="58">
        <f>B69</f>
        <v/>
      </c>
      <c r="M69" s="59" t="n"/>
      <c r="N69" s="57" t="n"/>
      <c r="O69" s="57" t="n"/>
      <c r="P69" s="57" t="n"/>
      <c r="Q69" s="57" t="n"/>
      <c r="R69" s="60">
        <f>SUM(N69:Q69)</f>
        <v/>
      </c>
      <c r="S69" s="61" t="n"/>
      <c r="T69" s="57" t="n"/>
      <c r="U69" s="58">
        <f>K69</f>
        <v/>
      </c>
      <c r="V69" s="59" t="n"/>
      <c r="W69" s="57" t="n"/>
      <c r="X69" s="57" t="n"/>
      <c r="Y69" s="57" t="n"/>
      <c r="Z69" s="57" t="n"/>
      <c r="AA69" s="60">
        <f>SUM(W69:Z69)</f>
        <v/>
      </c>
      <c r="AB69" s="61" t="n"/>
      <c r="AC69" s="57" t="n"/>
      <c r="AD69" s="58">
        <f>T69</f>
        <v/>
      </c>
      <c r="AE69" s="59" t="n"/>
      <c r="AF69" s="57" t="n"/>
      <c r="AG69" s="57" t="n"/>
      <c r="AH69" s="57" t="n"/>
      <c r="AI69" s="57" t="n"/>
      <c r="AJ69" s="60">
        <f>SUM(AF69:AI69)</f>
        <v/>
      </c>
      <c r="AK69" s="61" t="n"/>
      <c r="AL69" s="57" t="n"/>
      <c r="AM69" s="58">
        <f>AC69</f>
        <v/>
      </c>
      <c r="AN69" s="59" t="n"/>
      <c r="AO69" s="57" t="n"/>
      <c r="AP69" s="57" t="n"/>
      <c r="AQ69" s="57" t="n"/>
      <c r="AR69" s="57" t="n"/>
      <c r="AS69" s="60">
        <f>SUM(AO69:AR69)</f>
        <v/>
      </c>
      <c r="AT69" s="61" t="n"/>
      <c r="AU69" s="57" t="n"/>
      <c r="AV69" s="58">
        <f>AL69</f>
        <v/>
      </c>
      <c r="AW69" s="59" t="n"/>
      <c r="AX69" s="57" t="n"/>
      <c r="AY69" s="57" t="n"/>
      <c r="AZ69" s="57" t="n"/>
      <c r="BA69" s="57" t="n"/>
      <c r="BB69" s="60">
        <f>SUM(AX69:BA69)</f>
        <v/>
      </c>
      <c r="BC69" s="61" t="n"/>
      <c r="BD69" s="57" t="n"/>
      <c r="BE69" s="58">
        <f>AU69</f>
        <v/>
      </c>
      <c r="BF69" s="59" t="n"/>
      <c r="BG69" s="57" t="n"/>
      <c r="BH69" s="57" t="n"/>
      <c r="BI69" s="57" t="n"/>
      <c r="BJ69" s="57" t="n"/>
      <c r="BK69" s="60">
        <f>SUM(BG69:BJ69)</f>
        <v/>
      </c>
      <c r="BL69" s="61" t="n"/>
      <c r="BM69" s="57" t="n"/>
      <c r="BN69" s="58">
        <f>BD69</f>
        <v/>
      </c>
      <c r="BO69" s="59" t="n"/>
      <c r="BP69" s="57" t="n"/>
      <c r="BQ69" s="57" t="n"/>
      <c r="BR69" s="57" t="n"/>
      <c r="BS69" s="57" t="n"/>
      <c r="BT69" s="60">
        <f>SUM(BP69:BS69)</f>
        <v/>
      </c>
      <c r="BU69" s="61" t="n"/>
      <c r="BV69" s="57" t="n"/>
      <c r="BW69" s="58">
        <f>BM69</f>
        <v/>
      </c>
      <c r="BX69" s="59" t="n"/>
      <c r="BY69" s="57" t="n"/>
      <c r="BZ69" s="57" t="n"/>
      <c r="CA69" s="57" t="n"/>
      <c r="CB69" s="57" t="n"/>
      <c r="CC69" s="60">
        <f>SUM(BY69:CB69)</f>
        <v/>
      </c>
      <c r="CD69" s="61" t="n"/>
      <c r="CE69" s="57" t="n"/>
      <c r="CF69" s="58">
        <f>BV69</f>
        <v/>
      </c>
      <c r="CG69" s="59" t="n"/>
      <c r="CH69" s="57" t="n"/>
      <c r="CI69" s="57" t="n"/>
      <c r="CJ69" s="57" t="n"/>
      <c r="CK69" s="57" t="n"/>
      <c r="CL69" s="60">
        <f>SUM(CH69:CK69)</f>
        <v/>
      </c>
      <c r="CM69" s="61" t="n"/>
      <c r="CN69" s="57" t="n"/>
      <c r="CO69" s="58">
        <f>CE69</f>
        <v/>
      </c>
      <c r="CP69" s="59" t="n"/>
      <c r="CQ69" s="57" t="n"/>
      <c r="CR69" s="57" t="n"/>
      <c r="CS69" s="57" t="n"/>
      <c r="CT69" s="57" t="n"/>
      <c r="CU69" s="60">
        <f>SUM(CQ69:CT69)</f>
        <v/>
      </c>
      <c r="CV69" s="61" t="n"/>
      <c r="CW69" s="57" t="n"/>
      <c r="CX69" s="58">
        <f>CN69</f>
        <v/>
      </c>
      <c r="CY69" s="59" t="n"/>
      <c r="CZ69" s="57" t="n"/>
      <c r="DA69" s="57" t="n"/>
      <c r="DB69" s="57" t="n"/>
      <c r="DC69" s="57" t="n"/>
      <c r="DD69" s="60">
        <f>SUM(CZ69:DC69)</f>
        <v/>
      </c>
      <c r="DE69" s="61" t="n"/>
      <c r="DF69" s="57" t="n"/>
      <c r="DG69" s="58">
        <f>CW69</f>
        <v/>
      </c>
      <c r="DH69" s="59" t="n"/>
      <c r="DI69" s="57" t="n"/>
      <c r="DJ69" s="57" t="n"/>
      <c r="DK69" s="57" t="n"/>
      <c r="DL69" s="57" t="n"/>
      <c r="DM69" s="60">
        <f>SUM(DI69:DL69)</f>
        <v/>
      </c>
      <c r="DN69" s="61" t="n"/>
      <c r="DO69" s="57" t="n"/>
      <c r="DP69" s="58">
        <f>DF69</f>
        <v/>
      </c>
      <c r="DQ69" s="59" t="n"/>
      <c r="DR69" s="57" t="n"/>
      <c r="DS69" s="57" t="n"/>
      <c r="DT69" s="57" t="n"/>
      <c r="DU69" s="57" t="n"/>
      <c r="DV69" s="60">
        <f>SUM(DR69:DU69)</f>
        <v/>
      </c>
      <c r="DW69" s="61" t="n"/>
      <c r="DX69" s="57" t="n"/>
      <c r="DY69" s="58">
        <f>DO69</f>
        <v/>
      </c>
      <c r="DZ69" s="59" t="n"/>
      <c r="EA69" s="57" t="n"/>
      <c r="EB69" s="57" t="n"/>
      <c r="EC69" s="57" t="n"/>
      <c r="ED69" s="57" t="n"/>
      <c r="EE69" s="60">
        <f>SUM(EA69:ED69)</f>
        <v/>
      </c>
      <c r="EF69" s="61" t="n"/>
      <c r="EG69" s="57" t="n"/>
      <c r="EH69" s="58">
        <f>DX69</f>
        <v/>
      </c>
      <c r="EI69" s="59" t="n"/>
      <c r="EJ69" s="57" t="n"/>
      <c r="EK69" s="57" t="n"/>
      <c r="EL69" s="57" t="n"/>
      <c r="EM69" s="57" t="n"/>
      <c r="EN69" s="60">
        <f>SUM(EJ69:EM69)</f>
        <v/>
      </c>
      <c r="EO69" s="61" t="n"/>
      <c r="EP69" s="57" t="n"/>
      <c r="EQ69" s="58">
        <f>EG69</f>
        <v/>
      </c>
      <c r="ER69" s="59" t="n"/>
      <c r="ES69" s="57" t="n"/>
      <c r="ET69" s="57" t="n"/>
      <c r="EU69" s="57" t="n"/>
      <c r="EV69" s="57" t="n"/>
      <c r="EW69" s="60">
        <f>SUM(ES69:EV69)</f>
        <v/>
      </c>
      <c r="EX69" s="61" t="n"/>
      <c r="EY69" s="57" t="n"/>
      <c r="EZ69" s="58">
        <f>EP69</f>
        <v/>
      </c>
      <c r="FA69" s="59" t="n"/>
      <c r="FB69" s="57" t="n"/>
      <c r="FC69" s="57" t="n"/>
      <c r="FD69" s="57" t="n"/>
      <c r="FE69" s="57" t="n"/>
      <c r="FF69" s="60">
        <f>SUM(FB69:FE69)</f>
        <v/>
      </c>
      <c r="FG69" s="61" t="n"/>
      <c r="FH69" s="57" t="n"/>
      <c r="FI69" s="58">
        <f>EY69</f>
        <v/>
      </c>
      <c r="FJ69" s="59" t="n"/>
      <c r="FK69" s="57" t="n"/>
      <c r="FL69" s="57" t="n"/>
      <c r="FM69" s="57" t="n"/>
      <c r="FN69" s="57" t="n"/>
      <c r="FO69" s="60">
        <f>SUM(FK69:FN69)</f>
        <v/>
      </c>
      <c r="FP69" s="61" t="n"/>
      <c r="FQ69" s="57" t="n"/>
      <c r="FR69" s="58">
        <f>FH69</f>
        <v/>
      </c>
      <c r="FS69" s="59" t="n"/>
      <c r="FT69" s="57" t="n"/>
      <c r="FU69" s="57" t="n"/>
      <c r="FV69" s="57" t="n"/>
      <c r="FW69" s="57" t="n"/>
      <c r="FX69" s="60">
        <f>SUM(FT69:FW69)</f>
        <v/>
      </c>
      <c r="FY69" s="61" t="n"/>
      <c r="FZ69" s="57" t="n"/>
      <c r="GA69" s="58">
        <f>FQ69</f>
        <v/>
      </c>
      <c r="GB69" s="59" t="n"/>
      <c r="GC69" s="57" t="n"/>
      <c r="GD69" s="57" t="n"/>
      <c r="GE69" s="57" t="n"/>
      <c r="GF69" s="57" t="n"/>
      <c r="GG69" s="60">
        <f>SUM(GC69:GF69)</f>
        <v/>
      </c>
      <c r="GH69" s="61" t="n"/>
      <c r="GI69" s="57" t="n"/>
      <c r="GJ69" s="58">
        <f>FZ69</f>
        <v/>
      </c>
      <c r="GK69" s="59" t="n"/>
      <c r="GL69" s="57" t="n"/>
      <c r="GM69" s="57" t="n"/>
      <c r="GN69" s="57" t="n"/>
      <c r="GO69" s="57" t="n"/>
      <c r="GP69" s="60">
        <f>SUM(GL69:GO69)</f>
        <v/>
      </c>
      <c r="GQ69" s="61" t="n"/>
      <c r="GR69" s="57" t="n"/>
      <c r="GS69" s="58">
        <f>GI69</f>
        <v/>
      </c>
      <c r="GT69" s="59" t="n"/>
      <c r="GU69" s="57" t="n"/>
      <c r="GV69" s="57" t="n"/>
      <c r="GW69" s="57" t="n"/>
      <c r="GX69" s="57" t="n"/>
      <c r="GY69" s="60">
        <f>SUM(GU69:GX69)</f>
        <v/>
      </c>
      <c r="GZ69" s="61" t="n"/>
      <c r="HA69" s="57" t="n"/>
      <c r="HB69" s="58">
        <f>GR69</f>
        <v/>
      </c>
      <c r="HC69" s="59" t="n"/>
      <c r="HD69" s="57" t="n"/>
      <c r="HE69" s="57" t="n"/>
      <c r="HF69" s="57" t="n"/>
      <c r="HG69" s="57" t="n"/>
      <c r="HH69" s="60">
        <f>SUM(HD69:HG69)</f>
        <v/>
      </c>
      <c r="HI69" s="61" t="n"/>
      <c r="HJ69" s="57" t="n"/>
      <c r="HK69" s="58">
        <f>HA69</f>
        <v/>
      </c>
      <c r="HL69" s="59" t="n"/>
      <c r="HM69" s="57" t="n"/>
      <c r="HN69" s="57" t="n"/>
      <c r="HO69" s="57" t="n"/>
      <c r="HP69" s="57" t="n"/>
      <c r="HQ69" s="60">
        <f>SUM(HM69:HP69)</f>
        <v/>
      </c>
      <c r="HR69" s="61" t="n"/>
      <c r="HS69" s="57" t="n"/>
      <c r="HT69" s="58">
        <f>HJ69</f>
        <v/>
      </c>
      <c r="HU69" s="59" t="n"/>
      <c r="HV69" s="57" t="n"/>
      <c r="HW69" s="57" t="n"/>
      <c r="HX69" s="57" t="n"/>
      <c r="HY69" s="57" t="n"/>
      <c r="HZ69" s="60">
        <f>SUM(HV69:HY69)</f>
        <v/>
      </c>
      <c r="IA69" s="61" t="n"/>
      <c r="IB69" s="57" t="n"/>
      <c r="IC69" s="58">
        <f>HS69</f>
        <v/>
      </c>
      <c r="ID69" s="59" t="n"/>
      <c r="IE69" s="57" t="n"/>
      <c r="IF69" s="57" t="n"/>
      <c r="IG69" s="57" t="n"/>
      <c r="IH69" s="57" t="n"/>
      <c r="II69" s="60">
        <f>SUM(IE69:IH69)</f>
        <v/>
      </c>
      <c r="IJ69" s="61" t="n"/>
      <c r="IK69" s="57" t="n"/>
      <c r="IL69" s="58">
        <f>IB69</f>
        <v/>
      </c>
      <c r="IM69" s="59" t="n"/>
      <c r="IN69" s="57" t="n"/>
      <c r="IO69" s="57" t="n"/>
      <c r="IP69" s="57" t="n"/>
      <c r="IQ69" s="57" t="n"/>
      <c r="IR69" s="60">
        <f>SUM(IN69:IQ69)</f>
        <v/>
      </c>
      <c r="IS69" s="61" t="n"/>
      <c r="IT69" s="57" t="n"/>
      <c r="IU69" s="58">
        <f>IK69</f>
        <v/>
      </c>
      <c r="IV69" s="59" t="n"/>
      <c r="IW69" s="57" t="n"/>
      <c r="IX69" s="57" t="n"/>
      <c r="IY69" s="57" t="n"/>
      <c r="IZ69" s="57" t="n"/>
      <c r="JA69" s="60">
        <f>SUM(IW69:IZ69)</f>
        <v/>
      </c>
      <c r="JB69" s="61" t="n"/>
      <c r="JC69" s="57" t="n"/>
      <c r="JD69" s="58">
        <f>IT69</f>
        <v/>
      </c>
      <c r="JE69" s="59" t="n"/>
      <c r="JF69" s="57" t="n"/>
      <c r="JG69" s="57" t="n"/>
      <c r="JH69" s="57" t="n"/>
      <c r="JI69" s="57" t="n"/>
      <c r="JJ69" s="60">
        <f>SUM(JF69:JI69)</f>
        <v/>
      </c>
      <c r="JK69" s="61" t="n"/>
      <c r="JL69" s="57" t="n"/>
      <c r="JM69" s="58">
        <f>JC69</f>
        <v/>
      </c>
      <c r="JN69" s="59" t="n"/>
      <c r="JO69" s="57" t="n"/>
      <c r="JP69" s="57" t="n"/>
      <c r="JQ69" s="57" t="n"/>
      <c r="JR69" s="57" t="n"/>
      <c r="JS69" s="60">
        <f>SUM(JO69:JR69)</f>
        <v/>
      </c>
      <c r="JT69" s="61" t="n"/>
      <c r="JU69" s="62">
        <f>I69+R69+AA69+AJ69+AS69+BB69+BK69+BT69+CC69+CL69+CU69+DD69+DM69+DV69+EE69+EN69+EW69+FF69+FO69+FX69+GG69+GP69+GY69+HH69+HQ69+HZ69+II69+IR69+JA69+JJ69+JS69</f>
        <v/>
      </c>
      <c r="JV69" s="63">
        <f>D69+M69+V69+AE69+AN69+AW69+BF69+BO69+BX69+CG69+CP69+CY69+DH69+DQ69+DZ69+EI69+ER69+FA69+FJ69+FS69+GB69+GK69+GT69+HC69+HL69+HU69+ID69+IM69+IV69+JE69+JN69</f>
        <v/>
      </c>
      <c r="JW69" s="62">
        <f>CHOOSE($Z$3,B69, K69, T69, AC69, AL69, AU69, BD69, BM69, BV69, CE69, CN69, CW69, DF69, DO69, DX69, EG69, EP69, EY69, FH69, FQ69, FZ69, GI69, GR69, HA69, HJ69, HS69, IB69, IK69, IT69, JC69, JL69)</f>
        <v/>
      </c>
      <c r="JX69" s="62">
        <f>IFERROR(JU69/$Z$3,0)</f>
        <v/>
      </c>
      <c r="JY69" s="62">
        <f>Configurações!$C$9</f>
        <v/>
      </c>
      <c r="JZ69" s="64">
        <f>IF(JY69=0,"— Sem meta",IF(JU69&gt;=JY69,"✓ Atingida","Em andamento"))</f>
        <v/>
      </c>
      <c r="KA69" s="65">
        <f>JU69+(11*0.0000001)</f>
        <v/>
      </c>
    </row>
    <row r="70" ht="20" customHeight="1">
      <c r="A70" s="56">
        <f>IF(Configurações!$B$10="","Assessor 4",Configurações!$B$10)</f>
        <v/>
      </c>
      <c r="B70" s="57" t="n"/>
      <c r="C70" s="66">
        <f>'Novembro'!$JW70</f>
        <v/>
      </c>
      <c r="D70" s="59" t="n"/>
      <c r="E70" s="57" t="n"/>
      <c r="F70" s="57" t="n"/>
      <c r="G70" s="57" t="n"/>
      <c r="H70" s="57" t="n"/>
      <c r="I70" s="67">
        <f>SUM(E70:H70)</f>
        <v/>
      </c>
      <c r="J70" s="61" t="n"/>
      <c r="K70" s="57" t="n"/>
      <c r="L70" s="66">
        <f>B70</f>
        <v/>
      </c>
      <c r="M70" s="59" t="n"/>
      <c r="N70" s="57" t="n"/>
      <c r="O70" s="57" t="n"/>
      <c r="P70" s="57" t="n"/>
      <c r="Q70" s="57" t="n"/>
      <c r="R70" s="67">
        <f>SUM(N70:Q70)</f>
        <v/>
      </c>
      <c r="S70" s="61" t="n"/>
      <c r="T70" s="57" t="n"/>
      <c r="U70" s="66">
        <f>K70</f>
        <v/>
      </c>
      <c r="V70" s="59" t="n"/>
      <c r="W70" s="57" t="n"/>
      <c r="X70" s="57" t="n"/>
      <c r="Y70" s="57" t="n"/>
      <c r="Z70" s="57" t="n"/>
      <c r="AA70" s="67">
        <f>SUM(W70:Z70)</f>
        <v/>
      </c>
      <c r="AB70" s="61" t="n"/>
      <c r="AC70" s="57" t="n"/>
      <c r="AD70" s="66">
        <f>T70</f>
        <v/>
      </c>
      <c r="AE70" s="59" t="n"/>
      <c r="AF70" s="57" t="n"/>
      <c r="AG70" s="57" t="n"/>
      <c r="AH70" s="57" t="n"/>
      <c r="AI70" s="57" t="n"/>
      <c r="AJ70" s="67">
        <f>SUM(AF70:AI70)</f>
        <v/>
      </c>
      <c r="AK70" s="61" t="n"/>
      <c r="AL70" s="57" t="n"/>
      <c r="AM70" s="66">
        <f>AC70</f>
        <v/>
      </c>
      <c r="AN70" s="59" t="n"/>
      <c r="AO70" s="57" t="n"/>
      <c r="AP70" s="57" t="n"/>
      <c r="AQ70" s="57" t="n"/>
      <c r="AR70" s="57" t="n"/>
      <c r="AS70" s="67">
        <f>SUM(AO70:AR70)</f>
        <v/>
      </c>
      <c r="AT70" s="61" t="n"/>
      <c r="AU70" s="57" t="n"/>
      <c r="AV70" s="66">
        <f>AL70</f>
        <v/>
      </c>
      <c r="AW70" s="59" t="n"/>
      <c r="AX70" s="57" t="n"/>
      <c r="AY70" s="57" t="n"/>
      <c r="AZ70" s="57" t="n"/>
      <c r="BA70" s="57" t="n"/>
      <c r="BB70" s="67">
        <f>SUM(AX70:BA70)</f>
        <v/>
      </c>
      <c r="BC70" s="61" t="n"/>
      <c r="BD70" s="57" t="n"/>
      <c r="BE70" s="66">
        <f>AU70</f>
        <v/>
      </c>
      <c r="BF70" s="59" t="n"/>
      <c r="BG70" s="57" t="n"/>
      <c r="BH70" s="57" t="n"/>
      <c r="BI70" s="57" t="n"/>
      <c r="BJ70" s="57" t="n"/>
      <c r="BK70" s="67">
        <f>SUM(BG70:BJ70)</f>
        <v/>
      </c>
      <c r="BL70" s="61" t="n"/>
      <c r="BM70" s="57" t="n"/>
      <c r="BN70" s="66">
        <f>BD70</f>
        <v/>
      </c>
      <c r="BO70" s="59" t="n"/>
      <c r="BP70" s="57" t="n"/>
      <c r="BQ70" s="57" t="n"/>
      <c r="BR70" s="57" t="n"/>
      <c r="BS70" s="57" t="n"/>
      <c r="BT70" s="67">
        <f>SUM(BP70:BS70)</f>
        <v/>
      </c>
      <c r="BU70" s="61" t="n"/>
      <c r="BV70" s="57" t="n"/>
      <c r="BW70" s="66">
        <f>BM70</f>
        <v/>
      </c>
      <c r="BX70" s="59" t="n"/>
      <c r="BY70" s="57" t="n"/>
      <c r="BZ70" s="57" t="n"/>
      <c r="CA70" s="57" t="n"/>
      <c r="CB70" s="57" t="n"/>
      <c r="CC70" s="67">
        <f>SUM(BY70:CB70)</f>
        <v/>
      </c>
      <c r="CD70" s="61" t="n"/>
      <c r="CE70" s="57" t="n"/>
      <c r="CF70" s="66">
        <f>BV70</f>
        <v/>
      </c>
      <c r="CG70" s="59" t="n"/>
      <c r="CH70" s="57" t="n"/>
      <c r="CI70" s="57" t="n"/>
      <c r="CJ70" s="57" t="n"/>
      <c r="CK70" s="57" t="n"/>
      <c r="CL70" s="67">
        <f>SUM(CH70:CK70)</f>
        <v/>
      </c>
      <c r="CM70" s="61" t="n"/>
      <c r="CN70" s="57" t="n"/>
      <c r="CO70" s="66">
        <f>CE70</f>
        <v/>
      </c>
      <c r="CP70" s="59" t="n"/>
      <c r="CQ70" s="57" t="n"/>
      <c r="CR70" s="57" t="n"/>
      <c r="CS70" s="57" t="n"/>
      <c r="CT70" s="57" t="n"/>
      <c r="CU70" s="67">
        <f>SUM(CQ70:CT70)</f>
        <v/>
      </c>
      <c r="CV70" s="61" t="n"/>
      <c r="CW70" s="57" t="n"/>
      <c r="CX70" s="66">
        <f>CN70</f>
        <v/>
      </c>
      <c r="CY70" s="59" t="n"/>
      <c r="CZ70" s="57" t="n"/>
      <c r="DA70" s="57" t="n"/>
      <c r="DB70" s="57" t="n"/>
      <c r="DC70" s="57" t="n"/>
      <c r="DD70" s="67">
        <f>SUM(CZ70:DC70)</f>
        <v/>
      </c>
      <c r="DE70" s="61" t="n"/>
      <c r="DF70" s="57" t="n"/>
      <c r="DG70" s="66">
        <f>CW70</f>
        <v/>
      </c>
      <c r="DH70" s="59" t="n"/>
      <c r="DI70" s="57" t="n"/>
      <c r="DJ70" s="57" t="n"/>
      <c r="DK70" s="57" t="n"/>
      <c r="DL70" s="57" t="n"/>
      <c r="DM70" s="67">
        <f>SUM(DI70:DL70)</f>
        <v/>
      </c>
      <c r="DN70" s="61" t="n"/>
      <c r="DO70" s="57" t="n"/>
      <c r="DP70" s="66">
        <f>DF70</f>
        <v/>
      </c>
      <c r="DQ70" s="59" t="n"/>
      <c r="DR70" s="57" t="n"/>
      <c r="DS70" s="57" t="n"/>
      <c r="DT70" s="57" t="n"/>
      <c r="DU70" s="57" t="n"/>
      <c r="DV70" s="67">
        <f>SUM(DR70:DU70)</f>
        <v/>
      </c>
      <c r="DW70" s="61" t="n"/>
      <c r="DX70" s="57" t="n"/>
      <c r="DY70" s="66">
        <f>DO70</f>
        <v/>
      </c>
      <c r="DZ70" s="59" t="n"/>
      <c r="EA70" s="57" t="n"/>
      <c r="EB70" s="57" t="n"/>
      <c r="EC70" s="57" t="n"/>
      <c r="ED70" s="57" t="n"/>
      <c r="EE70" s="67">
        <f>SUM(EA70:ED70)</f>
        <v/>
      </c>
      <c r="EF70" s="61" t="n"/>
      <c r="EG70" s="57" t="n"/>
      <c r="EH70" s="66">
        <f>DX70</f>
        <v/>
      </c>
      <c r="EI70" s="59" t="n"/>
      <c r="EJ70" s="57" t="n"/>
      <c r="EK70" s="57" t="n"/>
      <c r="EL70" s="57" t="n"/>
      <c r="EM70" s="57" t="n"/>
      <c r="EN70" s="67">
        <f>SUM(EJ70:EM70)</f>
        <v/>
      </c>
      <c r="EO70" s="61" t="n"/>
      <c r="EP70" s="57" t="n"/>
      <c r="EQ70" s="66">
        <f>EG70</f>
        <v/>
      </c>
      <c r="ER70" s="59" t="n"/>
      <c r="ES70" s="57" t="n"/>
      <c r="ET70" s="57" t="n"/>
      <c r="EU70" s="57" t="n"/>
      <c r="EV70" s="57" t="n"/>
      <c r="EW70" s="67">
        <f>SUM(ES70:EV70)</f>
        <v/>
      </c>
      <c r="EX70" s="61" t="n"/>
      <c r="EY70" s="57" t="n"/>
      <c r="EZ70" s="66">
        <f>EP70</f>
        <v/>
      </c>
      <c r="FA70" s="59" t="n"/>
      <c r="FB70" s="57" t="n"/>
      <c r="FC70" s="57" t="n"/>
      <c r="FD70" s="57" t="n"/>
      <c r="FE70" s="57" t="n"/>
      <c r="FF70" s="67">
        <f>SUM(FB70:FE70)</f>
        <v/>
      </c>
      <c r="FG70" s="61" t="n"/>
      <c r="FH70" s="57" t="n"/>
      <c r="FI70" s="66">
        <f>EY70</f>
        <v/>
      </c>
      <c r="FJ70" s="59" t="n"/>
      <c r="FK70" s="57" t="n"/>
      <c r="FL70" s="57" t="n"/>
      <c r="FM70" s="57" t="n"/>
      <c r="FN70" s="57" t="n"/>
      <c r="FO70" s="67">
        <f>SUM(FK70:FN70)</f>
        <v/>
      </c>
      <c r="FP70" s="61" t="n"/>
      <c r="FQ70" s="57" t="n"/>
      <c r="FR70" s="66">
        <f>FH70</f>
        <v/>
      </c>
      <c r="FS70" s="59" t="n"/>
      <c r="FT70" s="57" t="n"/>
      <c r="FU70" s="57" t="n"/>
      <c r="FV70" s="57" t="n"/>
      <c r="FW70" s="57" t="n"/>
      <c r="FX70" s="67">
        <f>SUM(FT70:FW70)</f>
        <v/>
      </c>
      <c r="FY70" s="61" t="n"/>
      <c r="FZ70" s="57" t="n"/>
      <c r="GA70" s="66">
        <f>FQ70</f>
        <v/>
      </c>
      <c r="GB70" s="59" t="n"/>
      <c r="GC70" s="57" t="n"/>
      <c r="GD70" s="57" t="n"/>
      <c r="GE70" s="57" t="n"/>
      <c r="GF70" s="57" t="n"/>
      <c r="GG70" s="67">
        <f>SUM(GC70:GF70)</f>
        <v/>
      </c>
      <c r="GH70" s="61" t="n"/>
      <c r="GI70" s="57" t="n"/>
      <c r="GJ70" s="66">
        <f>FZ70</f>
        <v/>
      </c>
      <c r="GK70" s="59" t="n"/>
      <c r="GL70" s="57" t="n"/>
      <c r="GM70" s="57" t="n"/>
      <c r="GN70" s="57" t="n"/>
      <c r="GO70" s="57" t="n"/>
      <c r="GP70" s="67">
        <f>SUM(GL70:GO70)</f>
        <v/>
      </c>
      <c r="GQ70" s="61" t="n"/>
      <c r="GR70" s="57" t="n"/>
      <c r="GS70" s="66">
        <f>GI70</f>
        <v/>
      </c>
      <c r="GT70" s="59" t="n"/>
      <c r="GU70" s="57" t="n"/>
      <c r="GV70" s="57" t="n"/>
      <c r="GW70" s="57" t="n"/>
      <c r="GX70" s="57" t="n"/>
      <c r="GY70" s="67">
        <f>SUM(GU70:GX70)</f>
        <v/>
      </c>
      <c r="GZ70" s="61" t="n"/>
      <c r="HA70" s="57" t="n"/>
      <c r="HB70" s="66">
        <f>GR70</f>
        <v/>
      </c>
      <c r="HC70" s="59" t="n"/>
      <c r="HD70" s="57" t="n"/>
      <c r="HE70" s="57" t="n"/>
      <c r="HF70" s="57" t="n"/>
      <c r="HG70" s="57" t="n"/>
      <c r="HH70" s="67">
        <f>SUM(HD70:HG70)</f>
        <v/>
      </c>
      <c r="HI70" s="61" t="n"/>
      <c r="HJ70" s="57" t="n"/>
      <c r="HK70" s="66">
        <f>HA70</f>
        <v/>
      </c>
      <c r="HL70" s="59" t="n"/>
      <c r="HM70" s="57" t="n"/>
      <c r="HN70" s="57" t="n"/>
      <c r="HO70" s="57" t="n"/>
      <c r="HP70" s="57" t="n"/>
      <c r="HQ70" s="67">
        <f>SUM(HM70:HP70)</f>
        <v/>
      </c>
      <c r="HR70" s="61" t="n"/>
      <c r="HS70" s="57" t="n"/>
      <c r="HT70" s="66">
        <f>HJ70</f>
        <v/>
      </c>
      <c r="HU70" s="59" t="n"/>
      <c r="HV70" s="57" t="n"/>
      <c r="HW70" s="57" t="n"/>
      <c r="HX70" s="57" t="n"/>
      <c r="HY70" s="57" t="n"/>
      <c r="HZ70" s="67">
        <f>SUM(HV70:HY70)</f>
        <v/>
      </c>
      <c r="IA70" s="61" t="n"/>
      <c r="IB70" s="57" t="n"/>
      <c r="IC70" s="66">
        <f>HS70</f>
        <v/>
      </c>
      <c r="ID70" s="59" t="n"/>
      <c r="IE70" s="57" t="n"/>
      <c r="IF70" s="57" t="n"/>
      <c r="IG70" s="57" t="n"/>
      <c r="IH70" s="57" t="n"/>
      <c r="II70" s="67">
        <f>SUM(IE70:IH70)</f>
        <v/>
      </c>
      <c r="IJ70" s="61" t="n"/>
      <c r="IK70" s="57" t="n"/>
      <c r="IL70" s="66">
        <f>IB70</f>
        <v/>
      </c>
      <c r="IM70" s="59" t="n"/>
      <c r="IN70" s="57" t="n"/>
      <c r="IO70" s="57" t="n"/>
      <c r="IP70" s="57" t="n"/>
      <c r="IQ70" s="57" t="n"/>
      <c r="IR70" s="67">
        <f>SUM(IN70:IQ70)</f>
        <v/>
      </c>
      <c r="IS70" s="61" t="n"/>
      <c r="IT70" s="57" t="n"/>
      <c r="IU70" s="66">
        <f>IK70</f>
        <v/>
      </c>
      <c r="IV70" s="59" t="n"/>
      <c r="IW70" s="57" t="n"/>
      <c r="IX70" s="57" t="n"/>
      <c r="IY70" s="57" t="n"/>
      <c r="IZ70" s="57" t="n"/>
      <c r="JA70" s="67">
        <f>SUM(IW70:IZ70)</f>
        <v/>
      </c>
      <c r="JB70" s="61" t="n"/>
      <c r="JC70" s="57" t="n"/>
      <c r="JD70" s="66">
        <f>IT70</f>
        <v/>
      </c>
      <c r="JE70" s="59" t="n"/>
      <c r="JF70" s="57" t="n"/>
      <c r="JG70" s="57" t="n"/>
      <c r="JH70" s="57" t="n"/>
      <c r="JI70" s="57" t="n"/>
      <c r="JJ70" s="67">
        <f>SUM(JF70:JI70)</f>
        <v/>
      </c>
      <c r="JK70" s="61" t="n"/>
      <c r="JL70" s="57" t="n"/>
      <c r="JM70" s="66">
        <f>JC70</f>
        <v/>
      </c>
      <c r="JN70" s="59" t="n"/>
      <c r="JO70" s="57" t="n"/>
      <c r="JP70" s="57" t="n"/>
      <c r="JQ70" s="57" t="n"/>
      <c r="JR70" s="57" t="n"/>
      <c r="JS70" s="67">
        <f>SUM(JO70:JR70)</f>
        <v/>
      </c>
      <c r="JT70" s="61" t="n"/>
      <c r="JU70" s="62">
        <f>I70+R70+AA70+AJ70+AS70+BB70+BK70+BT70+CC70+CL70+CU70+DD70+DM70+DV70+EE70+EN70+EW70+FF70+FO70+FX70+GG70+GP70+GY70+HH70+HQ70+HZ70+II70+IR70+JA70+JJ70+JS70</f>
        <v/>
      </c>
      <c r="JV70" s="63">
        <f>D70+M70+V70+AE70+AN70+AW70+BF70+BO70+BX70+CG70+CP70+CY70+DH70+DQ70+DZ70+EI70+ER70+FA70+FJ70+FS70+GB70+GK70+GT70+HC70+HL70+HU70+ID70+IM70+IV70+JE70+JN70</f>
        <v/>
      </c>
      <c r="JW70" s="62">
        <f>CHOOSE($Z$3,B70, K70, T70, AC70, AL70, AU70, BD70, BM70, BV70, CE70, CN70, CW70, DF70, DO70, DX70, EG70, EP70, EY70, FH70, FQ70, FZ70, GI70, GR70, HA70, HJ70, HS70, IB70, IK70, IT70, JC70, JL70)</f>
        <v/>
      </c>
      <c r="JX70" s="62">
        <f>IFERROR(JU70/$Z$3,0)</f>
        <v/>
      </c>
      <c r="JY70" s="62">
        <f>Configurações!$C$10</f>
        <v/>
      </c>
      <c r="JZ70" s="64">
        <f>IF(JY70=0,"— Sem meta",IF(JU70&gt;=JY70,"✓ Atingida","Em andamento"))</f>
        <v/>
      </c>
      <c r="KA70" s="65">
        <f>JU70+(10*0.0000001)</f>
        <v/>
      </c>
    </row>
    <row r="71" ht="20" customHeight="1">
      <c r="A71" s="56">
        <f>IF(Configurações!$B$11="","Assessor 5",Configurações!$B$11)</f>
        <v/>
      </c>
      <c r="B71" s="57" t="n"/>
      <c r="C71" s="58">
        <f>'Novembro'!$JW71</f>
        <v/>
      </c>
      <c r="D71" s="59" t="n"/>
      <c r="E71" s="57" t="n"/>
      <c r="F71" s="57" t="n"/>
      <c r="G71" s="57" t="n"/>
      <c r="H71" s="57" t="n"/>
      <c r="I71" s="60">
        <f>SUM(E71:H71)</f>
        <v/>
      </c>
      <c r="J71" s="61" t="n"/>
      <c r="K71" s="57" t="n"/>
      <c r="L71" s="58">
        <f>B71</f>
        <v/>
      </c>
      <c r="M71" s="59" t="n"/>
      <c r="N71" s="57" t="n"/>
      <c r="O71" s="57" t="n"/>
      <c r="P71" s="57" t="n"/>
      <c r="Q71" s="57" t="n"/>
      <c r="R71" s="60">
        <f>SUM(N71:Q71)</f>
        <v/>
      </c>
      <c r="S71" s="61" t="n"/>
      <c r="T71" s="57" t="n"/>
      <c r="U71" s="58">
        <f>K71</f>
        <v/>
      </c>
      <c r="V71" s="59" t="n"/>
      <c r="W71" s="57" t="n"/>
      <c r="X71" s="57" t="n"/>
      <c r="Y71" s="57" t="n"/>
      <c r="Z71" s="57" t="n"/>
      <c r="AA71" s="60">
        <f>SUM(W71:Z71)</f>
        <v/>
      </c>
      <c r="AB71" s="61" t="n"/>
      <c r="AC71" s="57" t="n"/>
      <c r="AD71" s="58">
        <f>T71</f>
        <v/>
      </c>
      <c r="AE71" s="59" t="n"/>
      <c r="AF71" s="57" t="n"/>
      <c r="AG71" s="57" t="n"/>
      <c r="AH71" s="57" t="n"/>
      <c r="AI71" s="57" t="n"/>
      <c r="AJ71" s="60">
        <f>SUM(AF71:AI71)</f>
        <v/>
      </c>
      <c r="AK71" s="61" t="n"/>
      <c r="AL71" s="57" t="n"/>
      <c r="AM71" s="58">
        <f>AC71</f>
        <v/>
      </c>
      <c r="AN71" s="59" t="n"/>
      <c r="AO71" s="57" t="n"/>
      <c r="AP71" s="57" t="n"/>
      <c r="AQ71" s="57" t="n"/>
      <c r="AR71" s="57" t="n"/>
      <c r="AS71" s="60">
        <f>SUM(AO71:AR71)</f>
        <v/>
      </c>
      <c r="AT71" s="61" t="n"/>
      <c r="AU71" s="57" t="n"/>
      <c r="AV71" s="58">
        <f>AL71</f>
        <v/>
      </c>
      <c r="AW71" s="59" t="n"/>
      <c r="AX71" s="57" t="n"/>
      <c r="AY71" s="57" t="n"/>
      <c r="AZ71" s="57" t="n"/>
      <c r="BA71" s="57" t="n"/>
      <c r="BB71" s="60">
        <f>SUM(AX71:BA71)</f>
        <v/>
      </c>
      <c r="BC71" s="61" t="n"/>
      <c r="BD71" s="57" t="n"/>
      <c r="BE71" s="58">
        <f>AU71</f>
        <v/>
      </c>
      <c r="BF71" s="59" t="n"/>
      <c r="BG71" s="57" t="n"/>
      <c r="BH71" s="57" t="n"/>
      <c r="BI71" s="57" t="n"/>
      <c r="BJ71" s="57" t="n"/>
      <c r="BK71" s="60">
        <f>SUM(BG71:BJ71)</f>
        <v/>
      </c>
      <c r="BL71" s="61" t="n"/>
      <c r="BM71" s="57" t="n"/>
      <c r="BN71" s="58">
        <f>BD71</f>
        <v/>
      </c>
      <c r="BO71" s="59" t="n"/>
      <c r="BP71" s="57" t="n"/>
      <c r="BQ71" s="57" t="n"/>
      <c r="BR71" s="57" t="n"/>
      <c r="BS71" s="57" t="n"/>
      <c r="BT71" s="60">
        <f>SUM(BP71:BS71)</f>
        <v/>
      </c>
      <c r="BU71" s="61" t="n"/>
      <c r="BV71" s="57" t="n"/>
      <c r="BW71" s="58">
        <f>BM71</f>
        <v/>
      </c>
      <c r="BX71" s="59" t="n"/>
      <c r="BY71" s="57" t="n"/>
      <c r="BZ71" s="57" t="n"/>
      <c r="CA71" s="57" t="n"/>
      <c r="CB71" s="57" t="n"/>
      <c r="CC71" s="60">
        <f>SUM(BY71:CB71)</f>
        <v/>
      </c>
      <c r="CD71" s="61" t="n"/>
      <c r="CE71" s="57" t="n"/>
      <c r="CF71" s="58">
        <f>BV71</f>
        <v/>
      </c>
      <c r="CG71" s="59" t="n"/>
      <c r="CH71" s="57" t="n"/>
      <c r="CI71" s="57" t="n"/>
      <c r="CJ71" s="57" t="n"/>
      <c r="CK71" s="57" t="n"/>
      <c r="CL71" s="60">
        <f>SUM(CH71:CK71)</f>
        <v/>
      </c>
      <c r="CM71" s="61" t="n"/>
      <c r="CN71" s="57" t="n"/>
      <c r="CO71" s="58">
        <f>CE71</f>
        <v/>
      </c>
      <c r="CP71" s="59" t="n"/>
      <c r="CQ71" s="57" t="n"/>
      <c r="CR71" s="57" t="n"/>
      <c r="CS71" s="57" t="n"/>
      <c r="CT71" s="57" t="n"/>
      <c r="CU71" s="60">
        <f>SUM(CQ71:CT71)</f>
        <v/>
      </c>
      <c r="CV71" s="61" t="n"/>
      <c r="CW71" s="57" t="n"/>
      <c r="CX71" s="58">
        <f>CN71</f>
        <v/>
      </c>
      <c r="CY71" s="59" t="n"/>
      <c r="CZ71" s="57" t="n"/>
      <c r="DA71" s="57" t="n"/>
      <c r="DB71" s="57" t="n"/>
      <c r="DC71" s="57" t="n"/>
      <c r="DD71" s="60">
        <f>SUM(CZ71:DC71)</f>
        <v/>
      </c>
      <c r="DE71" s="61" t="n"/>
      <c r="DF71" s="57" t="n"/>
      <c r="DG71" s="58">
        <f>CW71</f>
        <v/>
      </c>
      <c r="DH71" s="59" t="n"/>
      <c r="DI71" s="57" t="n"/>
      <c r="DJ71" s="57" t="n"/>
      <c r="DK71" s="57" t="n"/>
      <c r="DL71" s="57" t="n"/>
      <c r="DM71" s="60">
        <f>SUM(DI71:DL71)</f>
        <v/>
      </c>
      <c r="DN71" s="61" t="n"/>
      <c r="DO71" s="57" t="n"/>
      <c r="DP71" s="58">
        <f>DF71</f>
        <v/>
      </c>
      <c r="DQ71" s="59" t="n"/>
      <c r="DR71" s="57" t="n"/>
      <c r="DS71" s="57" t="n"/>
      <c r="DT71" s="57" t="n"/>
      <c r="DU71" s="57" t="n"/>
      <c r="DV71" s="60">
        <f>SUM(DR71:DU71)</f>
        <v/>
      </c>
      <c r="DW71" s="61" t="n"/>
      <c r="DX71" s="57" t="n"/>
      <c r="DY71" s="58">
        <f>DO71</f>
        <v/>
      </c>
      <c r="DZ71" s="59" t="n"/>
      <c r="EA71" s="57" t="n"/>
      <c r="EB71" s="57" t="n"/>
      <c r="EC71" s="57" t="n"/>
      <c r="ED71" s="57" t="n"/>
      <c r="EE71" s="60">
        <f>SUM(EA71:ED71)</f>
        <v/>
      </c>
      <c r="EF71" s="61" t="n"/>
      <c r="EG71" s="57" t="n"/>
      <c r="EH71" s="58">
        <f>DX71</f>
        <v/>
      </c>
      <c r="EI71" s="59" t="n"/>
      <c r="EJ71" s="57" t="n"/>
      <c r="EK71" s="57" t="n"/>
      <c r="EL71" s="57" t="n"/>
      <c r="EM71" s="57" t="n"/>
      <c r="EN71" s="60">
        <f>SUM(EJ71:EM71)</f>
        <v/>
      </c>
      <c r="EO71" s="61" t="n"/>
      <c r="EP71" s="57" t="n"/>
      <c r="EQ71" s="58">
        <f>EG71</f>
        <v/>
      </c>
      <c r="ER71" s="59" t="n"/>
      <c r="ES71" s="57" t="n"/>
      <c r="ET71" s="57" t="n"/>
      <c r="EU71" s="57" t="n"/>
      <c r="EV71" s="57" t="n"/>
      <c r="EW71" s="60">
        <f>SUM(ES71:EV71)</f>
        <v/>
      </c>
      <c r="EX71" s="61" t="n"/>
      <c r="EY71" s="57" t="n"/>
      <c r="EZ71" s="58">
        <f>EP71</f>
        <v/>
      </c>
      <c r="FA71" s="59" t="n"/>
      <c r="FB71" s="57" t="n"/>
      <c r="FC71" s="57" t="n"/>
      <c r="FD71" s="57" t="n"/>
      <c r="FE71" s="57" t="n"/>
      <c r="FF71" s="60">
        <f>SUM(FB71:FE71)</f>
        <v/>
      </c>
      <c r="FG71" s="61" t="n"/>
      <c r="FH71" s="57" t="n"/>
      <c r="FI71" s="58">
        <f>EY71</f>
        <v/>
      </c>
      <c r="FJ71" s="59" t="n"/>
      <c r="FK71" s="57" t="n"/>
      <c r="FL71" s="57" t="n"/>
      <c r="FM71" s="57" t="n"/>
      <c r="FN71" s="57" t="n"/>
      <c r="FO71" s="60">
        <f>SUM(FK71:FN71)</f>
        <v/>
      </c>
      <c r="FP71" s="61" t="n"/>
      <c r="FQ71" s="57" t="n"/>
      <c r="FR71" s="58">
        <f>FH71</f>
        <v/>
      </c>
      <c r="FS71" s="59" t="n"/>
      <c r="FT71" s="57" t="n"/>
      <c r="FU71" s="57" t="n"/>
      <c r="FV71" s="57" t="n"/>
      <c r="FW71" s="57" t="n"/>
      <c r="FX71" s="60">
        <f>SUM(FT71:FW71)</f>
        <v/>
      </c>
      <c r="FY71" s="61" t="n"/>
      <c r="FZ71" s="57" t="n"/>
      <c r="GA71" s="58">
        <f>FQ71</f>
        <v/>
      </c>
      <c r="GB71" s="59" t="n"/>
      <c r="GC71" s="57" t="n"/>
      <c r="GD71" s="57" t="n"/>
      <c r="GE71" s="57" t="n"/>
      <c r="GF71" s="57" t="n"/>
      <c r="GG71" s="60">
        <f>SUM(GC71:GF71)</f>
        <v/>
      </c>
      <c r="GH71" s="61" t="n"/>
      <c r="GI71" s="57" t="n"/>
      <c r="GJ71" s="58">
        <f>FZ71</f>
        <v/>
      </c>
      <c r="GK71" s="59" t="n"/>
      <c r="GL71" s="57" t="n"/>
      <c r="GM71" s="57" t="n"/>
      <c r="GN71" s="57" t="n"/>
      <c r="GO71" s="57" t="n"/>
      <c r="GP71" s="60">
        <f>SUM(GL71:GO71)</f>
        <v/>
      </c>
      <c r="GQ71" s="61" t="n"/>
      <c r="GR71" s="57" t="n"/>
      <c r="GS71" s="58">
        <f>GI71</f>
        <v/>
      </c>
      <c r="GT71" s="59" t="n"/>
      <c r="GU71" s="57" t="n"/>
      <c r="GV71" s="57" t="n"/>
      <c r="GW71" s="57" t="n"/>
      <c r="GX71" s="57" t="n"/>
      <c r="GY71" s="60">
        <f>SUM(GU71:GX71)</f>
        <v/>
      </c>
      <c r="GZ71" s="61" t="n"/>
      <c r="HA71" s="57" t="n"/>
      <c r="HB71" s="58">
        <f>GR71</f>
        <v/>
      </c>
      <c r="HC71" s="59" t="n"/>
      <c r="HD71" s="57" t="n"/>
      <c r="HE71" s="57" t="n"/>
      <c r="HF71" s="57" t="n"/>
      <c r="HG71" s="57" t="n"/>
      <c r="HH71" s="60">
        <f>SUM(HD71:HG71)</f>
        <v/>
      </c>
      <c r="HI71" s="61" t="n"/>
      <c r="HJ71" s="57" t="n"/>
      <c r="HK71" s="58">
        <f>HA71</f>
        <v/>
      </c>
      <c r="HL71" s="59" t="n"/>
      <c r="HM71" s="57" t="n"/>
      <c r="HN71" s="57" t="n"/>
      <c r="HO71" s="57" t="n"/>
      <c r="HP71" s="57" t="n"/>
      <c r="HQ71" s="60">
        <f>SUM(HM71:HP71)</f>
        <v/>
      </c>
      <c r="HR71" s="61" t="n"/>
      <c r="HS71" s="57" t="n"/>
      <c r="HT71" s="58">
        <f>HJ71</f>
        <v/>
      </c>
      <c r="HU71" s="59" t="n"/>
      <c r="HV71" s="57" t="n"/>
      <c r="HW71" s="57" t="n"/>
      <c r="HX71" s="57" t="n"/>
      <c r="HY71" s="57" t="n"/>
      <c r="HZ71" s="60">
        <f>SUM(HV71:HY71)</f>
        <v/>
      </c>
      <c r="IA71" s="61" t="n"/>
      <c r="IB71" s="57" t="n"/>
      <c r="IC71" s="58">
        <f>HS71</f>
        <v/>
      </c>
      <c r="ID71" s="59" t="n"/>
      <c r="IE71" s="57" t="n"/>
      <c r="IF71" s="57" t="n"/>
      <c r="IG71" s="57" t="n"/>
      <c r="IH71" s="57" t="n"/>
      <c r="II71" s="60">
        <f>SUM(IE71:IH71)</f>
        <v/>
      </c>
      <c r="IJ71" s="61" t="n"/>
      <c r="IK71" s="57" t="n"/>
      <c r="IL71" s="58">
        <f>IB71</f>
        <v/>
      </c>
      <c r="IM71" s="59" t="n"/>
      <c r="IN71" s="57" t="n"/>
      <c r="IO71" s="57" t="n"/>
      <c r="IP71" s="57" t="n"/>
      <c r="IQ71" s="57" t="n"/>
      <c r="IR71" s="60">
        <f>SUM(IN71:IQ71)</f>
        <v/>
      </c>
      <c r="IS71" s="61" t="n"/>
      <c r="IT71" s="57" t="n"/>
      <c r="IU71" s="58">
        <f>IK71</f>
        <v/>
      </c>
      <c r="IV71" s="59" t="n"/>
      <c r="IW71" s="57" t="n"/>
      <c r="IX71" s="57" t="n"/>
      <c r="IY71" s="57" t="n"/>
      <c r="IZ71" s="57" t="n"/>
      <c r="JA71" s="60">
        <f>SUM(IW71:IZ71)</f>
        <v/>
      </c>
      <c r="JB71" s="61" t="n"/>
      <c r="JC71" s="57" t="n"/>
      <c r="JD71" s="58">
        <f>IT71</f>
        <v/>
      </c>
      <c r="JE71" s="59" t="n"/>
      <c r="JF71" s="57" t="n"/>
      <c r="JG71" s="57" t="n"/>
      <c r="JH71" s="57" t="n"/>
      <c r="JI71" s="57" t="n"/>
      <c r="JJ71" s="60">
        <f>SUM(JF71:JI71)</f>
        <v/>
      </c>
      <c r="JK71" s="61" t="n"/>
      <c r="JL71" s="57" t="n"/>
      <c r="JM71" s="58">
        <f>JC71</f>
        <v/>
      </c>
      <c r="JN71" s="59" t="n"/>
      <c r="JO71" s="57" t="n"/>
      <c r="JP71" s="57" t="n"/>
      <c r="JQ71" s="57" t="n"/>
      <c r="JR71" s="57" t="n"/>
      <c r="JS71" s="60">
        <f>SUM(JO71:JR71)</f>
        <v/>
      </c>
      <c r="JT71" s="61" t="n"/>
      <c r="JU71" s="62">
        <f>I71+R71+AA71+AJ71+AS71+BB71+BK71+BT71+CC71+CL71+CU71+DD71+DM71+DV71+EE71+EN71+EW71+FF71+FO71+FX71+GG71+GP71+GY71+HH71+HQ71+HZ71+II71+IR71+JA71+JJ71+JS71</f>
        <v/>
      </c>
      <c r="JV71" s="63">
        <f>D71+M71+V71+AE71+AN71+AW71+BF71+BO71+BX71+CG71+CP71+CY71+DH71+DQ71+DZ71+EI71+ER71+FA71+FJ71+FS71+GB71+GK71+GT71+HC71+HL71+HU71+ID71+IM71+IV71+JE71+JN71</f>
        <v/>
      </c>
      <c r="JW71" s="62">
        <f>CHOOSE($Z$3,B71, K71, T71, AC71, AL71, AU71, BD71, BM71, BV71, CE71, CN71, CW71, DF71, DO71, DX71, EG71, EP71, EY71, FH71, FQ71, FZ71, GI71, GR71, HA71, HJ71, HS71, IB71, IK71, IT71, JC71, JL71)</f>
        <v/>
      </c>
      <c r="JX71" s="62">
        <f>IFERROR(JU71/$Z$3,0)</f>
        <v/>
      </c>
      <c r="JY71" s="62">
        <f>Configurações!$C$11</f>
        <v/>
      </c>
      <c r="JZ71" s="64">
        <f>IF(JY71=0,"— Sem meta",IF(JU71&gt;=JY71,"✓ Atingida","Em andamento"))</f>
        <v/>
      </c>
      <c r="KA71" s="65">
        <f>JU71+(9*0.0000001)</f>
        <v/>
      </c>
    </row>
    <row r="72" ht="20" customHeight="1">
      <c r="A72" s="56">
        <f>IF(Configurações!$B$12="","Assessor 6",Configurações!$B$12)</f>
        <v/>
      </c>
      <c r="B72" s="57" t="n"/>
      <c r="C72" s="66">
        <f>'Novembro'!$JW72</f>
        <v/>
      </c>
      <c r="D72" s="59" t="n"/>
      <c r="E72" s="57" t="n"/>
      <c r="F72" s="57" t="n"/>
      <c r="G72" s="57" t="n"/>
      <c r="H72" s="57" t="n"/>
      <c r="I72" s="67">
        <f>SUM(E72:H72)</f>
        <v/>
      </c>
      <c r="J72" s="61" t="n"/>
      <c r="K72" s="57" t="n"/>
      <c r="L72" s="66">
        <f>B72</f>
        <v/>
      </c>
      <c r="M72" s="59" t="n"/>
      <c r="N72" s="57" t="n"/>
      <c r="O72" s="57" t="n"/>
      <c r="P72" s="57" t="n"/>
      <c r="Q72" s="57" t="n"/>
      <c r="R72" s="67">
        <f>SUM(N72:Q72)</f>
        <v/>
      </c>
      <c r="S72" s="61" t="n"/>
      <c r="T72" s="57" t="n"/>
      <c r="U72" s="66">
        <f>K72</f>
        <v/>
      </c>
      <c r="V72" s="59" t="n"/>
      <c r="W72" s="57" t="n"/>
      <c r="X72" s="57" t="n"/>
      <c r="Y72" s="57" t="n"/>
      <c r="Z72" s="57" t="n"/>
      <c r="AA72" s="67">
        <f>SUM(W72:Z72)</f>
        <v/>
      </c>
      <c r="AB72" s="61" t="n"/>
      <c r="AC72" s="57" t="n"/>
      <c r="AD72" s="66">
        <f>T72</f>
        <v/>
      </c>
      <c r="AE72" s="59" t="n"/>
      <c r="AF72" s="57" t="n"/>
      <c r="AG72" s="57" t="n"/>
      <c r="AH72" s="57" t="n"/>
      <c r="AI72" s="57" t="n"/>
      <c r="AJ72" s="67">
        <f>SUM(AF72:AI72)</f>
        <v/>
      </c>
      <c r="AK72" s="61" t="n"/>
      <c r="AL72" s="57" t="n"/>
      <c r="AM72" s="66">
        <f>AC72</f>
        <v/>
      </c>
      <c r="AN72" s="59" t="n"/>
      <c r="AO72" s="57" t="n"/>
      <c r="AP72" s="57" t="n"/>
      <c r="AQ72" s="57" t="n"/>
      <c r="AR72" s="57" t="n"/>
      <c r="AS72" s="67">
        <f>SUM(AO72:AR72)</f>
        <v/>
      </c>
      <c r="AT72" s="61" t="n"/>
      <c r="AU72" s="57" t="n"/>
      <c r="AV72" s="66">
        <f>AL72</f>
        <v/>
      </c>
      <c r="AW72" s="59" t="n"/>
      <c r="AX72" s="57" t="n"/>
      <c r="AY72" s="57" t="n"/>
      <c r="AZ72" s="57" t="n"/>
      <c r="BA72" s="57" t="n"/>
      <c r="BB72" s="67">
        <f>SUM(AX72:BA72)</f>
        <v/>
      </c>
      <c r="BC72" s="61" t="n"/>
      <c r="BD72" s="57" t="n"/>
      <c r="BE72" s="66">
        <f>AU72</f>
        <v/>
      </c>
      <c r="BF72" s="59" t="n"/>
      <c r="BG72" s="57" t="n"/>
      <c r="BH72" s="57" t="n"/>
      <c r="BI72" s="57" t="n"/>
      <c r="BJ72" s="57" t="n"/>
      <c r="BK72" s="67">
        <f>SUM(BG72:BJ72)</f>
        <v/>
      </c>
      <c r="BL72" s="61" t="n"/>
      <c r="BM72" s="57" t="n"/>
      <c r="BN72" s="66">
        <f>BD72</f>
        <v/>
      </c>
      <c r="BO72" s="59" t="n"/>
      <c r="BP72" s="57" t="n"/>
      <c r="BQ72" s="57" t="n"/>
      <c r="BR72" s="57" t="n"/>
      <c r="BS72" s="57" t="n"/>
      <c r="BT72" s="67">
        <f>SUM(BP72:BS72)</f>
        <v/>
      </c>
      <c r="BU72" s="61" t="n"/>
      <c r="BV72" s="57" t="n"/>
      <c r="BW72" s="66">
        <f>BM72</f>
        <v/>
      </c>
      <c r="BX72" s="59" t="n"/>
      <c r="BY72" s="57" t="n"/>
      <c r="BZ72" s="57" t="n"/>
      <c r="CA72" s="57" t="n"/>
      <c r="CB72" s="57" t="n"/>
      <c r="CC72" s="67">
        <f>SUM(BY72:CB72)</f>
        <v/>
      </c>
      <c r="CD72" s="61" t="n"/>
      <c r="CE72" s="57" t="n"/>
      <c r="CF72" s="66">
        <f>BV72</f>
        <v/>
      </c>
      <c r="CG72" s="59" t="n"/>
      <c r="CH72" s="57" t="n"/>
      <c r="CI72" s="57" t="n"/>
      <c r="CJ72" s="57" t="n"/>
      <c r="CK72" s="57" t="n"/>
      <c r="CL72" s="67">
        <f>SUM(CH72:CK72)</f>
        <v/>
      </c>
      <c r="CM72" s="61" t="n"/>
      <c r="CN72" s="57" t="n"/>
      <c r="CO72" s="66">
        <f>CE72</f>
        <v/>
      </c>
      <c r="CP72" s="59" t="n"/>
      <c r="CQ72" s="57" t="n"/>
      <c r="CR72" s="57" t="n"/>
      <c r="CS72" s="57" t="n"/>
      <c r="CT72" s="57" t="n"/>
      <c r="CU72" s="67">
        <f>SUM(CQ72:CT72)</f>
        <v/>
      </c>
      <c r="CV72" s="61" t="n"/>
      <c r="CW72" s="57" t="n"/>
      <c r="CX72" s="66">
        <f>CN72</f>
        <v/>
      </c>
      <c r="CY72" s="59" t="n"/>
      <c r="CZ72" s="57" t="n"/>
      <c r="DA72" s="57" t="n"/>
      <c r="DB72" s="57" t="n"/>
      <c r="DC72" s="57" t="n"/>
      <c r="DD72" s="67">
        <f>SUM(CZ72:DC72)</f>
        <v/>
      </c>
      <c r="DE72" s="61" t="n"/>
      <c r="DF72" s="57" t="n"/>
      <c r="DG72" s="66">
        <f>CW72</f>
        <v/>
      </c>
      <c r="DH72" s="59" t="n"/>
      <c r="DI72" s="57" t="n"/>
      <c r="DJ72" s="57" t="n"/>
      <c r="DK72" s="57" t="n"/>
      <c r="DL72" s="57" t="n"/>
      <c r="DM72" s="67">
        <f>SUM(DI72:DL72)</f>
        <v/>
      </c>
      <c r="DN72" s="61" t="n"/>
      <c r="DO72" s="57" t="n"/>
      <c r="DP72" s="66">
        <f>DF72</f>
        <v/>
      </c>
      <c r="DQ72" s="59" t="n"/>
      <c r="DR72" s="57" t="n"/>
      <c r="DS72" s="57" t="n"/>
      <c r="DT72" s="57" t="n"/>
      <c r="DU72" s="57" t="n"/>
      <c r="DV72" s="67">
        <f>SUM(DR72:DU72)</f>
        <v/>
      </c>
      <c r="DW72" s="61" t="n"/>
      <c r="DX72" s="57" t="n"/>
      <c r="DY72" s="66">
        <f>DO72</f>
        <v/>
      </c>
      <c r="DZ72" s="59" t="n"/>
      <c r="EA72" s="57" t="n"/>
      <c r="EB72" s="57" t="n"/>
      <c r="EC72" s="57" t="n"/>
      <c r="ED72" s="57" t="n"/>
      <c r="EE72" s="67">
        <f>SUM(EA72:ED72)</f>
        <v/>
      </c>
      <c r="EF72" s="61" t="n"/>
      <c r="EG72" s="57" t="n"/>
      <c r="EH72" s="66">
        <f>DX72</f>
        <v/>
      </c>
      <c r="EI72" s="59" t="n"/>
      <c r="EJ72" s="57" t="n"/>
      <c r="EK72" s="57" t="n"/>
      <c r="EL72" s="57" t="n"/>
      <c r="EM72" s="57" t="n"/>
      <c r="EN72" s="67">
        <f>SUM(EJ72:EM72)</f>
        <v/>
      </c>
      <c r="EO72" s="61" t="n"/>
      <c r="EP72" s="57" t="n"/>
      <c r="EQ72" s="66">
        <f>EG72</f>
        <v/>
      </c>
      <c r="ER72" s="59" t="n"/>
      <c r="ES72" s="57" t="n"/>
      <c r="ET72" s="57" t="n"/>
      <c r="EU72" s="57" t="n"/>
      <c r="EV72" s="57" t="n"/>
      <c r="EW72" s="67">
        <f>SUM(ES72:EV72)</f>
        <v/>
      </c>
      <c r="EX72" s="61" t="n"/>
      <c r="EY72" s="57" t="n"/>
      <c r="EZ72" s="66">
        <f>EP72</f>
        <v/>
      </c>
      <c r="FA72" s="59" t="n"/>
      <c r="FB72" s="57" t="n"/>
      <c r="FC72" s="57" t="n"/>
      <c r="FD72" s="57" t="n"/>
      <c r="FE72" s="57" t="n"/>
      <c r="FF72" s="67">
        <f>SUM(FB72:FE72)</f>
        <v/>
      </c>
      <c r="FG72" s="61" t="n"/>
      <c r="FH72" s="57" t="n"/>
      <c r="FI72" s="66">
        <f>EY72</f>
        <v/>
      </c>
      <c r="FJ72" s="59" t="n"/>
      <c r="FK72" s="57" t="n"/>
      <c r="FL72" s="57" t="n"/>
      <c r="FM72" s="57" t="n"/>
      <c r="FN72" s="57" t="n"/>
      <c r="FO72" s="67">
        <f>SUM(FK72:FN72)</f>
        <v/>
      </c>
      <c r="FP72" s="61" t="n"/>
      <c r="FQ72" s="57" t="n"/>
      <c r="FR72" s="66">
        <f>FH72</f>
        <v/>
      </c>
      <c r="FS72" s="59" t="n"/>
      <c r="FT72" s="57" t="n"/>
      <c r="FU72" s="57" t="n"/>
      <c r="FV72" s="57" t="n"/>
      <c r="FW72" s="57" t="n"/>
      <c r="FX72" s="67">
        <f>SUM(FT72:FW72)</f>
        <v/>
      </c>
      <c r="FY72" s="61" t="n"/>
      <c r="FZ72" s="57" t="n"/>
      <c r="GA72" s="66">
        <f>FQ72</f>
        <v/>
      </c>
      <c r="GB72" s="59" t="n"/>
      <c r="GC72" s="57" t="n"/>
      <c r="GD72" s="57" t="n"/>
      <c r="GE72" s="57" t="n"/>
      <c r="GF72" s="57" t="n"/>
      <c r="GG72" s="67">
        <f>SUM(GC72:GF72)</f>
        <v/>
      </c>
      <c r="GH72" s="61" t="n"/>
      <c r="GI72" s="57" t="n"/>
      <c r="GJ72" s="66">
        <f>FZ72</f>
        <v/>
      </c>
      <c r="GK72" s="59" t="n"/>
      <c r="GL72" s="57" t="n"/>
      <c r="GM72" s="57" t="n"/>
      <c r="GN72" s="57" t="n"/>
      <c r="GO72" s="57" t="n"/>
      <c r="GP72" s="67">
        <f>SUM(GL72:GO72)</f>
        <v/>
      </c>
      <c r="GQ72" s="61" t="n"/>
      <c r="GR72" s="57" t="n"/>
      <c r="GS72" s="66">
        <f>GI72</f>
        <v/>
      </c>
      <c r="GT72" s="59" t="n"/>
      <c r="GU72" s="57" t="n"/>
      <c r="GV72" s="57" t="n"/>
      <c r="GW72" s="57" t="n"/>
      <c r="GX72" s="57" t="n"/>
      <c r="GY72" s="67">
        <f>SUM(GU72:GX72)</f>
        <v/>
      </c>
      <c r="GZ72" s="61" t="n"/>
      <c r="HA72" s="57" t="n"/>
      <c r="HB72" s="66">
        <f>GR72</f>
        <v/>
      </c>
      <c r="HC72" s="59" t="n"/>
      <c r="HD72" s="57" t="n"/>
      <c r="HE72" s="57" t="n"/>
      <c r="HF72" s="57" t="n"/>
      <c r="HG72" s="57" t="n"/>
      <c r="HH72" s="67">
        <f>SUM(HD72:HG72)</f>
        <v/>
      </c>
      <c r="HI72" s="61" t="n"/>
      <c r="HJ72" s="57" t="n"/>
      <c r="HK72" s="66">
        <f>HA72</f>
        <v/>
      </c>
      <c r="HL72" s="59" t="n"/>
      <c r="HM72" s="57" t="n"/>
      <c r="HN72" s="57" t="n"/>
      <c r="HO72" s="57" t="n"/>
      <c r="HP72" s="57" t="n"/>
      <c r="HQ72" s="67">
        <f>SUM(HM72:HP72)</f>
        <v/>
      </c>
      <c r="HR72" s="61" t="n"/>
      <c r="HS72" s="57" t="n"/>
      <c r="HT72" s="66">
        <f>HJ72</f>
        <v/>
      </c>
      <c r="HU72" s="59" t="n"/>
      <c r="HV72" s="57" t="n"/>
      <c r="HW72" s="57" t="n"/>
      <c r="HX72" s="57" t="n"/>
      <c r="HY72" s="57" t="n"/>
      <c r="HZ72" s="67">
        <f>SUM(HV72:HY72)</f>
        <v/>
      </c>
      <c r="IA72" s="61" t="n"/>
      <c r="IB72" s="57" t="n"/>
      <c r="IC72" s="66">
        <f>HS72</f>
        <v/>
      </c>
      <c r="ID72" s="59" t="n"/>
      <c r="IE72" s="57" t="n"/>
      <c r="IF72" s="57" t="n"/>
      <c r="IG72" s="57" t="n"/>
      <c r="IH72" s="57" t="n"/>
      <c r="II72" s="67">
        <f>SUM(IE72:IH72)</f>
        <v/>
      </c>
      <c r="IJ72" s="61" t="n"/>
      <c r="IK72" s="57" t="n"/>
      <c r="IL72" s="66">
        <f>IB72</f>
        <v/>
      </c>
      <c r="IM72" s="59" t="n"/>
      <c r="IN72" s="57" t="n"/>
      <c r="IO72" s="57" t="n"/>
      <c r="IP72" s="57" t="n"/>
      <c r="IQ72" s="57" t="n"/>
      <c r="IR72" s="67">
        <f>SUM(IN72:IQ72)</f>
        <v/>
      </c>
      <c r="IS72" s="61" t="n"/>
      <c r="IT72" s="57" t="n"/>
      <c r="IU72" s="66">
        <f>IK72</f>
        <v/>
      </c>
      <c r="IV72" s="59" t="n"/>
      <c r="IW72" s="57" t="n"/>
      <c r="IX72" s="57" t="n"/>
      <c r="IY72" s="57" t="n"/>
      <c r="IZ72" s="57" t="n"/>
      <c r="JA72" s="67">
        <f>SUM(IW72:IZ72)</f>
        <v/>
      </c>
      <c r="JB72" s="61" t="n"/>
      <c r="JC72" s="57" t="n"/>
      <c r="JD72" s="66">
        <f>IT72</f>
        <v/>
      </c>
      <c r="JE72" s="59" t="n"/>
      <c r="JF72" s="57" t="n"/>
      <c r="JG72" s="57" t="n"/>
      <c r="JH72" s="57" t="n"/>
      <c r="JI72" s="57" t="n"/>
      <c r="JJ72" s="67">
        <f>SUM(JF72:JI72)</f>
        <v/>
      </c>
      <c r="JK72" s="61" t="n"/>
      <c r="JL72" s="57" t="n"/>
      <c r="JM72" s="66">
        <f>JC72</f>
        <v/>
      </c>
      <c r="JN72" s="59" t="n"/>
      <c r="JO72" s="57" t="n"/>
      <c r="JP72" s="57" t="n"/>
      <c r="JQ72" s="57" t="n"/>
      <c r="JR72" s="57" t="n"/>
      <c r="JS72" s="67">
        <f>SUM(JO72:JR72)</f>
        <v/>
      </c>
      <c r="JT72" s="61" t="n"/>
      <c r="JU72" s="62">
        <f>I72+R72+AA72+AJ72+AS72+BB72+BK72+BT72+CC72+CL72+CU72+DD72+DM72+DV72+EE72+EN72+EW72+FF72+FO72+FX72+GG72+GP72+GY72+HH72+HQ72+HZ72+II72+IR72+JA72+JJ72+JS72</f>
        <v/>
      </c>
      <c r="JV72" s="63">
        <f>D72+M72+V72+AE72+AN72+AW72+BF72+BO72+BX72+CG72+CP72+CY72+DH72+DQ72+DZ72+EI72+ER72+FA72+FJ72+FS72+GB72+GK72+GT72+HC72+HL72+HU72+ID72+IM72+IV72+JE72+JN72</f>
        <v/>
      </c>
      <c r="JW72" s="62">
        <f>CHOOSE($Z$3,B72, K72, T72, AC72, AL72, AU72, BD72, BM72, BV72, CE72, CN72, CW72, DF72, DO72, DX72, EG72, EP72, EY72, FH72, FQ72, FZ72, GI72, GR72, HA72, HJ72, HS72, IB72, IK72, IT72, JC72, JL72)</f>
        <v/>
      </c>
      <c r="JX72" s="62">
        <f>IFERROR(JU72/$Z$3,0)</f>
        <v/>
      </c>
      <c r="JY72" s="62">
        <f>Configurações!$C$12</f>
        <v/>
      </c>
      <c r="JZ72" s="64">
        <f>IF(JY72=0,"— Sem meta",IF(JU72&gt;=JY72,"✓ Atingida","Em andamento"))</f>
        <v/>
      </c>
      <c r="KA72" s="65">
        <f>JU72+(8*0.0000001)</f>
        <v/>
      </c>
    </row>
    <row r="73" ht="20" customHeight="1">
      <c r="A73" s="56">
        <f>IF(Configurações!$B$13="","Assessor 7",Configurações!$B$13)</f>
        <v/>
      </c>
      <c r="B73" s="57" t="n"/>
      <c r="C73" s="58">
        <f>'Novembro'!$JW73</f>
        <v/>
      </c>
      <c r="D73" s="59" t="n"/>
      <c r="E73" s="57" t="n"/>
      <c r="F73" s="57" t="n"/>
      <c r="G73" s="57" t="n"/>
      <c r="H73" s="57" t="n"/>
      <c r="I73" s="60">
        <f>SUM(E73:H73)</f>
        <v/>
      </c>
      <c r="J73" s="61" t="n"/>
      <c r="K73" s="57" t="n"/>
      <c r="L73" s="58">
        <f>B73</f>
        <v/>
      </c>
      <c r="M73" s="59" t="n"/>
      <c r="N73" s="57" t="n"/>
      <c r="O73" s="57" t="n"/>
      <c r="P73" s="57" t="n"/>
      <c r="Q73" s="57" t="n"/>
      <c r="R73" s="60">
        <f>SUM(N73:Q73)</f>
        <v/>
      </c>
      <c r="S73" s="61" t="n"/>
      <c r="T73" s="57" t="n"/>
      <c r="U73" s="58">
        <f>K73</f>
        <v/>
      </c>
      <c r="V73" s="59" t="n"/>
      <c r="W73" s="57" t="n"/>
      <c r="X73" s="57" t="n"/>
      <c r="Y73" s="57" t="n"/>
      <c r="Z73" s="57" t="n"/>
      <c r="AA73" s="60">
        <f>SUM(W73:Z73)</f>
        <v/>
      </c>
      <c r="AB73" s="61" t="n"/>
      <c r="AC73" s="57" t="n"/>
      <c r="AD73" s="58">
        <f>T73</f>
        <v/>
      </c>
      <c r="AE73" s="59" t="n"/>
      <c r="AF73" s="57" t="n"/>
      <c r="AG73" s="57" t="n"/>
      <c r="AH73" s="57" t="n"/>
      <c r="AI73" s="57" t="n"/>
      <c r="AJ73" s="60">
        <f>SUM(AF73:AI73)</f>
        <v/>
      </c>
      <c r="AK73" s="61" t="n"/>
      <c r="AL73" s="57" t="n"/>
      <c r="AM73" s="58">
        <f>AC73</f>
        <v/>
      </c>
      <c r="AN73" s="59" t="n"/>
      <c r="AO73" s="57" t="n"/>
      <c r="AP73" s="57" t="n"/>
      <c r="AQ73" s="57" t="n"/>
      <c r="AR73" s="57" t="n"/>
      <c r="AS73" s="60">
        <f>SUM(AO73:AR73)</f>
        <v/>
      </c>
      <c r="AT73" s="61" t="n"/>
      <c r="AU73" s="57" t="n"/>
      <c r="AV73" s="58">
        <f>AL73</f>
        <v/>
      </c>
      <c r="AW73" s="59" t="n"/>
      <c r="AX73" s="57" t="n"/>
      <c r="AY73" s="57" t="n"/>
      <c r="AZ73" s="57" t="n"/>
      <c r="BA73" s="57" t="n"/>
      <c r="BB73" s="60">
        <f>SUM(AX73:BA73)</f>
        <v/>
      </c>
      <c r="BC73" s="61" t="n"/>
      <c r="BD73" s="57" t="n"/>
      <c r="BE73" s="58">
        <f>AU73</f>
        <v/>
      </c>
      <c r="BF73" s="59" t="n"/>
      <c r="BG73" s="57" t="n"/>
      <c r="BH73" s="57" t="n"/>
      <c r="BI73" s="57" t="n"/>
      <c r="BJ73" s="57" t="n"/>
      <c r="BK73" s="60">
        <f>SUM(BG73:BJ73)</f>
        <v/>
      </c>
      <c r="BL73" s="61" t="n"/>
      <c r="BM73" s="57" t="n"/>
      <c r="BN73" s="58">
        <f>BD73</f>
        <v/>
      </c>
      <c r="BO73" s="59" t="n"/>
      <c r="BP73" s="57" t="n"/>
      <c r="BQ73" s="57" t="n"/>
      <c r="BR73" s="57" t="n"/>
      <c r="BS73" s="57" t="n"/>
      <c r="BT73" s="60">
        <f>SUM(BP73:BS73)</f>
        <v/>
      </c>
      <c r="BU73" s="61" t="n"/>
      <c r="BV73" s="57" t="n"/>
      <c r="BW73" s="58">
        <f>BM73</f>
        <v/>
      </c>
      <c r="BX73" s="59" t="n"/>
      <c r="BY73" s="57" t="n"/>
      <c r="BZ73" s="57" t="n"/>
      <c r="CA73" s="57" t="n"/>
      <c r="CB73" s="57" t="n"/>
      <c r="CC73" s="60">
        <f>SUM(BY73:CB73)</f>
        <v/>
      </c>
      <c r="CD73" s="61" t="n"/>
      <c r="CE73" s="57" t="n"/>
      <c r="CF73" s="58">
        <f>BV73</f>
        <v/>
      </c>
      <c r="CG73" s="59" t="n"/>
      <c r="CH73" s="57" t="n"/>
      <c r="CI73" s="57" t="n"/>
      <c r="CJ73" s="57" t="n"/>
      <c r="CK73" s="57" t="n"/>
      <c r="CL73" s="60">
        <f>SUM(CH73:CK73)</f>
        <v/>
      </c>
      <c r="CM73" s="61" t="n"/>
      <c r="CN73" s="57" t="n"/>
      <c r="CO73" s="58">
        <f>CE73</f>
        <v/>
      </c>
      <c r="CP73" s="59" t="n"/>
      <c r="CQ73" s="57" t="n"/>
      <c r="CR73" s="57" t="n"/>
      <c r="CS73" s="57" t="n"/>
      <c r="CT73" s="57" t="n"/>
      <c r="CU73" s="60">
        <f>SUM(CQ73:CT73)</f>
        <v/>
      </c>
      <c r="CV73" s="61" t="n"/>
      <c r="CW73" s="57" t="n"/>
      <c r="CX73" s="58">
        <f>CN73</f>
        <v/>
      </c>
      <c r="CY73" s="59" t="n"/>
      <c r="CZ73" s="57" t="n"/>
      <c r="DA73" s="57" t="n"/>
      <c r="DB73" s="57" t="n"/>
      <c r="DC73" s="57" t="n"/>
      <c r="DD73" s="60">
        <f>SUM(CZ73:DC73)</f>
        <v/>
      </c>
      <c r="DE73" s="61" t="n"/>
      <c r="DF73" s="57" t="n"/>
      <c r="DG73" s="58">
        <f>CW73</f>
        <v/>
      </c>
      <c r="DH73" s="59" t="n"/>
      <c r="DI73" s="57" t="n"/>
      <c r="DJ73" s="57" t="n"/>
      <c r="DK73" s="57" t="n"/>
      <c r="DL73" s="57" t="n"/>
      <c r="DM73" s="60">
        <f>SUM(DI73:DL73)</f>
        <v/>
      </c>
      <c r="DN73" s="61" t="n"/>
      <c r="DO73" s="57" t="n"/>
      <c r="DP73" s="58">
        <f>DF73</f>
        <v/>
      </c>
      <c r="DQ73" s="59" t="n"/>
      <c r="DR73" s="57" t="n"/>
      <c r="DS73" s="57" t="n"/>
      <c r="DT73" s="57" t="n"/>
      <c r="DU73" s="57" t="n"/>
      <c r="DV73" s="60">
        <f>SUM(DR73:DU73)</f>
        <v/>
      </c>
      <c r="DW73" s="61" t="n"/>
      <c r="DX73" s="57" t="n"/>
      <c r="DY73" s="58">
        <f>DO73</f>
        <v/>
      </c>
      <c r="DZ73" s="59" t="n"/>
      <c r="EA73" s="57" t="n"/>
      <c r="EB73" s="57" t="n"/>
      <c r="EC73" s="57" t="n"/>
      <c r="ED73" s="57" t="n"/>
      <c r="EE73" s="60">
        <f>SUM(EA73:ED73)</f>
        <v/>
      </c>
      <c r="EF73" s="61" t="n"/>
      <c r="EG73" s="57" t="n"/>
      <c r="EH73" s="58">
        <f>DX73</f>
        <v/>
      </c>
      <c r="EI73" s="59" t="n"/>
      <c r="EJ73" s="57" t="n"/>
      <c r="EK73" s="57" t="n"/>
      <c r="EL73" s="57" t="n"/>
      <c r="EM73" s="57" t="n"/>
      <c r="EN73" s="60">
        <f>SUM(EJ73:EM73)</f>
        <v/>
      </c>
      <c r="EO73" s="61" t="n"/>
      <c r="EP73" s="57" t="n"/>
      <c r="EQ73" s="58">
        <f>EG73</f>
        <v/>
      </c>
      <c r="ER73" s="59" t="n"/>
      <c r="ES73" s="57" t="n"/>
      <c r="ET73" s="57" t="n"/>
      <c r="EU73" s="57" t="n"/>
      <c r="EV73" s="57" t="n"/>
      <c r="EW73" s="60">
        <f>SUM(ES73:EV73)</f>
        <v/>
      </c>
      <c r="EX73" s="61" t="n"/>
      <c r="EY73" s="57" t="n"/>
      <c r="EZ73" s="58">
        <f>EP73</f>
        <v/>
      </c>
      <c r="FA73" s="59" t="n"/>
      <c r="FB73" s="57" t="n"/>
      <c r="FC73" s="57" t="n"/>
      <c r="FD73" s="57" t="n"/>
      <c r="FE73" s="57" t="n"/>
      <c r="FF73" s="60">
        <f>SUM(FB73:FE73)</f>
        <v/>
      </c>
      <c r="FG73" s="61" t="n"/>
      <c r="FH73" s="57" t="n"/>
      <c r="FI73" s="58">
        <f>EY73</f>
        <v/>
      </c>
      <c r="FJ73" s="59" t="n"/>
      <c r="FK73" s="57" t="n"/>
      <c r="FL73" s="57" t="n"/>
      <c r="FM73" s="57" t="n"/>
      <c r="FN73" s="57" t="n"/>
      <c r="FO73" s="60">
        <f>SUM(FK73:FN73)</f>
        <v/>
      </c>
      <c r="FP73" s="61" t="n"/>
      <c r="FQ73" s="57" t="n"/>
      <c r="FR73" s="58">
        <f>FH73</f>
        <v/>
      </c>
      <c r="FS73" s="59" t="n"/>
      <c r="FT73" s="57" t="n"/>
      <c r="FU73" s="57" t="n"/>
      <c r="FV73" s="57" t="n"/>
      <c r="FW73" s="57" t="n"/>
      <c r="FX73" s="60">
        <f>SUM(FT73:FW73)</f>
        <v/>
      </c>
      <c r="FY73" s="61" t="n"/>
      <c r="FZ73" s="57" t="n"/>
      <c r="GA73" s="58">
        <f>FQ73</f>
        <v/>
      </c>
      <c r="GB73" s="59" t="n"/>
      <c r="GC73" s="57" t="n"/>
      <c r="GD73" s="57" t="n"/>
      <c r="GE73" s="57" t="n"/>
      <c r="GF73" s="57" t="n"/>
      <c r="GG73" s="60">
        <f>SUM(GC73:GF73)</f>
        <v/>
      </c>
      <c r="GH73" s="61" t="n"/>
      <c r="GI73" s="57" t="n"/>
      <c r="GJ73" s="58">
        <f>FZ73</f>
        <v/>
      </c>
      <c r="GK73" s="59" t="n"/>
      <c r="GL73" s="57" t="n"/>
      <c r="GM73" s="57" t="n"/>
      <c r="GN73" s="57" t="n"/>
      <c r="GO73" s="57" t="n"/>
      <c r="GP73" s="60">
        <f>SUM(GL73:GO73)</f>
        <v/>
      </c>
      <c r="GQ73" s="61" t="n"/>
      <c r="GR73" s="57" t="n"/>
      <c r="GS73" s="58">
        <f>GI73</f>
        <v/>
      </c>
      <c r="GT73" s="59" t="n"/>
      <c r="GU73" s="57" t="n"/>
      <c r="GV73" s="57" t="n"/>
      <c r="GW73" s="57" t="n"/>
      <c r="GX73" s="57" t="n"/>
      <c r="GY73" s="60">
        <f>SUM(GU73:GX73)</f>
        <v/>
      </c>
      <c r="GZ73" s="61" t="n"/>
      <c r="HA73" s="57" t="n"/>
      <c r="HB73" s="58">
        <f>GR73</f>
        <v/>
      </c>
      <c r="HC73" s="59" t="n"/>
      <c r="HD73" s="57" t="n"/>
      <c r="HE73" s="57" t="n"/>
      <c r="HF73" s="57" t="n"/>
      <c r="HG73" s="57" t="n"/>
      <c r="HH73" s="60">
        <f>SUM(HD73:HG73)</f>
        <v/>
      </c>
      <c r="HI73" s="61" t="n"/>
      <c r="HJ73" s="57" t="n"/>
      <c r="HK73" s="58">
        <f>HA73</f>
        <v/>
      </c>
      <c r="HL73" s="59" t="n"/>
      <c r="HM73" s="57" t="n"/>
      <c r="HN73" s="57" t="n"/>
      <c r="HO73" s="57" t="n"/>
      <c r="HP73" s="57" t="n"/>
      <c r="HQ73" s="60">
        <f>SUM(HM73:HP73)</f>
        <v/>
      </c>
      <c r="HR73" s="61" t="n"/>
      <c r="HS73" s="57" t="n"/>
      <c r="HT73" s="58">
        <f>HJ73</f>
        <v/>
      </c>
      <c r="HU73" s="59" t="n"/>
      <c r="HV73" s="57" t="n"/>
      <c r="HW73" s="57" t="n"/>
      <c r="HX73" s="57" t="n"/>
      <c r="HY73" s="57" t="n"/>
      <c r="HZ73" s="60">
        <f>SUM(HV73:HY73)</f>
        <v/>
      </c>
      <c r="IA73" s="61" t="n"/>
      <c r="IB73" s="57" t="n"/>
      <c r="IC73" s="58">
        <f>HS73</f>
        <v/>
      </c>
      <c r="ID73" s="59" t="n"/>
      <c r="IE73" s="57" t="n"/>
      <c r="IF73" s="57" t="n"/>
      <c r="IG73" s="57" t="n"/>
      <c r="IH73" s="57" t="n"/>
      <c r="II73" s="60">
        <f>SUM(IE73:IH73)</f>
        <v/>
      </c>
      <c r="IJ73" s="61" t="n"/>
      <c r="IK73" s="57" t="n"/>
      <c r="IL73" s="58">
        <f>IB73</f>
        <v/>
      </c>
      <c r="IM73" s="59" t="n"/>
      <c r="IN73" s="57" t="n"/>
      <c r="IO73" s="57" t="n"/>
      <c r="IP73" s="57" t="n"/>
      <c r="IQ73" s="57" t="n"/>
      <c r="IR73" s="60">
        <f>SUM(IN73:IQ73)</f>
        <v/>
      </c>
      <c r="IS73" s="61" t="n"/>
      <c r="IT73" s="57" t="n"/>
      <c r="IU73" s="58">
        <f>IK73</f>
        <v/>
      </c>
      <c r="IV73" s="59" t="n"/>
      <c r="IW73" s="57" t="n"/>
      <c r="IX73" s="57" t="n"/>
      <c r="IY73" s="57" t="n"/>
      <c r="IZ73" s="57" t="n"/>
      <c r="JA73" s="60">
        <f>SUM(IW73:IZ73)</f>
        <v/>
      </c>
      <c r="JB73" s="61" t="n"/>
      <c r="JC73" s="57" t="n"/>
      <c r="JD73" s="58">
        <f>IT73</f>
        <v/>
      </c>
      <c r="JE73" s="59" t="n"/>
      <c r="JF73" s="57" t="n"/>
      <c r="JG73" s="57" t="n"/>
      <c r="JH73" s="57" t="n"/>
      <c r="JI73" s="57" t="n"/>
      <c r="JJ73" s="60">
        <f>SUM(JF73:JI73)</f>
        <v/>
      </c>
      <c r="JK73" s="61" t="n"/>
      <c r="JL73" s="57" t="n"/>
      <c r="JM73" s="58">
        <f>JC73</f>
        <v/>
      </c>
      <c r="JN73" s="59" t="n"/>
      <c r="JO73" s="57" t="n"/>
      <c r="JP73" s="57" t="n"/>
      <c r="JQ73" s="57" t="n"/>
      <c r="JR73" s="57" t="n"/>
      <c r="JS73" s="60">
        <f>SUM(JO73:JR73)</f>
        <v/>
      </c>
      <c r="JT73" s="61" t="n"/>
      <c r="JU73" s="62">
        <f>I73+R73+AA73+AJ73+AS73+BB73+BK73+BT73+CC73+CL73+CU73+DD73+DM73+DV73+EE73+EN73+EW73+FF73+FO73+FX73+GG73+GP73+GY73+HH73+HQ73+HZ73+II73+IR73+JA73+JJ73+JS73</f>
        <v/>
      </c>
      <c r="JV73" s="63">
        <f>D73+M73+V73+AE73+AN73+AW73+BF73+BO73+BX73+CG73+CP73+CY73+DH73+DQ73+DZ73+EI73+ER73+FA73+FJ73+FS73+GB73+GK73+GT73+HC73+HL73+HU73+ID73+IM73+IV73+JE73+JN73</f>
        <v/>
      </c>
      <c r="JW73" s="62">
        <f>CHOOSE($Z$3,B73, K73, T73, AC73, AL73, AU73, BD73, BM73, BV73, CE73, CN73, CW73, DF73, DO73, DX73, EG73, EP73, EY73, FH73, FQ73, FZ73, GI73, GR73, HA73, HJ73, HS73, IB73, IK73, IT73, JC73, JL73)</f>
        <v/>
      </c>
      <c r="JX73" s="62">
        <f>IFERROR(JU73/$Z$3,0)</f>
        <v/>
      </c>
      <c r="JY73" s="62">
        <f>Configurações!$C$13</f>
        <v/>
      </c>
      <c r="JZ73" s="64">
        <f>IF(JY73=0,"— Sem meta",IF(JU73&gt;=JY73,"✓ Atingida","Em andamento"))</f>
        <v/>
      </c>
      <c r="KA73" s="65">
        <f>JU73+(7*0.0000001)</f>
        <v/>
      </c>
    </row>
    <row r="74" ht="20" customHeight="1">
      <c r="A74" s="56">
        <f>IF(Configurações!$B$14="","Assessor 8",Configurações!$B$14)</f>
        <v/>
      </c>
      <c r="B74" s="57" t="n"/>
      <c r="C74" s="66">
        <f>'Novembro'!$JW74</f>
        <v/>
      </c>
      <c r="D74" s="59" t="n"/>
      <c r="E74" s="57" t="n"/>
      <c r="F74" s="57" t="n"/>
      <c r="G74" s="57" t="n"/>
      <c r="H74" s="57" t="n"/>
      <c r="I74" s="67">
        <f>SUM(E74:H74)</f>
        <v/>
      </c>
      <c r="J74" s="61" t="n"/>
      <c r="K74" s="57" t="n"/>
      <c r="L74" s="66">
        <f>B74</f>
        <v/>
      </c>
      <c r="M74" s="59" t="n"/>
      <c r="N74" s="57" t="n"/>
      <c r="O74" s="57" t="n"/>
      <c r="P74" s="57" t="n"/>
      <c r="Q74" s="57" t="n"/>
      <c r="R74" s="67">
        <f>SUM(N74:Q74)</f>
        <v/>
      </c>
      <c r="S74" s="61" t="n"/>
      <c r="T74" s="57" t="n"/>
      <c r="U74" s="66">
        <f>K74</f>
        <v/>
      </c>
      <c r="V74" s="59" t="n"/>
      <c r="W74" s="57" t="n"/>
      <c r="X74" s="57" t="n"/>
      <c r="Y74" s="57" t="n"/>
      <c r="Z74" s="57" t="n"/>
      <c r="AA74" s="67">
        <f>SUM(W74:Z74)</f>
        <v/>
      </c>
      <c r="AB74" s="61" t="n"/>
      <c r="AC74" s="57" t="n"/>
      <c r="AD74" s="66">
        <f>T74</f>
        <v/>
      </c>
      <c r="AE74" s="59" t="n"/>
      <c r="AF74" s="57" t="n"/>
      <c r="AG74" s="57" t="n"/>
      <c r="AH74" s="57" t="n"/>
      <c r="AI74" s="57" t="n"/>
      <c r="AJ74" s="67">
        <f>SUM(AF74:AI74)</f>
        <v/>
      </c>
      <c r="AK74" s="61" t="n"/>
      <c r="AL74" s="57" t="n"/>
      <c r="AM74" s="66">
        <f>AC74</f>
        <v/>
      </c>
      <c r="AN74" s="59" t="n"/>
      <c r="AO74" s="57" t="n"/>
      <c r="AP74" s="57" t="n"/>
      <c r="AQ74" s="57" t="n"/>
      <c r="AR74" s="57" t="n"/>
      <c r="AS74" s="67">
        <f>SUM(AO74:AR74)</f>
        <v/>
      </c>
      <c r="AT74" s="61" t="n"/>
      <c r="AU74" s="57" t="n"/>
      <c r="AV74" s="66">
        <f>AL74</f>
        <v/>
      </c>
      <c r="AW74" s="59" t="n"/>
      <c r="AX74" s="57" t="n"/>
      <c r="AY74" s="57" t="n"/>
      <c r="AZ74" s="57" t="n"/>
      <c r="BA74" s="57" t="n"/>
      <c r="BB74" s="67">
        <f>SUM(AX74:BA74)</f>
        <v/>
      </c>
      <c r="BC74" s="61" t="n"/>
      <c r="BD74" s="57" t="n"/>
      <c r="BE74" s="66">
        <f>AU74</f>
        <v/>
      </c>
      <c r="BF74" s="59" t="n"/>
      <c r="BG74" s="57" t="n"/>
      <c r="BH74" s="57" t="n"/>
      <c r="BI74" s="57" t="n"/>
      <c r="BJ74" s="57" t="n"/>
      <c r="BK74" s="67">
        <f>SUM(BG74:BJ74)</f>
        <v/>
      </c>
      <c r="BL74" s="61" t="n"/>
      <c r="BM74" s="57" t="n"/>
      <c r="BN74" s="66">
        <f>BD74</f>
        <v/>
      </c>
      <c r="BO74" s="59" t="n"/>
      <c r="BP74" s="57" t="n"/>
      <c r="BQ74" s="57" t="n"/>
      <c r="BR74" s="57" t="n"/>
      <c r="BS74" s="57" t="n"/>
      <c r="BT74" s="67">
        <f>SUM(BP74:BS74)</f>
        <v/>
      </c>
      <c r="BU74" s="61" t="n"/>
      <c r="BV74" s="57" t="n"/>
      <c r="BW74" s="66">
        <f>BM74</f>
        <v/>
      </c>
      <c r="BX74" s="59" t="n"/>
      <c r="BY74" s="57" t="n"/>
      <c r="BZ74" s="57" t="n"/>
      <c r="CA74" s="57" t="n"/>
      <c r="CB74" s="57" t="n"/>
      <c r="CC74" s="67">
        <f>SUM(BY74:CB74)</f>
        <v/>
      </c>
      <c r="CD74" s="61" t="n"/>
      <c r="CE74" s="57" t="n"/>
      <c r="CF74" s="66">
        <f>BV74</f>
        <v/>
      </c>
      <c r="CG74" s="59" t="n"/>
      <c r="CH74" s="57" t="n"/>
      <c r="CI74" s="57" t="n"/>
      <c r="CJ74" s="57" t="n"/>
      <c r="CK74" s="57" t="n"/>
      <c r="CL74" s="67">
        <f>SUM(CH74:CK74)</f>
        <v/>
      </c>
      <c r="CM74" s="61" t="n"/>
      <c r="CN74" s="57" t="n"/>
      <c r="CO74" s="66">
        <f>CE74</f>
        <v/>
      </c>
      <c r="CP74" s="59" t="n"/>
      <c r="CQ74" s="57" t="n"/>
      <c r="CR74" s="57" t="n"/>
      <c r="CS74" s="57" t="n"/>
      <c r="CT74" s="57" t="n"/>
      <c r="CU74" s="67">
        <f>SUM(CQ74:CT74)</f>
        <v/>
      </c>
      <c r="CV74" s="61" t="n"/>
      <c r="CW74" s="57" t="n"/>
      <c r="CX74" s="66">
        <f>CN74</f>
        <v/>
      </c>
      <c r="CY74" s="59" t="n"/>
      <c r="CZ74" s="57" t="n"/>
      <c r="DA74" s="57" t="n"/>
      <c r="DB74" s="57" t="n"/>
      <c r="DC74" s="57" t="n"/>
      <c r="DD74" s="67">
        <f>SUM(CZ74:DC74)</f>
        <v/>
      </c>
      <c r="DE74" s="61" t="n"/>
      <c r="DF74" s="57" t="n"/>
      <c r="DG74" s="66">
        <f>CW74</f>
        <v/>
      </c>
      <c r="DH74" s="59" t="n"/>
      <c r="DI74" s="57" t="n"/>
      <c r="DJ74" s="57" t="n"/>
      <c r="DK74" s="57" t="n"/>
      <c r="DL74" s="57" t="n"/>
      <c r="DM74" s="67">
        <f>SUM(DI74:DL74)</f>
        <v/>
      </c>
      <c r="DN74" s="61" t="n"/>
      <c r="DO74" s="57" t="n"/>
      <c r="DP74" s="66">
        <f>DF74</f>
        <v/>
      </c>
      <c r="DQ74" s="59" t="n"/>
      <c r="DR74" s="57" t="n"/>
      <c r="DS74" s="57" t="n"/>
      <c r="DT74" s="57" t="n"/>
      <c r="DU74" s="57" t="n"/>
      <c r="DV74" s="67">
        <f>SUM(DR74:DU74)</f>
        <v/>
      </c>
      <c r="DW74" s="61" t="n"/>
      <c r="DX74" s="57" t="n"/>
      <c r="DY74" s="66">
        <f>DO74</f>
        <v/>
      </c>
      <c r="DZ74" s="59" t="n"/>
      <c r="EA74" s="57" t="n"/>
      <c r="EB74" s="57" t="n"/>
      <c r="EC74" s="57" t="n"/>
      <c r="ED74" s="57" t="n"/>
      <c r="EE74" s="67">
        <f>SUM(EA74:ED74)</f>
        <v/>
      </c>
      <c r="EF74" s="61" t="n"/>
      <c r="EG74" s="57" t="n"/>
      <c r="EH74" s="66">
        <f>DX74</f>
        <v/>
      </c>
      <c r="EI74" s="59" t="n"/>
      <c r="EJ74" s="57" t="n"/>
      <c r="EK74" s="57" t="n"/>
      <c r="EL74" s="57" t="n"/>
      <c r="EM74" s="57" t="n"/>
      <c r="EN74" s="67">
        <f>SUM(EJ74:EM74)</f>
        <v/>
      </c>
      <c r="EO74" s="61" t="n"/>
      <c r="EP74" s="57" t="n"/>
      <c r="EQ74" s="66">
        <f>EG74</f>
        <v/>
      </c>
      <c r="ER74" s="59" t="n"/>
      <c r="ES74" s="57" t="n"/>
      <c r="ET74" s="57" t="n"/>
      <c r="EU74" s="57" t="n"/>
      <c r="EV74" s="57" t="n"/>
      <c r="EW74" s="67">
        <f>SUM(ES74:EV74)</f>
        <v/>
      </c>
      <c r="EX74" s="61" t="n"/>
      <c r="EY74" s="57" t="n"/>
      <c r="EZ74" s="66">
        <f>EP74</f>
        <v/>
      </c>
      <c r="FA74" s="59" t="n"/>
      <c r="FB74" s="57" t="n"/>
      <c r="FC74" s="57" t="n"/>
      <c r="FD74" s="57" t="n"/>
      <c r="FE74" s="57" t="n"/>
      <c r="FF74" s="67">
        <f>SUM(FB74:FE74)</f>
        <v/>
      </c>
      <c r="FG74" s="61" t="n"/>
      <c r="FH74" s="57" t="n"/>
      <c r="FI74" s="66">
        <f>EY74</f>
        <v/>
      </c>
      <c r="FJ74" s="59" t="n"/>
      <c r="FK74" s="57" t="n"/>
      <c r="FL74" s="57" t="n"/>
      <c r="FM74" s="57" t="n"/>
      <c r="FN74" s="57" t="n"/>
      <c r="FO74" s="67">
        <f>SUM(FK74:FN74)</f>
        <v/>
      </c>
      <c r="FP74" s="61" t="n"/>
      <c r="FQ74" s="57" t="n"/>
      <c r="FR74" s="66">
        <f>FH74</f>
        <v/>
      </c>
      <c r="FS74" s="59" t="n"/>
      <c r="FT74" s="57" t="n"/>
      <c r="FU74" s="57" t="n"/>
      <c r="FV74" s="57" t="n"/>
      <c r="FW74" s="57" t="n"/>
      <c r="FX74" s="67">
        <f>SUM(FT74:FW74)</f>
        <v/>
      </c>
      <c r="FY74" s="61" t="n"/>
      <c r="FZ74" s="57" t="n"/>
      <c r="GA74" s="66">
        <f>FQ74</f>
        <v/>
      </c>
      <c r="GB74" s="59" t="n"/>
      <c r="GC74" s="57" t="n"/>
      <c r="GD74" s="57" t="n"/>
      <c r="GE74" s="57" t="n"/>
      <c r="GF74" s="57" t="n"/>
      <c r="GG74" s="67">
        <f>SUM(GC74:GF74)</f>
        <v/>
      </c>
      <c r="GH74" s="61" t="n"/>
      <c r="GI74" s="57" t="n"/>
      <c r="GJ74" s="66">
        <f>FZ74</f>
        <v/>
      </c>
      <c r="GK74" s="59" t="n"/>
      <c r="GL74" s="57" t="n"/>
      <c r="GM74" s="57" t="n"/>
      <c r="GN74" s="57" t="n"/>
      <c r="GO74" s="57" t="n"/>
      <c r="GP74" s="67">
        <f>SUM(GL74:GO74)</f>
        <v/>
      </c>
      <c r="GQ74" s="61" t="n"/>
      <c r="GR74" s="57" t="n"/>
      <c r="GS74" s="66">
        <f>GI74</f>
        <v/>
      </c>
      <c r="GT74" s="59" t="n"/>
      <c r="GU74" s="57" t="n"/>
      <c r="GV74" s="57" t="n"/>
      <c r="GW74" s="57" t="n"/>
      <c r="GX74" s="57" t="n"/>
      <c r="GY74" s="67">
        <f>SUM(GU74:GX74)</f>
        <v/>
      </c>
      <c r="GZ74" s="61" t="n"/>
      <c r="HA74" s="57" t="n"/>
      <c r="HB74" s="66">
        <f>GR74</f>
        <v/>
      </c>
      <c r="HC74" s="59" t="n"/>
      <c r="HD74" s="57" t="n"/>
      <c r="HE74" s="57" t="n"/>
      <c r="HF74" s="57" t="n"/>
      <c r="HG74" s="57" t="n"/>
      <c r="HH74" s="67">
        <f>SUM(HD74:HG74)</f>
        <v/>
      </c>
      <c r="HI74" s="61" t="n"/>
      <c r="HJ74" s="57" t="n"/>
      <c r="HK74" s="66">
        <f>HA74</f>
        <v/>
      </c>
      <c r="HL74" s="59" t="n"/>
      <c r="HM74" s="57" t="n"/>
      <c r="HN74" s="57" t="n"/>
      <c r="HO74" s="57" t="n"/>
      <c r="HP74" s="57" t="n"/>
      <c r="HQ74" s="67">
        <f>SUM(HM74:HP74)</f>
        <v/>
      </c>
      <c r="HR74" s="61" t="n"/>
      <c r="HS74" s="57" t="n"/>
      <c r="HT74" s="66">
        <f>HJ74</f>
        <v/>
      </c>
      <c r="HU74" s="59" t="n"/>
      <c r="HV74" s="57" t="n"/>
      <c r="HW74" s="57" t="n"/>
      <c r="HX74" s="57" t="n"/>
      <c r="HY74" s="57" t="n"/>
      <c r="HZ74" s="67">
        <f>SUM(HV74:HY74)</f>
        <v/>
      </c>
      <c r="IA74" s="61" t="n"/>
      <c r="IB74" s="57" t="n"/>
      <c r="IC74" s="66">
        <f>HS74</f>
        <v/>
      </c>
      <c r="ID74" s="59" t="n"/>
      <c r="IE74" s="57" t="n"/>
      <c r="IF74" s="57" t="n"/>
      <c r="IG74" s="57" t="n"/>
      <c r="IH74" s="57" t="n"/>
      <c r="II74" s="67">
        <f>SUM(IE74:IH74)</f>
        <v/>
      </c>
      <c r="IJ74" s="61" t="n"/>
      <c r="IK74" s="57" t="n"/>
      <c r="IL74" s="66">
        <f>IB74</f>
        <v/>
      </c>
      <c r="IM74" s="59" t="n"/>
      <c r="IN74" s="57" t="n"/>
      <c r="IO74" s="57" t="n"/>
      <c r="IP74" s="57" t="n"/>
      <c r="IQ74" s="57" t="n"/>
      <c r="IR74" s="67">
        <f>SUM(IN74:IQ74)</f>
        <v/>
      </c>
      <c r="IS74" s="61" t="n"/>
      <c r="IT74" s="57" t="n"/>
      <c r="IU74" s="66">
        <f>IK74</f>
        <v/>
      </c>
      <c r="IV74" s="59" t="n"/>
      <c r="IW74" s="57" t="n"/>
      <c r="IX74" s="57" t="n"/>
      <c r="IY74" s="57" t="n"/>
      <c r="IZ74" s="57" t="n"/>
      <c r="JA74" s="67">
        <f>SUM(IW74:IZ74)</f>
        <v/>
      </c>
      <c r="JB74" s="61" t="n"/>
      <c r="JC74" s="57" t="n"/>
      <c r="JD74" s="66">
        <f>IT74</f>
        <v/>
      </c>
      <c r="JE74" s="59" t="n"/>
      <c r="JF74" s="57" t="n"/>
      <c r="JG74" s="57" t="n"/>
      <c r="JH74" s="57" t="n"/>
      <c r="JI74" s="57" t="n"/>
      <c r="JJ74" s="67">
        <f>SUM(JF74:JI74)</f>
        <v/>
      </c>
      <c r="JK74" s="61" t="n"/>
      <c r="JL74" s="57" t="n"/>
      <c r="JM74" s="66">
        <f>JC74</f>
        <v/>
      </c>
      <c r="JN74" s="59" t="n"/>
      <c r="JO74" s="57" t="n"/>
      <c r="JP74" s="57" t="n"/>
      <c r="JQ74" s="57" t="n"/>
      <c r="JR74" s="57" t="n"/>
      <c r="JS74" s="67">
        <f>SUM(JO74:JR74)</f>
        <v/>
      </c>
      <c r="JT74" s="61" t="n"/>
      <c r="JU74" s="62">
        <f>I74+R74+AA74+AJ74+AS74+BB74+BK74+BT74+CC74+CL74+CU74+DD74+DM74+DV74+EE74+EN74+EW74+FF74+FO74+FX74+GG74+GP74+GY74+HH74+HQ74+HZ74+II74+IR74+JA74+JJ74+JS74</f>
        <v/>
      </c>
      <c r="JV74" s="63">
        <f>D74+M74+V74+AE74+AN74+AW74+BF74+BO74+BX74+CG74+CP74+CY74+DH74+DQ74+DZ74+EI74+ER74+FA74+FJ74+FS74+GB74+GK74+GT74+HC74+HL74+HU74+ID74+IM74+IV74+JE74+JN74</f>
        <v/>
      </c>
      <c r="JW74" s="62">
        <f>CHOOSE($Z$3,B74, K74, T74, AC74, AL74, AU74, BD74, BM74, BV74, CE74, CN74, CW74, DF74, DO74, DX74, EG74, EP74, EY74, FH74, FQ74, FZ74, GI74, GR74, HA74, HJ74, HS74, IB74, IK74, IT74, JC74, JL74)</f>
        <v/>
      </c>
      <c r="JX74" s="62">
        <f>IFERROR(JU74/$Z$3,0)</f>
        <v/>
      </c>
      <c r="JY74" s="62">
        <f>Configurações!$C$14</f>
        <v/>
      </c>
      <c r="JZ74" s="64">
        <f>IF(JY74=0,"— Sem meta",IF(JU74&gt;=JY74,"✓ Atingida","Em andamento"))</f>
        <v/>
      </c>
      <c r="KA74" s="65">
        <f>JU74+(6*0.0000001)</f>
        <v/>
      </c>
    </row>
    <row r="75" ht="20" customHeight="1">
      <c r="A75" s="56">
        <f>IF(Configurações!$B$15="","Assessor 9",Configurações!$B$15)</f>
        <v/>
      </c>
      <c r="B75" s="57" t="n"/>
      <c r="C75" s="58">
        <f>'Novembro'!$JW75</f>
        <v/>
      </c>
      <c r="D75" s="59" t="n"/>
      <c r="E75" s="57" t="n"/>
      <c r="F75" s="57" t="n"/>
      <c r="G75" s="57" t="n"/>
      <c r="H75" s="57" t="n"/>
      <c r="I75" s="60">
        <f>SUM(E75:H75)</f>
        <v/>
      </c>
      <c r="J75" s="61" t="n"/>
      <c r="K75" s="57" t="n"/>
      <c r="L75" s="58">
        <f>B75</f>
        <v/>
      </c>
      <c r="M75" s="59" t="n"/>
      <c r="N75" s="57" t="n"/>
      <c r="O75" s="57" t="n"/>
      <c r="P75" s="57" t="n"/>
      <c r="Q75" s="57" t="n"/>
      <c r="R75" s="60">
        <f>SUM(N75:Q75)</f>
        <v/>
      </c>
      <c r="S75" s="61" t="n"/>
      <c r="T75" s="57" t="n"/>
      <c r="U75" s="58">
        <f>K75</f>
        <v/>
      </c>
      <c r="V75" s="59" t="n"/>
      <c r="W75" s="57" t="n"/>
      <c r="X75" s="57" t="n"/>
      <c r="Y75" s="57" t="n"/>
      <c r="Z75" s="57" t="n"/>
      <c r="AA75" s="60">
        <f>SUM(W75:Z75)</f>
        <v/>
      </c>
      <c r="AB75" s="61" t="n"/>
      <c r="AC75" s="57" t="n"/>
      <c r="AD75" s="58">
        <f>T75</f>
        <v/>
      </c>
      <c r="AE75" s="59" t="n"/>
      <c r="AF75" s="57" t="n"/>
      <c r="AG75" s="57" t="n"/>
      <c r="AH75" s="57" t="n"/>
      <c r="AI75" s="57" t="n"/>
      <c r="AJ75" s="60">
        <f>SUM(AF75:AI75)</f>
        <v/>
      </c>
      <c r="AK75" s="61" t="n"/>
      <c r="AL75" s="57" t="n"/>
      <c r="AM75" s="58">
        <f>AC75</f>
        <v/>
      </c>
      <c r="AN75" s="59" t="n"/>
      <c r="AO75" s="57" t="n"/>
      <c r="AP75" s="57" t="n"/>
      <c r="AQ75" s="57" t="n"/>
      <c r="AR75" s="57" t="n"/>
      <c r="AS75" s="60">
        <f>SUM(AO75:AR75)</f>
        <v/>
      </c>
      <c r="AT75" s="61" t="n"/>
      <c r="AU75" s="57" t="n"/>
      <c r="AV75" s="58">
        <f>AL75</f>
        <v/>
      </c>
      <c r="AW75" s="59" t="n"/>
      <c r="AX75" s="57" t="n"/>
      <c r="AY75" s="57" t="n"/>
      <c r="AZ75" s="57" t="n"/>
      <c r="BA75" s="57" t="n"/>
      <c r="BB75" s="60">
        <f>SUM(AX75:BA75)</f>
        <v/>
      </c>
      <c r="BC75" s="61" t="n"/>
      <c r="BD75" s="57" t="n"/>
      <c r="BE75" s="58">
        <f>AU75</f>
        <v/>
      </c>
      <c r="BF75" s="59" t="n"/>
      <c r="BG75" s="57" t="n"/>
      <c r="BH75" s="57" t="n"/>
      <c r="BI75" s="57" t="n"/>
      <c r="BJ75" s="57" t="n"/>
      <c r="BK75" s="60">
        <f>SUM(BG75:BJ75)</f>
        <v/>
      </c>
      <c r="BL75" s="61" t="n"/>
      <c r="BM75" s="57" t="n"/>
      <c r="BN75" s="58">
        <f>BD75</f>
        <v/>
      </c>
      <c r="BO75" s="59" t="n"/>
      <c r="BP75" s="57" t="n"/>
      <c r="BQ75" s="57" t="n"/>
      <c r="BR75" s="57" t="n"/>
      <c r="BS75" s="57" t="n"/>
      <c r="BT75" s="60">
        <f>SUM(BP75:BS75)</f>
        <v/>
      </c>
      <c r="BU75" s="61" t="n"/>
      <c r="BV75" s="57" t="n"/>
      <c r="BW75" s="58">
        <f>BM75</f>
        <v/>
      </c>
      <c r="BX75" s="59" t="n"/>
      <c r="BY75" s="57" t="n"/>
      <c r="BZ75" s="57" t="n"/>
      <c r="CA75" s="57" t="n"/>
      <c r="CB75" s="57" t="n"/>
      <c r="CC75" s="60">
        <f>SUM(BY75:CB75)</f>
        <v/>
      </c>
      <c r="CD75" s="61" t="n"/>
      <c r="CE75" s="57" t="n"/>
      <c r="CF75" s="58">
        <f>BV75</f>
        <v/>
      </c>
      <c r="CG75" s="59" t="n"/>
      <c r="CH75" s="57" t="n"/>
      <c r="CI75" s="57" t="n"/>
      <c r="CJ75" s="57" t="n"/>
      <c r="CK75" s="57" t="n"/>
      <c r="CL75" s="60">
        <f>SUM(CH75:CK75)</f>
        <v/>
      </c>
      <c r="CM75" s="61" t="n"/>
      <c r="CN75" s="57" t="n"/>
      <c r="CO75" s="58">
        <f>CE75</f>
        <v/>
      </c>
      <c r="CP75" s="59" t="n"/>
      <c r="CQ75" s="57" t="n"/>
      <c r="CR75" s="57" t="n"/>
      <c r="CS75" s="57" t="n"/>
      <c r="CT75" s="57" t="n"/>
      <c r="CU75" s="60">
        <f>SUM(CQ75:CT75)</f>
        <v/>
      </c>
      <c r="CV75" s="61" t="n"/>
      <c r="CW75" s="57" t="n"/>
      <c r="CX75" s="58">
        <f>CN75</f>
        <v/>
      </c>
      <c r="CY75" s="59" t="n"/>
      <c r="CZ75" s="57" t="n"/>
      <c r="DA75" s="57" t="n"/>
      <c r="DB75" s="57" t="n"/>
      <c r="DC75" s="57" t="n"/>
      <c r="DD75" s="60">
        <f>SUM(CZ75:DC75)</f>
        <v/>
      </c>
      <c r="DE75" s="61" t="n"/>
      <c r="DF75" s="57" t="n"/>
      <c r="DG75" s="58">
        <f>CW75</f>
        <v/>
      </c>
      <c r="DH75" s="59" t="n"/>
      <c r="DI75" s="57" t="n"/>
      <c r="DJ75" s="57" t="n"/>
      <c r="DK75" s="57" t="n"/>
      <c r="DL75" s="57" t="n"/>
      <c r="DM75" s="60">
        <f>SUM(DI75:DL75)</f>
        <v/>
      </c>
      <c r="DN75" s="61" t="n"/>
      <c r="DO75" s="57" t="n"/>
      <c r="DP75" s="58">
        <f>DF75</f>
        <v/>
      </c>
      <c r="DQ75" s="59" t="n"/>
      <c r="DR75" s="57" t="n"/>
      <c r="DS75" s="57" t="n"/>
      <c r="DT75" s="57" t="n"/>
      <c r="DU75" s="57" t="n"/>
      <c r="DV75" s="60">
        <f>SUM(DR75:DU75)</f>
        <v/>
      </c>
      <c r="DW75" s="61" t="n"/>
      <c r="DX75" s="57" t="n"/>
      <c r="DY75" s="58">
        <f>DO75</f>
        <v/>
      </c>
      <c r="DZ75" s="59" t="n"/>
      <c r="EA75" s="57" t="n"/>
      <c r="EB75" s="57" t="n"/>
      <c r="EC75" s="57" t="n"/>
      <c r="ED75" s="57" t="n"/>
      <c r="EE75" s="60">
        <f>SUM(EA75:ED75)</f>
        <v/>
      </c>
      <c r="EF75" s="61" t="n"/>
      <c r="EG75" s="57" t="n"/>
      <c r="EH75" s="58">
        <f>DX75</f>
        <v/>
      </c>
      <c r="EI75" s="59" t="n"/>
      <c r="EJ75" s="57" t="n"/>
      <c r="EK75" s="57" t="n"/>
      <c r="EL75" s="57" t="n"/>
      <c r="EM75" s="57" t="n"/>
      <c r="EN75" s="60">
        <f>SUM(EJ75:EM75)</f>
        <v/>
      </c>
      <c r="EO75" s="61" t="n"/>
      <c r="EP75" s="57" t="n"/>
      <c r="EQ75" s="58">
        <f>EG75</f>
        <v/>
      </c>
      <c r="ER75" s="59" t="n"/>
      <c r="ES75" s="57" t="n"/>
      <c r="ET75" s="57" t="n"/>
      <c r="EU75" s="57" t="n"/>
      <c r="EV75" s="57" t="n"/>
      <c r="EW75" s="60">
        <f>SUM(ES75:EV75)</f>
        <v/>
      </c>
      <c r="EX75" s="61" t="n"/>
      <c r="EY75" s="57" t="n"/>
      <c r="EZ75" s="58">
        <f>EP75</f>
        <v/>
      </c>
      <c r="FA75" s="59" t="n"/>
      <c r="FB75" s="57" t="n"/>
      <c r="FC75" s="57" t="n"/>
      <c r="FD75" s="57" t="n"/>
      <c r="FE75" s="57" t="n"/>
      <c r="FF75" s="60">
        <f>SUM(FB75:FE75)</f>
        <v/>
      </c>
      <c r="FG75" s="61" t="n"/>
      <c r="FH75" s="57" t="n"/>
      <c r="FI75" s="58">
        <f>EY75</f>
        <v/>
      </c>
      <c r="FJ75" s="59" t="n"/>
      <c r="FK75" s="57" t="n"/>
      <c r="FL75" s="57" t="n"/>
      <c r="FM75" s="57" t="n"/>
      <c r="FN75" s="57" t="n"/>
      <c r="FO75" s="60">
        <f>SUM(FK75:FN75)</f>
        <v/>
      </c>
      <c r="FP75" s="61" t="n"/>
      <c r="FQ75" s="57" t="n"/>
      <c r="FR75" s="58">
        <f>FH75</f>
        <v/>
      </c>
      <c r="FS75" s="59" t="n"/>
      <c r="FT75" s="57" t="n"/>
      <c r="FU75" s="57" t="n"/>
      <c r="FV75" s="57" t="n"/>
      <c r="FW75" s="57" t="n"/>
      <c r="FX75" s="60">
        <f>SUM(FT75:FW75)</f>
        <v/>
      </c>
      <c r="FY75" s="61" t="n"/>
      <c r="FZ75" s="57" t="n"/>
      <c r="GA75" s="58">
        <f>FQ75</f>
        <v/>
      </c>
      <c r="GB75" s="59" t="n"/>
      <c r="GC75" s="57" t="n"/>
      <c r="GD75" s="57" t="n"/>
      <c r="GE75" s="57" t="n"/>
      <c r="GF75" s="57" t="n"/>
      <c r="GG75" s="60">
        <f>SUM(GC75:GF75)</f>
        <v/>
      </c>
      <c r="GH75" s="61" t="n"/>
      <c r="GI75" s="57" t="n"/>
      <c r="GJ75" s="58">
        <f>FZ75</f>
        <v/>
      </c>
      <c r="GK75" s="59" t="n"/>
      <c r="GL75" s="57" t="n"/>
      <c r="GM75" s="57" t="n"/>
      <c r="GN75" s="57" t="n"/>
      <c r="GO75" s="57" t="n"/>
      <c r="GP75" s="60">
        <f>SUM(GL75:GO75)</f>
        <v/>
      </c>
      <c r="GQ75" s="61" t="n"/>
      <c r="GR75" s="57" t="n"/>
      <c r="GS75" s="58">
        <f>GI75</f>
        <v/>
      </c>
      <c r="GT75" s="59" t="n"/>
      <c r="GU75" s="57" t="n"/>
      <c r="GV75" s="57" t="n"/>
      <c r="GW75" s="57" t="n"/>
      <c r="GX75" s="57" t="n"/>
      <c r="GY75" s="60">
        <f>SUM(GU75:GX75)</f>
        <v/>
      </c>
      <c r="GZ75" s="61" t="n"/>
      <c r="HA75" s="57" t="n"/>
      <c r="HB75" s="58">
        <f>GR75</f>
        <v/>
      </c>
      <c r="HC75" s="59" t="n"/>
      <c r="HD75" s="57" t="n"/>
      <c r="HE75" s="57" t="n"/>
      <c r="HF75" s="57" t="n"/>
      <c r="HG75" s="57" t="n"/>
      <c r="HH75" s="60">
        <f>SUM(HD75:HG75)</f>
        <v/>
      </c>
      <c r="HI75" s="61" t="n"/>
      <c r="HJ75" s="57" t="n"/>
      <c r="HK75" s="58">
        <f>HA75</f>
        <v/>
      </c>
      <c r="HL75" s="59" t="n"/>
      <c r="HM75" s="57" t="n"/>
      <c r="HN75" s="57" t="n"/>
      <c r="HO75" s="57" t="n"/>
      <c r="HP75" s="57" t="n"/>
      <c r="HQ75" s="60">
        <f>SUM(HM75:HP75)</f>
        <v/>
      </c>
      <c r="HR75" s="61" t="n"/>
      <c r="HS75" s="57" t="n"/>
      <c r="HT75" s="58">
        <f>HJ75</f>
        <v/>
      </c>
      <c r="HU75" s="59" t="n"/>
      <c r="HV75" s="57" t="n"/>
      <c r="HW75" s="57" t="n"/>
      <c r="HX75" s="57" t="n"/>
      <c r="HY75" s="57" t="n"/>
      <c r="HZ75" s="60">
        <f>SUM(HV75:HY75)</f>
        <v/>
      </c>
      <c r="IA75" s="61" t="n"/>
      <c r="IB75" s="57" t="n"/>
      <c r="IC75" s="58">
        <f>HS75</f>
        <v/>
      </c>
      <c r="ID75" s="59" t="n"/>
      <c r="IE75" s="57" t="n"/>
      <c r="IF75" s="57" t="n"/>
      <c r="IG75" s="57" t="n"/>
      <c r="IH75" s="57" t="n"/>
      <c r="II75" s="60">
        <f>SUM(IE75:IH75)</f>
        <v/>
      </c>
      <c r="IJ75" s="61" t="n"/>
      <c r="IK75" s="57" t="n"/>
      <c r="IL75" s="58">
        <f>IB75</f>
        <v/>
      </c>
      <c r="IM75" s="59" t="n"/>
      <c r="IN75" s="57" t="n"/>
      <c r="IO75" s="57" t="n"/>
      <c r="IP75" s="57" t="n"/>
      <c r="IQ75" s="57" t="n"/>
      <c r="IR75" s="60">
        <f>SUM(IN75:IQ75)</f>
        <v/>
      </c>
      <c r="IS75" s="61" t="n"/>
      <c r="IT75" s="57" t="n"/>
      <c r="IU75" s="58">
        <f>IK75</f>
        <v/>
      </c>
      <c r="IV75" s="59" t="n"/>
      <c r="IW75" s="57" t="n"/>
      <c r="IX75" s="57" t="n"/>
      <c r="IY75" s="57" t="n"/>
      <c r="IZ75" s="57" t="n"/>
      <c r="JA75" s="60">
        <f>SUM(IW75:IZ75)</f>
        <v/>
      </c>
      <c r="JB75" s="61" t="n"/>
      <c r="JC75" s="57" t="n"/>
      <c r="JD75" s="58">
        <f>IT75</f>
        <v/>
      </c>
      <c r="JE75" s="59" t="n"/>
      <c r="JF75" s="57" t="n"/>
      <c r="JG75" s="57" t="n"/>
      <c r="JH75" s="57" t="n"/>
      <c r="JI75" s="57" t="n"/>
      <c r="JJ75" s="60">
        <f>SUM(JF75:JI75)</f>
        <v/>
      </c>
      <c r="JK75" s="61" t="n"/>
      <c r="JL75" s="57" t="n"/>
      <c r="JM75" s="58">
        <f>JC75</f>
        <v/>
      </c>
      <c r="JN75" s="59" t="n"/>
      <c r="JO75" s="57" t="n"/>
      <c r="JP75" s="57" t="n"/>
      <c r="JQ75" s="57" t="n"/>
      <c r="JR75" s="57" t="n"/>
      <c r="JS75" s="60">
        <f>SUM(JO75:JR75)</f>
        <v/>
      </c>
      <c r="JT75" s="61" t="n"/>
      <c r="JU75" s="62">
        <f>I75+R75+AA75+AJ75+AS75+BB75+BK75+BT75+CC75+CL75+CU75+DD75+DM75+DV75+EE75+EN75+EW75+FF75+FO75+FX75+GG75+GP75+GY75+HH75+HQ75+HZ75+II75+IR75+JA75+JJ75+JS75</f>
        <v/>
      </c>
      <c r="JV75" s="63">
        <f>D75+M75+V75+AE75+AN75+AW75+BF75+BO75+BX75+CG75+CP75+CY75+DH75+DQ75+DZ75+EI75+ER75+FA75+FJ75+FS75+GB75+GK75+GT75+HC75+HL75+HU75+ID75+IM75+IV75+JE75+JN75</f>
        <v/>
      </c>
      <c r="JW75" s="62">
        <f>CHOOSE($Z$3,B75, K75, T75, AC75, AL75, AU75, BD75, BM75, BV75, CE75, CN75, CW75, DF75, DO75, DX75, EG75, EP75, EY75, FH75, FQ75, FZ75, GI75, GR75, HA75, HJ75, HS75, IB75, IK75, IT75, JC75, JL75)</f>
        <v/>
      </c>
      <c r="JX75" s="62">
        <f>IFERROR(JU75/$Z$3,0)</f>
        <v/>
      </c>
      <c r="JY75" s="62">
        <f>Configurações!$C$15</f>
        <v/>
      </c>
      <c r="JZ75" s="64">
        <f>IF(JY75=0,"— Sem meta",IF(JU75&gt;=JY75,"✓ Atingida","Em andamento"))</f>
        <v/>
      </c>
      <c r="KA75" s="65">
        <f>JU75+(5*0.0000001)</f>
        <v/>
      </c>
    </row>
    <row r="76" ht="20" customHeight="1">
      <c r="A76" s="56">
        <f>IF(Configurações!$B$16="","Assessor 10",Configurações!$B$16)</f>
        <v/>
      </c>
      <c r="B76" s="57" t="n"/>
      <c r="C76" s="66">
        <f>'Novembro'!$JW76</f>
        <v/>
      </c>
      <c r="D76" s="59" t="n"/>
      <c r="E76" s="57" t="n"/>
      <c r="F76" s="57" t="n"/>
      <c r="G76" s="57" t="n"/>
      <c r="H76" s="57" t="n"/>
      <c r="I76" s="67">
        <f>SUM(E76:H76)</f>
        <v/>
      </c>
      <c r="J76" s="61" t="n"/>
      <c r="K76" s="57" t="n"/>
      <c r="L76" s="66">
        <f>B76</f>
        <v/>
      </c>
      <c r="M76" s="59" t="n"/>
      <c r="N76" s="57" t="n"/>
      <c r="O76" s="57" t="n"/>
      <c r="P76" s="57" t="n"/>
      <c r="Q76" s="57" t="n"/>
      <c r="R76" s="67">
        <f>SUM(N76:Q76)</f>
        <v/>
      </c>
      <c r="S76" s="61" t="n"/>
      <c r="T76" s="57" t="n"/>
      <c r="U76" s="66">
        <f>K76</f>
        <v/>
      </c>
      <c r="V76" s="59" t="n"/>
      <c r="W76" s="57" t="n"/>
      <c r="X76" s="57" t="n"/>
      <c r="Y76" s="57" t="n"/>
      <c r="Z76" s="57" t="n"/>
      <c r="AA76" s="67">
        <f>SUM(W76:Z76)</f>
        <v/>
      </c>
      <c r="AB76" s="61" t="n"/>
      <c r="AC76" s="57" t="n"/>
      <c r="AD76" s="66">
        <f>T76</f>
        <v/>
      </c>
      <c r="AE76" s="59" t="n"/>
      <c r="AF76" s="57" t="n"/>
      <c r="AG76" s="57" t="n"/>
      <c r="AH76" s="57" t="n"/>
      <c r="AI76" s="57" t="n"/>
      <c r="AJ76" s="67">
        <f>SUM(AF76:AI76)</f>
        <v/>
      </c>
      <c r="AK76" s="61" t="n"/>
      <c r="AL76" s="57" t="n"/>
      <c r="AM76" s="66">
        <f>AC76</f>
        <v/>
      </c>
      <c r="AN76" s="59" t="n"/>
      <c r="AO76" s="57" t="n"/>
      <c r="AP76" s="57" t="n"/>
      <c r="AQ76" s="57" t="n"/>
      <c r="AR76" s="57" t="n"/>
      <c r="AS76" s="67">
        <f>SUM(AO76:AR76)</f>
        <v/>
      </c>
      <c r="AT76" s="61" t="n"/>
      <c r="AU76" s="57" t="n"/>
      <c r="AV76" s="66">
        <f>AL76</f>
        <v/>
      </c>
      <c r="AW76" s="59" t="n"/>
      <c r="AX76" s="57" t="n"/>
      <c r="AY76" s="57" t="n"/>
      <c r="AZ76" s="57" t="n"/>
      <c r="BA76" s="57" t="n"/>
      <c r="BB76" s="67">
        <f>SUM(AX76:BA76)</f>
        <v/>
      </c>
      <c r="BC76" s="61" t="n"/>
      <c r="BD76" s="57" t="n"/>
      <c r="BE76" s="66">
        <f>AU76</f>
        <v/>
      </c>
      <c r="BF76" s="59" t="n"/>
      <c r="BG76" s="57" t="n"/>
      <c r="BH76" s="57" t="n"/>
      <c r="BI76" s="57" t="n"/>
      <c r="BJ76" s="57" t="n"/>
      <c r="BK76" s="67">
        <f>SUM(BG76:BJ76)</f>
        <v/>
      </c>
      <c r="BL76" s="61" t="n"/>
      <c r="BM76" s="57" t="n"/>
      <c r="BN76" s="66">
        <f>BD76</f>
        <v/>
      </c>
      <c r="BO76" s="59" t="n"/>
      <c r="BP76" s="57" t="n"/>
      <c r="BQ76" s="57" t="n"/>
      <c r="BR76" s="57" t="n"/>
      <c r="BS76" s="57" t="n"/>
      <c r="BT76" s="67">
        <f>SUM(BP76:BS76)</f>
        <v/>
      </c>
      <c r="BU76" s="61" t="n"/>
      <c r="BV76" s="57" t="n"/>
      <c r="BW76" s="66">
        <f>BM76</f>
        <v/>
      </c>
      <c r="BX76" s="59" t="n"/>
      <c r="BY76" s="57" t="n"/>
      <c r="BZ76" s="57" t="n"/>
      <c r="CA76" s="57" t="n"/>
      <c r="CB76" s="57" t="n"/>
      <c r="CC76" s="67">
        <f>SUM(BY76:CB76)</f>
        <v/>
      </c>
      <c r="CD76" s="61" t="n"/>
      <c r="CE76" s="57" t="n"/>
      <c r="CF76" s="66">
        <f>BV76</f>
        <v/>
      </c>
      <c r="CG76" s="59" t="n"/>
      <c r="CH76" s="57" t="n"/>
      <c r="CI76" s="57" t="n"/>
      <c r="CJ76" s="57" t="n"/>
      <c r="CK76" s="57" t="n"/>
      <c r="CL76" s="67">
        <f>SUM(CH76:CK76)</f>
        <v/>
      </c>
      <c r="CM76" s="61" t="n"/>
      <c r="CN76" s="57" t="n"/>
      <c r="CO76" s="66">
        <f>CE76</f>
        <v/>
      </c>
      <c r="CP76" s="59" t="n"/>
      <c r="CQ76" s="57" t="n"/>
      <c r="CR76" s="57" t="n"/>
      <c r="CS76" s="57" t="n"/>
      <c r="CT76" s="57" t="n"/>
      <c r="CU76" s="67">
        <f>SUM(CQ76:CT76)</f>
        <v/>
      </c>
      <c r="CV76" s="61" t="n"/>
      <c r="CW76" s="57" t="n"/>
      <c r="CX76" s="66">
        <f>CN76</f>
        <v/>
      </c>
      <c r="CY76" s="59" t="n"/>
      <c r="CZ76" s="57" t="n"/>
      <c r="DA76" s="57" t="n"/>
      <c r="DB76" s="57" t="n"/>
      <c r="DC76" s="57" t="n"/>
      <c r="DD76" s="67">
        <f>SUM(CZ76:DC76)</f>
        <v/>
      </c>
      <c r="DE76" s="61" t="n"/>
      <c r="DF76" s="57" t="n"/>
      <c r="DG76" s="66">
        <f>CW76</f>
        <v/>
      </c>
      <c r="DH76" s="59" t="n"/>
      <c r="DI76" s="57" t="n"/>
      <c r="DJ76" s="57" t="n"/>
      <c r="DK76" s="57" t="n"/>
      <c r="DL76" s="57" t="n"/>
      <c r="DM76" s="67">
        <f>SUM(DI76:DL76)</f>
        <v/>
      </c>
      <c r="DN76" s="61" t="n"/>
      <c r="DO76" s="57" t="n"/>
      <c r="DP76" s="66">
        <f>DF76</f>
        <v/>
      </c>
      <c r="DQ76" s="59" t="n"/>
      <c r="DR76" s="57" t="n"/>
      <c r="DS76" s="57" t="n"/>
      <c r="DT76" s="57" t="n"/>
      <c r="DU76" s="57" t="n"/>
      <c r="DV76" s="67">
        <f>SUM(DR76:DU76)</f>
        <v/>
      </c>
      <c r="DW76" s="61" t="n"/>
      <c r="DX76" s="57" t="n"/>
      <c r="DY76" s="66">
        <f>DO76</f>
        <v/>
      </c>
      <c r="DZ76" s="59" t="n"/>
      <c r="EA76" s="57" t="n"/>
      <c r="EB76" s="57" t="n"/>
      <c r="EC76" s="57" t="n"/>
      <c r="ED76" s="57" t="n"/>
      <c r="EE76" s="67">
        <f>SUM(EA76:ED76)</f>
        <v/>
      </c>
      <c r="EF76" s="61" t="n"/>
      <c r="EG76" s="57" t="n"/>
      <c r="EH76" s="66">
        <f>DX76</f>
        <v/>
      </c>
      <c r="EI76" s="59" t="n"/>
      <c r="EJ76" s="57" t="n"/>
      <c r="EK76" s="57" t="n"/>
      <c r="EL76" s="57" t="n"/>
      <c r="EM76" s="57" t="n"/>
      <c r="EN76" s="67">
        <f>SUM(EJ76:EM76)</f>
        <v/>
      </c>
      <c r="EO76" s="61" t="n"/>
      <c r="EP76" s="57" t="n"/>
      <c r="EQ76" s="66">
        <f>EG76</f>
        <v/>
      </c>
      <c r="ER76" s="59" t="n"/>
      <c r="ES76" s="57" t="n"/>
      <c r="ET76" s="57" t="n"/>
      <c r="EU76" s="57" t="n"/>
      <c r="EV76" s="57" t="n"/>
      <c r="EW76" s="67">
        <f>SUM(ES76:EV76)</f>
        <v/>
      </c>
      <c r="EX76" s="61" t="n"/>
      <c r="EY76" s="57" t="n"/>
      <c r="EZ76" s="66">
        <f>EP76</f>
        <v/>
      </c>
      <c r="FA76" s="59" t="n"/>
      <c r="FB76" s="57" t="n"/>
      <c r="FC76" s="57" t="n"/>
      <c r="FD76" s="57" t="n"/>
      <c r="FE76" s="57" t="n"/>
      <c r="FF76" s="67">
        <f>SUM(FB76:FE76)</f>
        <v/>
      </c>
      <c r="FG76" s="61" t="n"/>
      <c r="FH76" s="57" t="n"/>
      <c r="FI76" s="66">
        <f>EY76</f>
        <v/>
      </c>
      <c r="FJ76" s="59" t="n"/>
      <c r="FK76" s="57" t="n"/>
      <c r="FL76" s="57" t="n"/>
      <c r="FM76" s="57" t="n"/>
      <c r="FN76" s="57" t="n"/>
      <c r="FO76" s="67">
        <f>SUM(FK76:FN76)</f>
        <v/>
      </c>
      <c r="FP76" s="61" t="n"/>
      <c r="FQ76" s="57" t="n"/>
      <c r="FR76" s="66">
        <f>FH76</f>
        <v/>
      </c>
      <c r="FS76" s="59" t="n"/>
      <c r="FT76" s="57" t="n"/>
      <c r="FU76" s="57" t="n"/>
      <c r="FV76" s="57" t="n"/>
      <c r="FW76" s="57" t="n"/>
      <c r="FX76" s="67">
        <f>SUM(FT76:FW76)</f>
        <v/>
      </c>
      <c r="FY76" s="61" t="n"/>
      <c r="FZ76" s="57" t="n"/>
      <c r="GA76" s="66">
        <f>FQ76</f>
        <v/>
      </c>
      <c r="GB76" s="59" t="n"/>
      <c r="GC76" s="57" t="n"/>
      <c r="GD76" s="57" t="n"/>
      <c r="GE76" s="57" t="n"/>
      <c r="GF76" s="57" t="n"/>
      <c r="GG76" s="67">
        <f>SUM(GC76:GF76)</f>
        <v/>
      </c>
      <c r="GH76" s="61" t="n"/>
      <c r="GI76" s="57" t="n"/>
      <c r="GJ76" s="66">
        <f>FZ76</f>
        <v/>
      </c>
      <c r="GK76" s="59" t="n"/>
      <c r="GL76" s="57" t="n"/>
      <c r="GM76" s="57" t="n"/>
      <c r="GN76" s="57" t="n"/>
      <c r="GO76" s="57" t="n"/>
      <c r="GP76" s="67">
        <f>SUM(GL76:GO76)</f>
        <v/>
      </c>
      <c r="GQ76" s="61" t="n"/>
      <c r="GR76" s="57" t="n"/>
      <c r="GS76" s="66">
        <f>GI76</f>
        <v/>
      </c>
      <c r="GT76" s="59" t="n"/>
      <c r="GU76" s="57" t="n"/>
      <c r="GV76" s="57" t="n"/>
      <c r="GW76" s="57" t="n"/>
      <c r="GX76" s="57" t="n"/>
      <c r="GY76" s="67">
        <f>SUM(GU76:GX76)</f>
        <v/>
      </c>
      <c r="GZ76" s="61" t="n"/>
      <c r="HA76" s="57" t="n"/>
      <c r="HB76" s="66">
        <f>GR76</f>
        <v/>
      </c>
      <c r="HC76" s="59" t="n"/>
      <c r="HD76" s="57" t="n"/>
      <c r="HE76" s="57" t="n"/>
      <c r="HF76" s="57" t="n"/>
      <c r="HG76" s="57" t="n"/>
      <c r="HH76" s="67">
        <f>SUM(HD76:HG76)</f>
        <v/>
      </c>
      <c r="HI76" s="61" t="n"/>
      <c r="HJ76" s="57" t="n"/>
      <c r="HK76" s="66">
        <f>HA76</f>
        <v/>
      </c>
      <c r="HL76" s="59" t="n"/>
      <c r="HM76" s="57" t="n"/>
      <c r="HN76" s="57" t="n"/>
      <c r="HO76" s="57" t="n"/>
      <c r="HP76" s="57" t="n"/>
      <c r="HQ76" s="67">
        <f>SUM(HM76:HP76)</f>
        <v/>
      </c>
      <c r="HR76" s="61" t="n"/>
      <c r="HS76" s="57" t="n"/>
      <c r="HT76" s="66">
        <f>HJ76</f>
        <v/>
      </c>
      <c r="HU76" s="59" t="n"/>
      <c r="HV76" s="57" t="n"/>
      <c r="HW76" s="57" t="n"/>
      <c r="HX76" s="57" t="n"/>
      <c r="HY76" s="57" t="n"/>
      <c r="HZ76" s="67">
        <f>SUM(HV76:HY76)</f>
        <v/>
      </c>
      <c r="IA76" s="61" t="n"/>
      <c r="IB76" s="57" t="n"/>
      <c r="IC76" s="66">
        <f>HS76</f>
        <v/>
      </c>
      <c r="ID76" s="59" t="n"/>
      <c r="IE76" s="57" t="n"/>
      <c r="IF76" s="57" t="n"/>
      <c r="IG76" s="57" t="n"/>
      <c r="IH76" s="57" t="n"/>
      <c r="II76" s="67">
        <f>SUM(IE76:IH76)</f>
        <v/>
      </c>
      <c r="IJ76" s="61" t="n"/>
      <c r="IK76" s="57" t="n"/>
      <c r="IL76" s="66">
        <f>IB76</f>
        <v/>
      </c>
      <c r="IM76" s="59" t="n"/>
      <c r="IN76" s="57" t="n"/>
      <c r="IO76" s="57" t="n"/>
      <c r="IP76" s="57" t="n"/>
      <c r="IQ76" s="57" t="n"/>
      <c r="IR76" s="67">
        <f>SUM(IN76:IQ76)</f>
        <v/>
      </c>
      <c r="IS76" s="61" t="n"/>
      <c r="IT76" s="57" t="n"/>
      <c r="IU76" s="66">
        <f>IK76</f>
        <v/>
      </c>
      <c r="IV76" s="59" t="n"/>
      <c r="IW76" s="57" t="n"/>
      <c r="IX76" s="57" t="n"/>
      <c r="IY76" s="57" t="n"/>
      <c r="IZ76" s="57" t="n"/>
      <c r="JA76" s="67">
        <f>SUM(IW76:IZ76)</f>
        <v/>
      </c>
      <c r="JB76" s="61" t="n"/>
      <c r="JC76" s="57" t="n"/>
      <c r="JD76" s="66">
        <f>IT76</f>
        <v/>
      </c>
      <c r="JE76" s="59" t="n"/>
      <c r="JF76" s="57" t="n"/>
      <c r="JG76" s="57" t="n"/>
      <c r="JH76" s="57" t="n"/>
      <c r="JI76" s="57" t="n"/>
      <c r="JJ76" s="67">
        <f>SUM(JF76:JI76)</f>
        <v/>
      </c>
      <c r="JK76" s="61" t="n"/>
      <c r="JL76" s="57" t="n"/>
      <c r="JM76" s="66">
        <f>JC76</f>
        <v/>
      </c>
      <c r="JN76" s="59" t="n"/>
      <c r="JO76" s="57" t="n"/>
      <c r="JP76" s="57" t="n"/>
      <c r="JQ76" s="57" t="n"/>
      <c r="JR76" s="57" t="n"/>
      <c r="JS76" s="67">
        <f>SUM(JO76:JR76)</f>
        <v/>
      </c>
      <c r="JT76" s="61" t="n"/>
      <c r="JU76" s="62">
        <f>I76+R76+AA76+AJ76+AS76+BB76+BK76+BT76+CC76+CL76+CU76+DD76+DM76+DV76+EE76+EN76+EW76+FF76+FO76+FX76+GG76+GP76+GY76+HH76+HQ76+HZ76+II76+IR76+JA76+JJ76+JS76</f>
        <v/>
      </c>
      <c r="JV76" s="63">
        <f>D76+M76+V76+AE76+AN76+AW76+BF76+BO76+BX76+CG76+CP76+CY76+DH76+DQ76+DZ76+EI76+ER76+FA76+FJ76+FS76+GB76+GK76+GT76+HC76+HL76+HU76+ID76+IM76+IV76+JE76+JN76</f>
        <v/>
      </c>
      <c r="JW76" s="62">
        <f>CHOOSE($Z$3,B76, K76, T76, AC76, AL76, AU76, BD76, BM76, BV76, CE76, CN76, CW76, DF76, DO76, DX76, EG76, EP76, EY76, FH76, FQ76, FZ76, GI76, GR76, HA76, HJ76, HS76, IB76, IK76, IT76, JC76, JL76)</f>
        <v/>
      </c>
      <c r="JX76" s="62">
        <f>IFERROR(JU76/$Z$3,0)</f>
        <v/>
      </c>
      <c r="JY76" s="62">
        <f>Configurações!$C$16</f>
        <v/>
      </c>
      <c r="JZ76" s="64">
        <f>IF(JY76=0,"— Sem meta",IF(JU76&gt;=JY76,"✓ Atingida","Em andamento"))</f>
        <v/>
      </c>
      <c r="KA76" s="65">
        <f>JU76+(4*0.0000001)</f>
        <v/>
      </c>
    </row>
    <row r="77" ht="20" customHeight="1">
      <c r="A77" s="56">
        <f>IF(Configurações!$B$17="","Assessor 11",Configurações!$B$17)</f>
        <v/>
      </c>
      <c r="B77" s="57" t="n"/>
      <c r="C77" s="58">
        <f>'Novembro'!$JW77</f>
        <v/>
      </c>
      <c r="D77" s="59" t="n"/>
      <c r="E77" s="57" t="n"/>
      <c r="F77" s="57" t="n"/>
      <c r="G77" s="57" t="n"/>
      <c r="H77" s="57" t="n"/>
      <c r="I77" s="60">
        <f>SUM(E77:H77)</f>
        <v/>
      </c>
      <c r="J77" s="61" t="n"/>
      <c r="K77" s="57" t="n"/>
      <c r="L77" s="58">
        <f>B77</f>
        <v/>
      </c>
      <c r="M77" s="59" t="n"/>
      <c r="N77" s="57" t="n"/>
      <c r="O77" s="57" t="n"/>
      <c r="P77" s="57" t="n"/>
      <c r="Q77" s="57" t="n"/>
      <c r="R77" s="60">
        <f>SUM(N77:Q77)</f>
        <v/>
      </c>
      <c r="S77" s="61" t="n"/>
      <c r="T77" s="57" t="n"/>
      <c r="U77" s="58">
        <f>K77</f>
        <v/>
      </c>
      <c r="V77" s="59" t="n"/>
      <c r="W77" s="57" t="n"/>
      <c r="X77" s="57" t="n"/>
      <c r="Y77" s="57" t="n"/>
      <c r="Z77" s="57" t="n"/>
      <c r="AA77" s="60">
        <f>SUM(W77:Z77)</f>
        <v/>
      </c>
      <c r="AB77" s="61" t="n"/>
      <c r="AC77" s="57" t="n"/>
      <c r="AD77" s="58">
        <f>T77</f>
        <v/>
      </c>
      <c r="AE77" s="59" t="n"/>
      <c r="AF77" s="57" t="n"/>
      <c r="AG77" s="57" t="n"/>
      <c r="AH77" s="57" t="n"/>
      <c r="AI77" s="57" t="n"/>
      <c r="AJ77" s="60">
        <f>SUM(AF77:AI77)</f>
        <v/>
      </c>
      <c r="AK77" s="61" t="n"/>
      <c r="AL77" s="57" t="n"/>
      <c r="AM77" s="58">
        <f>AC77</f>
        <v/>
      </c>
      <c r="AN77" s="59" t="n"/>
      <c r="AO77" s="57" t="n"/>
      <c r="AP77" s="57" t="n"/>
      <c r="AQ77" s="57" t="n"/>
      <c r="AR77" s="57" t="n"/>
      <c r="AS77" s="60">
        <f>SUM(AO77:AR77)</f>
        <v/>
      </c>
      <c r="AT77" s="61" t="n"/>
      <c r="AU77" s="57" t="n"/>
      <c r="AV77" s="58">
        <f>AL77</f>
        <v/>
      </c>
      <c r="AW77" s="59" t="n"/>
      <c r="AX77" s="57" t="n"/>
      <c r="AY77" s="57" t="n"/>
      <c r="AZ77" s="57" t="n"/>
      <c r="BA77" s="57" t="n"/>
      <c r="BB77" s="60">
        <f>SUM(AX77:BA77)</f>
        <v/>
      </c>
      <c r="BC77" s="61" t="n"/>
      <c r="BD77" s="57" t="n"/>
      <c r="BE77" s="58">
        <f>AU77</f>
        <v/>
      </c>
      <c r="BF77" s="59" t="n"/>
      <c r="BG77" s="57" t="n"/>
      <c r="BH77" s="57" t="n"/>
      <c r="BI77" s="57" t="n"/>
      <c r="BJ77" s="57" t="n"/>
      <c r="BK77" s="60">
        <f>SUM(BG77:BJ77)</f>
        <v/>
      </c>
      <c r="BL77" s="61" t="n"/>
      <c r="BM77" s="57" t="n"/>
      <c r="BN77" s="58">
        <f>BD77</f>
        <v/>
      </c>
      <c r="BO77" s="59" t="n"/>
      <c r="BP77" s="57" t="n"/>
      <c r="BQ77" s="57" t="n"/>
      <c r="BR77" s="57" t="n"/>
      <c r="BS77" s="57" t="n"/>
      <c r="BT77" s="60">
        <f>SUM(BP77:BS77)</f>
        <v/>
      </c>
      <c r="BU77" s="61" t="n"/>
      <c r="BV77" s="57" t="n"/>
      <c r="BW77" s="58">
        <f>BM77</f>
        <v/>
      </c>
      <c r="BX77" s="59" t="n"/>
      <c r="BY77" s="57" t="n"/>
      <c r="BZ77" s="57" t="n"/>
      <c r="CA77" s="57" t="n"/>
      <c r="CB77" s="57" t="n"/>
      <c r="CC77" s="60">
        <f>SUM(BY77:CB77)</f>
        <v/>
      </c>
      <c r="CD77" s="61" t="n"/>
      <c r="CE77" s="57" t="n"/>
      <c r="CF77" s="58">
        <f>BV77</f>
        <v/>
      </c>
      <c r="CG77" s="59" t="n"/>
      <c r="CH77" s="57" t="n"/>
      <c r="CI77" s="57" t="n"/>
      <c r="CJ77" s="57" t="n"/>
      <c r="CK77" s="57" t="n"/>
      <c r="CL77" s="60">
        <f>SUM(CH77:CK77)</f>
        <v/>
      </c>
      <c r="CM77" s="61" t="n"/>
      <c r="CN77" s="57" t="n"/>
      <c r="CO77" s="58">
        <f>CE77</f>
        <v/>
      </c>
      <c r="CP77" s="59" t="n"/>
      <c r="CQ77" s="57" t="n"/>
      <c r="CR77" s="57" t="n"/>
      <c r="CS77" s="57" t="n"/>
      <c r="CT77" s="57" t="n"/>
      <c r="CU77" s="60">
        <f>SUM(CQ77:CT77)</f>
        <v/>
      </c>
      <c r="CV77" s="61" t="n"/>
      <c r="CW77" s="57" t="n"/>
      <c r="CX77" s="58">
        <f>CN77</f>
        <v/>
      </c>
      <c r="CY77" s="59" t="n"/>
      <c r="CZ77" s="57" t="n"/>
      <c r="DA77" s="57" t="n"/>
      <c r="DB77" s="57" t="n"/>
      <c r="DC77" s="57" t="n"/>
      <c r="DD77" s="60">
        <f>SUM(CZ77:DC77)</f>
        <v/>
      </c>
      <c r="DE77" s="61" t="n"/>
      <c r="DF77" s="57" t="n"/>
      <c r="DG77" s="58">
        <f>CW77</f>
        <v/>
      </c>
      <c r="DH77" s="59" t="n"/>
      <c r="DI77" s="57" t="n"/>
      <c r="DJ77" s="57" t="n"/>
      <c r="DK77" s="57" t="n"/>
      <c r="DL77" s="57" t="n"/>
      <c r="DM77" s="60">
        <f>SUM(DI77:DL77)</f>
        <v/>
      </c>
      <c r="DN77" s="61" t="n"/>
      <c r="DO77" s="57" t="n"/>
      <c r="DP77" s="58">
        <f>DF77</f>
        <v/>
      </c>
      <c r="DQ77" s="59" t="n"/>
      <c r="DR77" s="57" t="n"/>
      <c r="DS77" s="57" t="n"/>
      <c r="DT77" s="57" t="n"/>
      <c r="DU77" s="57" t="n"/>
      <c r="DV77" s="60">
        <f>SUM(DR77:DU77)</f>
        <v/>
      </c>
      <c r="DW77" s="61" t="n"/>
      <c r="DX77" s="57" t="n"/>
      <c r="DY77" s="58">
        <f>DO77</f>
        <v/>
      </c>
      <c r="DZ77" s="59" t="n"/>
      <c r="EA77" s="57" t="n"/>
      <c r="EB77" s="57" t="n"/>
      <c r="EC77" s="57" t="n"/>
      <c r="ED77" s="57" t="n"/>
      <c r="EE77" s="60">
        <f>SUM(EA77:ED77)</f>
        <v/>
      </c>
      <c r="EF77" s="61" t="n"/>
      <c r="EG77" s="57" t="n"/>
      <c r="EH77" s="58">
        <f>DX77</f>
        <v/>
      </c>
      <c r="EI77" s="59" t="n"/>
      <c r="EJ77" s="57" t="n"/>
      <c r="EK77" s="57" t="n"/>
      <c r="EL77" s="57" t="n"/>
      <c r="EM77" s="57" t="n"/>
      <c r="EN77" s="60">
        <f>SUM(EJ77:EM77)</f>
        <v/>
      </c>
      <c r="EO77" s="61" t="n"/>
      <c r="EP77" s="57" t="n"/>
      <c r="EQ77" s="58">
        <f>EG77</f>
        <v/>
      </c>
      <c r="ER77" s="59" t="n"/>
      <c r="ES77" s="57" t="n"/>
      <c r="ET77" s="57" t="n"/>
      <c r="EU77" s="57" t="n"/>
      <c r="EV77" s="57" t="n"/>
      <c r="EW77" s="60">
        <f>SUM(ES77:EV77)</f>
        <v/>
      </c>
      <c r="EX77" s="61" t="n"/>
      <c r="EY77" s="57" t="n"/>
      <c r="EZ77" s="58">
        <f>EP77</f>
        <v/>
      </c>
      <c r="FA77" s="59" t="n"/>
      <c r="FB77" s="57" t="n"/>
      <c r="FC77" s="57" t="n"/>
      <c r="FD77" s="57" t="n"/>
      <c r="FE77" s="57" t="n"/>
      <c r="FF77" s="60">
        <f>SUM(FB77:FE77)</f>
        <v/>
      </c>
      <c r="FG77" s="61" t="n"/>
      <c r="FH77" s="57" t="n"/>
      <c r="FI77" s="58">
        <f>EY77</f>
        <v/>
      </c>
      <c r="FJ77" s="59" t="n"/>
      <c r="FK77" s="57" t="n"/>
      <c r="FL77" s="57" t="n"/>
      <c r="FM77" s="57" t="n"/>
      <c r="FN77" s="57" t="n"/>
      <c r="FO77" s="60">
        <f>SUM(FK77:FN77)</f>
        <v/>
      </c>
      <c r="FP77" s="61" t="n"/>
      <c r="FQ77" s="57" t="n"/>
      <c r="FR77" s="58">
        <f>FH77</f>
        <v/>
      </c>
      <c r="FS77" s="59" t="n"/>
      <c r="FT77" s="57" t="n"/>
      <c r="FU77" s="57" t="n"/>
      <c r="FV77" s="57" t="n"/>
      <c r="FW77" s="57" t="n"/>
      <c r="FX77" s="60">
        <f>SUM(FT77:FW77)</f>
        <v/>
      </c>
      <c r="FY77" s="61" t="n"/>
      <c r="FZ77" s="57" t="n"/>
      <c r="GA77" s="58">
        <f>FQ77</f>
        <v/>
      </c>
      <c r="GB77" s="59" t="n"/>
      <c r="GC77" s="57" t="n"/>
      <c r="GD77" s="57" t="n"/>
      <c r="GE77" s="57" t="n"/>
      <c r="GF77" s="57" t="n"/>
      <c r="GG77" s="60">
        <f>SUM(GC77:GF77)</f>
        <v/>
      </c>
      <c r="GH77" s="61" t="n"/>
      <c r="GI77" s="57" t="n"/>
      <c r="GJ77" s="58">
        <f>FZ77</f>
        <v/>
      </c>
      <c r="GK77" s="59" t="n"/>
      <c r="GL77" s="57" t="n"/>
      <c r="GM77" s="57" t="n"/>
      <c r="GN77" s="57" t="n"/>
      <c r="GO77" s="57" t="n"/>
      <c r="GP77" s="60">
        <f>SUM(GL77:GO77)</f>
        <v/>
      </c>
      <c r="GQ77" s="61" t="n"/>
      <c r="GR77" s="57" t="n"/>
      <c r="GS77" s="58">
        <f>GI77</f>
        <v/>
      </c>
      <c r="GT77" s="59" t="n"/>
      <c r="GU77" s="57" t="n"/>
      <c r="GV77" s="57" t="n"/>
      <c r="GW77" s="57" t="n"/>
      <c r="GX77" s="57" t="n"/>
      <c r="GY77" s="60">
        <f>SUM(GU77:GX77)</f>
        <v/>
      </c>
      <c r="GZ77" s="61" t="n"/>
      <c r="HA77" s="57" t="n"/>
      <c r="HB77" s="58">
        <f>GR77</f>
        <v/>
      </c>
      <c r="HC77" s="59" t="n"/>
      <c r="HD77" s="57" t="n"/>
      <c r="HE77" s="57" t="n"/>
      <c r="HF77" s="57" t="n"/>
      <c r="HG77" s="57" t="n"/>
      <c r="HH77" s="60">
        <f>SUM(HD77:HG77)</f>
        <v/>
      </c>
      <c r="HI77" s="61" t="n"/>
      <c r="HJ77" s="57" t="n"/>
      <c r="HK77" s="58">
        <f>HA77</f>
        <v/>
      </c>
      <c r="HL77" s="59" t="n"/>
      <c r="HM77" s="57" t="n"/>
      <c r="HN77" s="57" t="n"/>
      <c r="HO77" s="57" t="n"/>
      <c r="HP77" s="57" t="n"/>
      <c r="HQ77" s="60">
        <f>SUM(HM77:HP77)</f>
        <v/>
      </c>
      <c r="HR77" s="61" t="n"/>
      <c r="HS77" s="57" t="n"/>
      <c r="HT77" s="58">
        <f>HJ77</f>
        <v/>
      </c>
      <c r="HU77" s="59" t="n"/>
      <c r="HV77" s="57" t="n"/>
      <c r="HW77" s="57" t="n"/>
      <c r="HX77" s="57" t="n"/>
      <c r="HY77" s="57" t="n"/>
      <c r="HZ77" s="60">
        <f>SUM(HV77:HY77)</f>
        <v/>
      </c>
      <c r="IA77" s="61" t="n"/>
      <c r="IB77" s="57" t="n"/>
      <c r="IC77" s="58">
        <f>HS77</f>
        <v/>
      </c>
      <c r="ID77" s="59" t="n"/>
      <c r="IE77" s="57" t="n"/>
      <c r="IF77" s="57" t="n"/>
      <c r="IG77" s="57" t="n"/>
      <c r="IH77" s="57" t="n"/>
      <c r="II77" s="60">
        <f>SUM(IE77:IH77)</f>
        <v/>
      </c>
      <c r="IJ77" s="61" t="n"/>
      <c r="IK77" s="57" t="n"/>
      <c r="IL77" s="58">
        <f>IB77</f>
        <v/>
      </c>
      <c r="IM77" s="59" t="n"/>
      <c r="IN77" s="57" t="n"/>
      <c r="IO77" s="57" t="n"/>
      <c r="IP77" s="57" t="n"/>
      <c r="IQ77" s="57" t="n"/>
      <c r="IR77" s="60">
        <f>SUM(IN77:IQ77)</f>
        <v/>
      </c>
      <c r="IS77" s="61" t="n"/>
      <c r="IT77" s="57" t="n"/>
      <c r="IU77" s="58">
        <f>IK77</f>
        <v/>
      </c>
      <c r="IV77" s="59" t="n"/>
      <c r="IW77" s="57" t="n"/>
      <c r="IX77" s="57" t="n"/>
      <c r="IY77" s="57" t="n"/>
      <c r="IZ77" s="57" t="n"/>
      <c r="JA77" s="60">
        <f>SUM(IW77:IZ77)</f>
        <v/>
      </c>
      <c r="JB77" s="61" t="n"/>
      <c r="JC77" s="57" t="n"/>
      <c r="JD77" s="58">
        <f>IT77</f>
        <v/>
      </c>
      <c r="JE77" s="59" t="n"/>
      <c r="JF77" s="57" t="n"/>
      <c r="JG77" s="57" t="n"/>
      <c r="JH77" s="57" t="n"/>
      <c r="JI77" s="57" t="n"/>
      <c r="JJ77" s="60">
        <f>SUM(JF77:JI77)</f>
        <v/>
      </c>
      <c r="JK77" s="61" t="n"/>
      <c r="JL77" s="57" t="n"/>
      <c r="JM77" s="58">
        <f>JC77</f>
        <v/>
      </c>
      <c r="JN77" s="59" t="n"/>
      <c r="JO77" s="57" t="n"/>
      <c r="JP77" s="57" t="n"/>
      <c r="JQ77" s="57" t="n"/>
      <c r="JR77" s="57" t="n"/>
      <c r="JS77" s="60">
        <f>SUM(JO77:JR77)</f>
        <v/>
      </c>
      <c r="JT77" s="61" t="n"/>
      <c r="JU77" s="62">
        <f>I77+R77+AA77+AJ77+AS77+BB77+BK77+BT77+CC77+CL77+CU77+DD77+DM77+DV77+EE77+EN77+EW77+FF77+FO77+FX77+GG77+GP77+GY77+HH77+HQ77+HZ77+II77+IR77+JA77+JJ77+JS77</f>
        <v/>
      </c>
      <c r="JV77" s="63">
        <f>D77+M77+V77+AE77+AN77+AW77+BF77+BO77+BX77+CG77+CP77+CY77+DH77+DQ77+DZ77+EI77+ER77+FA77+FJ77+FS77+GB77+GK77+GT77+HC77+HL77+HU77+ID77+IM77+IV77+JE77+JN77</f>
        <v/>
      </c>
      <c r="JW77" s="62">
        <f>CHOOSE($Z$3,B77, K77, T77, AC77, AL77, AU77, BD77, BM77, BV77, CE77, CN77, CW77, DF77, DO77, DX77, EG77, EP77, EY77, FH77, FQ77, FZ77, GI77, GR77, HA77, HJ77, HS77, IB77, IK77, IT77, JC77, JL77)</f>
        <v/>
      </c>
      <c r="JX77" s="62">
        <f>IFERROR(JU77/$Z$3,0)</f>
        <v/>
      </c>
      <c r="JY77" s="62">
        <f>Configurações!$C$17</f>
        <v/>
      </c>
      <c r="JZ77" s="64">
        <f>IF(JY77=0,"— Sem meta",IF(JU77&gt;=JY77,"✓ Atingida","Em andamento"))</f>
        <v/>
      </c>
      <c r="KA77" s="65">
        <f>JU77+(3*0.0000001)</f>
        <v/>
      </c>
    </row>
    <row r="78" ht="20" customHeight="1">
      <c r="A78" s="56">
        <f>IF(Configurações!$B$18="","Assessor 12",Configurações!$B$18)</f>
        <v/>
      </c>
      <c r="B78" s="57" t="n"/>
      <c r="C78" s="66">
        <f>'Novembro'!$JW78</f>
        <v/>
      </c>
      <c r="D78" s="59" t="n"/>
      <c r="E78" s="57" t="n"/>
      <c r="F78" s="57" t="n"/>
      <c r="G78" s="57" t="n"/>
      <c r="H78" s="57" t="n"/>
      <c r="I78" s="67">
        <f>SUM(E78:H78)</f>
        <v/>
      </c>
      <c r="J78" s="61" t="n"/>
      <c r="K78" s="57" t="n"/>
      <c r="L78" s="66">
        <f>B78</f>
        <v/>
      </c>
      <c r="M78" s="59" t="n"/>
      <c r="N78" s="57" t="n"/>
      <c r="O78" s="57" t="n"/>
      <c r="P78" s="57" t="n"/>
      <c r="Q78" s="57" t="n"/>
      <c r="R78" s="67">
        <f>SUM(N78:Q78)</f>
        <v/>
      </c>
      <c r="S78" s="61" t="n"/>
      <c r="T78" s="57" t="n"/>
      <c r="U78" s="66">
        <f>K78</f>
        <v/>
      </c>
      <c r="V78" s="59" t="n"/>
      <c r="W78" s="57" t="n"/>
      <c r="X78" s="57" t="n"/>
      <c r="Y78" s="57" t="n"/>
      <c r="Z78" s="57" t="n"/>
      <c r="AA78" s="67">
        <f>SUM(W78:Z78)</f>
        <v/>
      </c>
      <c r="AB78" s="61" t="n"/>
      <c r="AC78" s="57" t="n"/>
      <c r="AD78" s="66">
        <f>T78</f>
        <v/>
      </c>
      <c r="AE78" s="59" t="n"/>
      <c r="AF78" s="57" t="n"/>
      <c r="AG78" s="57" t="n"/>
      <c r="AH78" s="57" t="n"/>
      <c r="AI78" s="57" t="n"/>
      <c r="AJ78" s="67">
        <f>SUM(AF78:AI78)</f>
        <v/>
      </c>
      <c r="AK78" s="61" t="n"/>
      <c r="AL78" s="57" t="n"/>
      <c r="AM78" s="66">
        <f>AC78</f>
        <v/>
      </c>
      <c r="AN78" s="59" t="n"/>
      <c r="AO78" s="57" t="n"/>
      <c r="AP78" s="57" t="n"/>
      <c r="AQ78" s="57" t="n"/>
      <c r="AR78" s="57" t="n"/>
      <c r="AS78" s="67">
        <f>SUM(AO78:AR78)</f>
        <v/>
      </c>
      <c r="AT78" s="61" t="n"/>
      <c r="AU78" s="57" t="n"/>
      <c r="AV78" s="66">
        <f>AL78</f>
        <v/>
      </c>
      <c r="AW78" s="59" t="n"/>
      <c r="AX78" s="57" t="n"/>
      <c r="AY78" s="57" t="n"/>
      <c r="AZ78" s="57" t="n"/>
      <c r="BA78" s="57" t="n"/>
      <c r="BB78" s="67">
        <f>SUM(AX78:BA78)</f>
        <v/>
      </c>
      <c r="BC78" s="61" t="n"/>
      <c r="BD78" s="57" t="n"/>
      <c r="BE78" s="66">
        <f>AU78</f>
        <v/>
      </c>
      <c r="BF78" s="59" t="n"/>
      <c r="BG78" s="57" t="n"/>
      <c r="BH78" s="57" t="n"/>
      <c r="BI78" s="57" t="n"/>
      <c r="BJ78" s="57" t="n"/>
      <c r="BK78" s="67">
        <f>SUM(BG78:BJ78)</f>
        <v/>
      </c>
      <c r="BL78" s="61" t="n"/>
      <c r="BM78" s="57" t="n"/>
      <c r="BN78" s="66">
        <f>BD78</f>
        <v/>
      </c>
      <c r="BO78" s="59" t="n"/>
      <c r="BP78" s="57" t="n"/>
      <c r="BQ78" s="57" t="n"/>
      <c r="BR78" s="57" t="n"/>
      <c r="BS78" s="57" t="n"/>
      <c r="BT78" s="67">
        <f>SUM(BP78:BS78)</f>
        <v/>
      </c>
      <c r="BU78" s="61" t="n"/>
      <c r="BV78" s="57" t="n"/>
      <c r="BW78" s="66">
        <f>BM78</f>
        <v/>
      </c>
      <c r="BX78" s="59" t="n"/>
      <c r="BY78" s="57" t="n"/>
      <c r="BZ78" s="57" t="n"/>
      <c r="CA78" s="57" t="n"/>
      <c r="CB78" s="57" t="n"/>
      <c r="CC78" s="67">
        <f>SUM(BY78:CB78)</f>
        <v/>
      </c>
      <c r="CD78" s="61" t="n"/>
      <c r="CE78" s="57" t="n"/>
      <c r="CF78" s="66">
        <f>BV78</f>
        <v/>
      </c>
      <c r="CG78" s="59" t="n"/>
      <c r="CH78" s="57" t="n"/>
      <c r="CI78" s="57" t="n"/>
      <c r="CJ78" s="57" t="n"/>
      <c r="CK78" s="57" t="n"/>
      <c r="CL78" s="67">
        <f>SUM(CH78:CK78)</f>
        <v/>
      </c>
      <c r="CM78" s="61" t="n"/>
      <c r="CN78" s="57" t="n"/>
      <c r="CO78" s="66">
        <f>CE78</f>
        <v/>
      </c>
      <c r="CP78" s="59" t="n"/>
      <c r="CQ78" s="57" t="n"/>
      <c r="CR78" s="57" t="n"/>
      <c r="CS78" s="57" t="n"/>
      <c r="CT78" s="57" t="n"/>
      <c r="CU78" s="67">
        <f>SUM(CQ78:CT78)</f>
        <v/>
      </c>
      <c r="CV78" s="61" t="n"/>
      <c r="CW78" s="57" t="n"/>
      <c r="CX78" s="66">
        <f>CN78</f>
        <v/>
      </c>
      <c r="CY78" s="59" t="n"/>
      <c r="CZ78" s="57" t="n"/>
      <c r="DA78" s="57" t="n"/>
      <c r="DB78" s="57" t="n"/>
      <c r="DC78" s="57" t="n"/>
      <c r="DD78" s="67">
        <f>SUM(CZ78:DC78)</f>
        <v/>
      </c>
      <c r="DE78" s="61" t="n"/>
      <c r="DF78" s="57" t="n"/>
      <c r="DG78" s="66">
        <f>CW78</f>
        <v/>
      </c>
      <c r="DH78" s="59" t="n"/>
      <c r="DI78" s="57" t="n"/>
      <c r="DJ78" s="57" t="n"/>
      <c r="DK78" s="57" t="n"/>
      <c r="DL78" s="57" t="n"/>
      <c r="DM78" s="67">
        <f>SUM(DI78:DL78)</f>
        <v/>
      </c>
      <c r="DN78" s="61" t="n"/>
      <c r="DO78" s="57" t="n"/>
      <c r="DP78" s="66">
        <f>DF78</f>
        <v/>
      </c>
      <c r="DQ78" s="59" t="n"/>
      <c r="DR78" s="57" t="n"/>
      <c r="DS78" s="57" t="n"/>
      <c r="DT78" s="57" t="n"/>
      <c r="DU78" s="57" t="n"/>
      <c r="DV78" s="67">
        <f>SUM(DR78:DU78)</f>
        <v/>
      </c>
      <c r="DW78" s="61" t="n"/>
      <c r="DX78" s="57" t="n"/>
      <c r="DY78" s="66">
        <f>DO78</f>
        <v/>
      </c>
      <c r="DZ78" s="59" t="n"/>
      <c r="EA78" s="57" t="n"/>
      <c r="EB78" s="57" t="n"/>
      <c r="EC78" s="57" t="n"/>
      <c r="ED78" s="57" t="n"/>
      <c r="EE78" s="67">
        <f>SUM(EA78:ED78)</f>
        <v/>
      </c>
      <c r="EF78" s="61" t="n"/>
      <c r="EG78" s="57" t="n"/>
      <c r="EH78" s="66">
        <f>DX78</f>
        <v/>
      </c>
      <c r="EI78" s="59" t="n"/>
      <c r="EJ78" s="57" t="n"/>
      <c r="EK78" s="57" t="n"/>
      <c r="EL78" s="57" t="n"/>
      <c r="EM78" s="57" t="n"/>
      <c r="EN78" s="67">
        <f>SUM(EJ78:EM78)</f>
        <v/>
      </c>
      <c r="EO78" s="61" t="n"/>
      <c r="EP78" s="57" t="n"/>
      <c r="EQ78" s="66">
        <f>EG78</f>
        <v/>
      </c>
      <c r="ER78" s="59" t="n"/>
      <c r="ES78" s="57" t="n"/>
      <c r="ET78" s="57" t="n"/>
      <c r="EU78" s="57" t="n"/>
      <c r="EV78" s="57" t="n"/>
      <c r="EW78" s="67">
        <f>SUM(ES78:EV78)</f>
        <v/>
      </c>
      <c r="EX78" s="61" t="n"/>
      <c r="EY78" s="57" t="n"/>
      <c r="EZ78" s="66">
        <f>EP78</f>
        <v/>
      </c>
      <c r="FA78" s="59" t="n"/>
      <c r="FB78" s="57" t="n"/>
      <c r="FC78" s="57" t="n"/>
      <c r="FD78" s="57" t="n"/>
      <c r="FE78" s="57" t="n"/>
      <c r="FF78" s="67">
        <f>SUM(FB78:FE78)</f>
        <v/>
      </c>
      <c r="FG78" s="61" t="n"/>
      <c r="FH78" s="57" t="n"/>
      <c r="FI78" s="66">
        <f>EY78</f>
        <v/>
      </c>
      <c r="FJ78" s="59" t="n"/>
      <c r="FK78" s="57" t="n"/>
      <c r="FL78" s="57" t="n"/>
      <c r="FM78" s="57" t="n"/>
      <c r="FN78" s="57" t="n"/>
      <c r="FO78" s="67">
        <f>SUM(FK78:FN78)</f>
        <v/>
      </c>
      <c r="FP78" s="61" t="n"/>
      <c r="FQ78" s="57" t="n"/>
      <c r="FR78" s="66">
        <f>FH78</f>
        <v/>
      </c>
      <c r="FS78" s="59" t="n"/>
      <c r="FT78" s="57" t="n"/>
      <c r="FU78" s="57" t="n"/>
      <c r="FV78" s="57" t="n"/>
      <c r="FW78" s="57" t="n"/>
      <c r="FX78" s="67">
        <f>SUM(FT78:FW78)</f>
        <v/>
      </c>
      <c r="FY78" s="61" t="n"/>
      <c r="FZ78" s="57" t="n"/>
      <c r="GA78" s="66">
        <f>FQ78</f>
        <v/>
      </c>
      <c r="GB78" s="59" t="n"/>
      <c r="GC78" s="57" t="n"/>
      <c r="GD78" s="57" t="n"/>
      <c r="GE78" s="57" t="n"/>
      <c r="GF78" s="57" t="n"/>
      <c r="GG78" s="67">
        <f>SUM(GC78:GF78)</f>
        <v/>
      </c>
      <c r="GH78" s="61" t="n"/>
      <c r="GI78" s="57" t="n"/>
      <c r="GJ78" s="66">
        <f>FZ78</f>
        <v/>
      </c>
      <c r="GK78" s="59" t="n"/>
      <c r="GL78" s="57" t="n"/>
      <c r="GM78" s="57" t="n"/>
      <c r="GN78" s="57" t="n"/>
      <c r="GO78" s="57" t="n"/>
      <c r="GP78" s="67">
        <f>SUM(GL78:GO78)</f>
        <v/>
      </c>
      <c r="GQ78" s="61" t="n"/>
      <c r="GR78" s="57" t="n"/>
      <c r="GS78" s="66">
        <f>GI78</f>
        <v/>
      </c>
      <c r="GT78" s="59" t="n"/>
      <c r="GU78" s="57" t="n"/>
      <c r="GV78" s="57" t="n"/>
      <c r="GW78" s="57" t="n"/>
      <c r="GX78" s="57" t="n"/>
      <c r="GY78" s="67">
        <f>SUM(GU78:GX78)</f>
        <v/>
      </c>
      <c r="GZ78" s="61" t="n"/>
      <c r="HA78" s="57" t="n"/>
      <c r="HB78" s="66">
        <f>GR78</f>
        <v/>
      </c>
      <c r="HC78" s="59" t="n"/>
      <c r="HD78" s="57" t="n"/>
      <c r="HE78" s="57" t="n"/>
      <c r="HF78" s="57" t="n"/>
      <c r="HG78" s="57" t="n"/>
      <c r="HH78" s="67">
        <f>SUM(HD78:HG78)</f>
        <v/>
      </c>
      <c r="HI78" s="61" t="n"/>
      <c r="HJ78" s="57" t="n"/>
      <c r="HK78" s="66">
        <f>HA78</f>
        <v/>
      </c>
      <c r="HL78" s="59" t="n"/>
      <c r="HM78" s="57" t="n"/>
      <c r="HN78" s="57" t="n"/>
      <c r="HO78" s="57" t="n"/>
      <c r="HP78" s="57" t="n"/>
      <c r="HQ78" s="67">
        <f>SUM(HM78:HP78)</f>
        <v/>
      </c>
      <c r="HR78" s="61" t="n"/>
      <c r="HS78" s="57" t="n"/>
      <c r="HT78" s="66">
        <f>HJ78</f>
        <v/>
      </c>
      <c r="HU78" s="59" t="n"/>
      <c r="HV78" s="57" t="n"/>
      <c r="HW78" s="57" t="n"/>
      <c r="HX78" s="57" t="n"/>
      <c r="HY78" s="57" t="n"/>
      <c r="HZ78" s="67">
        <f>SUM(HV78:HY78)</f>
        <v/>
      </c>
      <c r="IA78" s="61" t="n"/>
      <c r="IB78" s="57" t="n"/>
      <c r="IC78" s="66">
        <f>HS78</f>
        <v/>
      </c>
      <c r="ID78" s="59" t="n"/>
      <c r="IE78" s="57" t="n"/>
      <c r="IF78" s="57" t="n"/>
      <c r="IG78" s="57" t="n"/>
      <c r="IH78" s="57" t="n"/>
      <c r="II78" s="67">
        <f>SUM(IE78:IH78)</f>
        <v/>
      </c>
      <c r="IJ78" s="61" t="n"/>
      <c r="IK78" s="57" t="n"/>
      <c r="IL78" s="66">
        <f>IB78</f>
        <v/>
      </c>
      <c r="IM78" s="59" t="n"/>
      <c r="IN78" s="57" t="n"/>
      <c r="IO78" s="57" t="n"/>
      <c r="IP78" s="57" t="n"/>
      <c r="IQ78" s="57" t="n"/>
      <c r="IR78" s="67">
        <f>SUM(IN78:IQ78)</f>
        <v/>
      </c>
      <c r="IS78" s="61" t="n"/>
      <c r="IT78" s="57" t="n"/>
      <c r="IU78" s="66">
        <f>IK78</f>
        <v/>
      </c>
      <c r="IV78" s="59" t="n"/>
      <c r="IW78" s="57" t="n"/>
      <c r="IX78" s="57" t="n"/>
      <c r="IY78" s="57" t="n"/>
      <c r="IZ78" s="57" t="n"/>
      <c r="JA78" s="67">
        <f>SUM(IW78:IZ78)</f>
        <v/>
      </c>
      <c r="JB78" s="61" t="n"/>
      <c r="JC78" s="57" t="n"/>
      <c r="JD78" s="66">
        <f>IT78</f>
        <v/>
      </c>
      <c r="JE78" s="59" t="n"/>
      <c r="JF78" s="57" t="n"/>
      <c r="JG78" s="57" t="n"/>
      <c r="JH78" s="57" t="n"/>
      <c r="JI78" s="57" t="n"/>
      <c r="JJ78" s="67">
        <f>SUM(JF78:JI78)</f>
        <v/>
      </c>
      <c r="JK78" s="61" t="n"/>
      <c r="JL78" s="57" t="n"/>
      <c r="JM78" s="66">
        <f>JC78</f>
        <v/>
      </c>
      <c r="JN78" s="59" t="n"/>
      <c r="JO78" s="57" t="n"/>
      <c r="JP78" s="57" t="n"/>
      <c r="JQ78" s="57" t="n"/>
      <c r="JR78" s="57" t="n"/>
      <c r="JS78" s="67">
        <f>SUM(JO78:JR78)</f>
        <v/>
      </c>
      <c r="JT78" s="61" t="n"/>
      <c r="JU78" s="62">
        <f>I78+R78+AA78+AJ78+AS78+BB78+BK78+BT78+CC78+CL78+CU78+DD78+DM78+DV78+EE78+EN78+EW78+FF78+FO78+FX78+GG78+GP78+GY78+HH78+HQ78+HZ78+II78+IR78+JA78+JJ78+JS78</f>
        <v/>
      </c>
      <c r="JV78" s="63">
        <f>D78+M78+V78+AE78+AN78+AW78+BF78+BO78+BX78+CG78+CP78+CY78+DH78+DQ78+DZ78+EI78+ER78+FA78+FJ78+FS78+GB78+GK78+GT78+HC78+HL78+HU78+ID78+IM78+IV78+JE78+JN78</f>
        <v/>
      </c>
      <c r="JW78" s="62">
        <f>CHOOSE($Z$3,B78, K78, T78, AC78, AL78, AU78, BD78, BM78, BV78, CE78, CN78, CW78, DF78, DO78, DX78, EG78, EP78, EY78, FH78, FQ78, FZ78, GI78, GR78, HA78, HJ78, HS78, IB78, IK78, IT78, JC78, JL78)</f>
        <v/>
      </c>
      <c r="JX78" s="62">
        <f>IFERROR(JU78/$Z$3,0)</f>
        <v/>
      </c>
      <c r="JY78" s="62">
        <f>Configurações!$C$18</f>
        <v/>
      </c>
      <c r="JZ78" s="64">
        <f>IF(JY78=0,"— Sem meta",IF(JU78&gt;=JY78,"✓ Atingida","Em andamento"))</f>
        <v/>
      </c>
      <c r="KA78" s="65">
        <f>JU78+(2*0.0000001)</f>
        <v/>
      </c>
    </row>
    <row r="79" ht="20" customHeight="1">
      <c r="A79" s="56">
        <f>IF(Configurações!$B$19="","Assessor 13",Configurações!$B$19)</f>
        <v/>
      </c>
      <c r="B79" s="57" t="n"/>
      <c r="C79" s="58">
        <f>'Novembro'!$JW79</f>
        <v/>
      </c>
      <c r="D79" s="59" t="n"/>
      <c r="E79" s="57" t="n"/>
      <c r="F79" s="57" t="n"/>
      <c r="G79" s="57" t="n"/>
      <c r="H79" s="57" t="n"/>
      <c r="I79" s="60">
        <f>SUM(E79:H79)</f>
        <v/>
      </c>
      <c r="J79" s="61" t="n"/>
      <c r="K79" s="57" t="n"/>
      <c r="L79" s="58">
        <f>B79</f>
        <v/>
      </c>
      <c r="M79" s="59" t="n"/>
      <c r="N79" s="57" t="n"/>
      <c r="O79" s="57" t="n"/>
      <c r="P79" s="57" t="n"/>
      <c r="Q79" s="57" t="n"/>
      <c r="R79" s="60">
        <f>SUM(N79:Q79)</f>
        <v/>
      </c>
      <c r="S79" s="61" t="n"/>
      <c r="T79" s="57" t="n"/>
      <c r="U79" s="58">
        <f>K79</f>
        <v/>
      </c>
      <c r="V79" s="59" t="n"/>
      <c r="W79" s="57" t="n"/>
      <c r="X79" s="57" t="n"/>
      <c r="Y79" s="57" t="n"/>
      <c r="Z79" s="57" t="n"/>
      <c r="AA79" s="60">
        <f>SUM(W79:Z79)</f>
        <v/>
      </c>
      <c r="AB79" s="61" t="n"/>
      <c r="AC79" s="57" t="n"/>
      <c r="AD79" s="58">
        <f>T79</f>
        <v/>
      </c>
      <c r="AE79" s="59" t="n"/>
      <c r="AF79" s="57" t="n"/>
      <c r="AG79" s="57" t="n"/>
      <c r="AH79" s="57" t="n"/>
      <c r="AI79" s="57" t="n"/>
      <c r="AJ79" s="60">
        <f>SUM(AF79:AI79)</f>
        <v/>
      </c>
      <c r="AK79" s="61" t="n"/>
      <c r="AL79" s="57" t="n"/>
      <c r="AM79" s="58">
        <f>AC79</f>
        <v/>
      </c>
      <c r="AN79" s="59" t="n"/>
      <c r="AO79" s="57" t="n"/>
      <c r="AP79" s="57" t="n"/>
      <c r="AQ79" s="57" t="n"/>
      <c r="AR79" s="57" t="n"/>
      <c r="AS79" s="60">
        <f>SUM(AO79:AR79)</f>
        <v/>
      </c>
      <c r="AT79" s="61" t="n"/>
      <c r="AU79" s="57" t="n"/>
      <c r="AV79" s="58">
        <f>AL79</f>
        <v/>
      </c>
      <c r="AW79" s="59" t="n"/>
      <c r="AX79" s="57" t="n"/>
      <c r="AY79" s="57" t="n"/>
      <c r="AZ79" s="57" t="n"/>
      <c r="BA79" s="57" t="n"/>
      <c r="BB79" s="60">
        <f>SUM(AX79:BA79)</f>
        <v/>
      </c>
      <c r="BC79" s="61" t="n"/>
      <c r="BD79" s="57" t="n"/>
      <c r="BE79" s="58">
        <f>AU79</f>
        <v/>
      </c>
      <c r="BF79" s="59" t="n"/>
      <c r="BG79" s="57" t="n"/>
      <c r="BH79" s="57" t="n"/>
      <c r="BI79" s="57" t="n"/>
      <c r="BJ79" s="57" t="n"/>
      <c r="BK79" s="60">
        <f>SUM(BG79:BJ79)</f>
        <v/>
      </c>
      <c r="BL79" s="61" t="n"/>
      <c r="BM79" s="57" t="n"/>
      <c r="BN79" s="58">
        <f>BD79</f>
        <v/>
      </c>
      <c r="BO79" s="59" t="n"/>
      <c r="BP79" s="57" t="n"/>
      <c r="BQ79" s="57" t="n"/>
      <c r="BR79" s="57" t="n"/>
      <c r="BS79" s="57" t="n"/>
      <c r="BT79" s="60">
        <f>SUM(BP79:BS79)</f>
        <v/>
      </c>
      <c r="BU79" s="61" t="n"/>
      <c r="BV79" s="57" t="n"/>
      <c r="BW79" s="58">
        <f>BM79</f>
        <v/>
      </c>
      <c r="BX79" s="59" t="n"/>
      <c r="BY79" s="57" t="n"/>
      <c r="BZ79" s="57" t="n"/>
      <c r="CA79" s="57" t="n"/>
      <c r="CB79" s="57" t="n"/>
      <c r="CC79" s="60">
        <f>SUM(BY79:CB79)</f>
        <v/>
      </c>
      <c r="CD79" s="61" t="n"/>
      <c r="CE79" s="57" t="n"/>
      <c r="CF79" s="58">
        <f>BV79</f>
        <v/>
      </c>
      <c r="CG79" s="59" t="n"/>
      <c r="CH79" s="57" t="n"/>
      <c r="CI79" s="57" t="n"/>
      <c r="CJ79" s="57" t="n"/>
      <c r="CK79" s="57" t="n"/>
      <c r="CL79" s="60">
        <f>SUM(CH79:CK79)</f>
        <v/>
      </c>
      <c r="CM79" s="61" t="n"/>
      <c r="CN79" s="57" t="n"/>
      <c r="CO79" s="58">
        <f>CE79</f>
        <v/>
      </c>
      <c r="CP79" s="59" t="n"/>
      <c r="CQ79" s="57" t="n"/>
      <c r="CR79" s="57" t="n"/>
      <c r="CS79" s="57" t="n"/>
      <c r="CT79" s="57" t="n"/>
      <c r="CU79" s="60">
        <f>SUM(CQ79:CT79)</f>
        <v/>
      </c>
      <c r="CV79" s="61" t="n"/>
      <c r="CW79" s="57" t="n"/>
      <c r="CX79" s="58">
        <f>CN79</f>
        <v/>
      </c>
      <c r="CY79" s="59" t="n"/>
      <c r="CZ79" s="57" t="n"/>
      <c r="DA79" s="57" t="n"/>
      <c r="DB79" s="57" t="n"/>
      <c r="DC79" s="57" t="n"/>
      <c r="DD79" s="60">
        <f>SUM(CZ79:DC79)</f>
        <v/>
      </c>
      <c r="DE79" s="61" t="n"/>
      <c r="DF79" s="57" t="n"/>
      <c r="DG79" s="58">
        <f>CW79</f>
        <v/>
      </c>
      <c r="DH79" s="59" t="n"/>
      <c r="DI79" s="57" t="n"/>
      <c r="DJ79" s="57" t="n"/>
      <c r="DK79" s="57" t="n"/>
      <c r="DL79" s="57" t="n"/>
      <c r="DM79" s="60">
        <f>SUM(DI79:DL79)</f>
        <v/>
      </c>
      <c r="DN79" s="61" t="n"/>
      <c r="DO79" s="57" t="n"/>
      <c r="DP79" s="58">
        <f>DF79</f>
        <v/>
      </c>
      <c r="DQ79" s="59" t="n"/>
      <c r="DR79" s="57" t="n"/>
      <c r="DS79" s="57" t="n"/>
      <c r="DT79" s="57" t="n"/>
      <c r="DU79" s="57" t="n"/>
      <c r="DV79" s="60">
        <f>SUM(DR79:DU79)</f>
        <v/>
      </c>
      <c r="DW79" s="61" t="n"/>
      <c r="DX79" s="57" t="n"/>
      <c r="DY79" s="58">
        <f>DO79</f>
        <v/>
      </c>
      <c r="DZ79" s="59" t="n"/>
      <c r="EA79" s="57" t="n"/>
      <c r="EB79" s="57" t="n"/>
      <c r="EC79" s="57" t="n"/>
      <c r="ED79" s="57" t="n"/>
      <c r="EE79" s="60">
        <f>SUM(EA79:ED79)</f>
        <v/>
      </c>
      <c r="EF79" s="61" t="n"/>
      <c r="EG79" s="57" t="n"/>
      <c r="EH79" s="58">
        <f>DX79</f>
        <v/>
      </c>
      <c r="EI79" s="59" t="n"/>
      <c r="EJ79" s="57" t="n"/>
      <c r="EK79" s="57" t="n"/>
      <c r="EL79" s="57" t="n"/>
      <c r="EM79" s="57" t="n"/>
      <c r="EN79" s="60">
        <f>SUM(EJ79:EM79)</f>
        <v/>
      </c>
      <c r="EO79" s="61" t="n"/>
      <c r="EP79" s="57" t="n"/>
      <c r="EQ79" s="58">
        <f>EG79</f>
        <v/>
      </c>
      <c r="ER79" s="59" t="n"/>
      <c r="ES79" s="57" t="n"/>
      <c r="ET79" s="57" t="n"/>
      <c r="EU79" s="57" t="n"/>
      <c r="EV79" s="57" t="n"/>
      <c r="EW79" s="60">
        <f>SUM(ES79:EV79)</f>
        <v/>
      </c>
      <c r="EX79" s="61" t="n"/>
      <c r="EY79" s="57" t="n"/>
      <c r="EZ79" s="58">
        <f>EP79</f>
        <v/>
      </c>
      <c r="FA79" s="59" t="n"/>
      <c r="FB79" s="57" t="n"/>
      <c r="FC79" s="57" t="n"/>
      <c r="FD79" s="57" t="n"/>
      <c r="FE79" s="57" t="n"/>
      <c r="FF79" s="60">
        <f>SUM(FB79:FE79)</f>
        <v/>
      </c>
      <c r="FG79" s="61" t="n"/>
      <c r="FH79" s="57" t="n"/>
      <c r="FI79" s="58">
        <f>EY79</f>
        <v/>
      </c>
      <c r="FJ79" s="59" t="n"/>
      <c r="FK79" s="57" t="n"/>
      <c r="FL79" s="57" t="n"/>
      <c r="FM79" s="57" t="n"/>
      <c r="FN79" s="57" t="n"/>
      <c r="FO79" s="60">
        <f>SUM(FK79:FN79)</f>
        <v/>
      </c>
      <c r="FP79" s="61" t="n"/>
      <c r="FQ79" s="57" t="n"/>
      <c r="FR79" s="58">
        <f>FH79</f>
        <v/>
      </c>
      <c r="FS79" s="59" t="n"/>
      <c r="FT79" s="57" t="n"/>
      <c r="FU79" s="57" t="n"/>
      <c r="FV79" s="57" t="n"/>
      <c r="FW79" s="57" t="n"/>
      <c r="FX79" s="60">
        <f>SUM(FT79:FW79)</f>
        <v/>
      </c>
      <c r="FY79" s="61" t="n"/>
      <c r="FZ79" s="57" t="n"/>
      <c r="GA79" s="58">
        <f>FQ79</f>
        <v/>
      </c>
      <c r="GB79" s="59" t="n"/>
      <c r="GC79" s="57" t="n"/>
      <c r="GD79" s="57" t="n"/>
      <c r="GE79" s="57" t="n"/>
      <c r="GF79" s="57" t="n"/>
      <c r="GG79" s="60">
        <f>SUM(GC79:GF79)</f>
        <v/>
      </c>
      <c r="GH79" s="61" t="n"/>
      <c r="GI79" s="57" t="n"/>
      <c r="GJ79" s="58">
        <f>FZ79</f>
        <v/>
      </c>
      <c r="GK79" s="59" t="n"/>
      <c r="GL79" s="57" t="n"/>
      <c r="GM79" s="57" t="n"/>
      <c r="GN79" s="57" t="n"/>
      <c r="GO79" s="57" t="n"/>
      <c r="GP79" s="60">
        <f>SUM(GL79:GO79)</f>
        <v/>
      </c>
      <c r="GQ79" s="61" t="n"/>
      <c r="GR79" s="57" t="n"/>
      <c r="GS79" s="58">
        <f>GI79</f>
        <v/>
      </c>
      <c r="GT79" s="59" t="n"/>
      <c r="GU79" s="57" t="n"/>
      <c r="GV79" s="57" t="n"/>
      <c r="GW79" s="57" t="n"/>
      <c r="GX79" s="57" t="n"/>
      <c r="GY79" s="60">
        <f>SUM(GU79:GX79)</f>
        <v/>
      </c>
      <c r="GZ79" s="61" t="n"/>
      <c r="HA79" s="57" t="n"/>
      <c r="HB79" s="58">
        <f>GR79</f>
        <v/>
      </c>
      <c r="HC79" s="59" t="n"/>
      <c r="HD79" s="57" t="n"/>
      <c r="HE79" s="57" t="n"/>
      <c r="HF79" s="57" t="n"/>
      <c r="HG79" s="57" t="n"/>
      <c r="HH79" s="60">
        <f>SUM(HD79:HG79)</f>
        <v/>
      </c>
      <c r="HI79" s="61" t="n"/>
      <c r="HJ79" s="57" t="n"/>
      <c r="HK79" s="58">
        <f>HA79</f>
        <v/>
      </c>
      <c r="HL79" s="59" t="n"/>
      <c r="HM79" s="57" t="n"/>
      <c r="HN79" s="57" t="n"/>
      <c r="HO79" s="57" t="n"/>
      <c r="HP79" s="57" t="n"/>
      <c r="HQ79" s="60">
        <f>SUM(HM79:HP79)</f>
        <v/>
      </c>
      <c r="HR79" s="61" t="n"/>
      <c r="HS79" s="57" t="n"/>
      <c r="HT79" s="58">
        <f>HJ79</f>
        <v/>
      </c>
      <c r="HU79" s="59" t="n"/>
      <c r="HV79" s="57" t="n"/>
      <c r="HW79" s="57" t="n"/>
      <c r="HX79" s="57" t="n"/>
      <c r="HY79" s="57" t="n"/>
      <c r="HZ79" s="60">
        <f>SUM(HV79:HY79)</f>
        <v/>
      </c>
      <c r="IA79" s="61" t="n"/>
      <c r="IB79" s="57" t="n"/>
      <c r="IC79" s="58">
        <f>HS79</f>
        <v/>
      </c>
      <c r="ID79" s="59" t="n"/>
      <c r="IE79" s="57" t="n"/>
      <c r="IF79" s="57" t="n"/>
      <c r="IG79" s="57" t="n"/>
      <c r="IH79" s="57" t="n"/>
      <c r="II79" s="60">
        <f>SUM(IE79:IH79)</f>
        <v/>
      </c>
      <c r="IJ79" s="61" t="n"/>
      <c r="IK79" s="57" t="n"/>
      <c r="IL79" s="58">
        <f>IB79</f>
        <v/>
      </c>
      <c r="IM79" s="59" t="n"/>
      <c r="IN79" s="57" t="n"/>
      <c r="IO79" s="57" t="n"/>
      <c r="IP79" s="57" t="n"/>
      <c r="IQ79" s="57" t="n"/>
      <c r="IR79" s="60">
        <f>SUM(IN79:IQ79)</f>
        <v/>
      </c>
      <c r="IS79" s="61" t="n"/>
      <c r="IT79" s="57" t="n"/>
      <c r="IU79" s="58">
        <f>IK79</f>
        <v/>
      </c>
      <c r="IV79" s="59" t="n"/>
      <c r="IW79" s="57" t="n"/>
      <c r="IX79" s="57" t="n"/>
      <c r="IY79" s="57" t="n"/>
      <c r="IZ79" s="57" t="n"/>
      <c r="JA79" s="60">
        <f>SUM(IW79:IZ79)</f>
        <v/>
      </c>
      <c r="JB79" s="61" t="n"/>
      <c r="JC79" s="57" t="n"/>
      <c r="JD79" s="58">
        <f>IT79</f>
        <v/>
      </c>
      <c r="JE79" s="59" t="n"/>
      <c r="JF79" s="57" t="n"/>
      <c r="JG79" s="57" t="n"/>
      <c r="JH79" s="57" t="n"/>
      <c r="JI79" s="57" t="n"/>
      <c r="JJ79" s="60">
        <f>SUM(JF79:JI79)</f>
        <v/>
      </c>
      <c r="JK79" s="61" t="n"/>
      <c r="JL79" s="57" t="n"/>
      <c r="JM79" s="58">
        <f>JC79</f>
        <v/>
      </c>
      <c r="JN79" s="59" t="n"/>
      <c r="JO79" s="57" t="n"/>
      <c r="JP79" s="57" t="n"/>
      <c r="JQ79" s="57" t="n"/>
      <c r="JR79" s="57" t="n"/>
      <c r="JS79" s="60">
        <f>SUM(JO79:JR79)</f>
        <v/>
      </c>
      <c r="JT79" s="61" t="n"/>
      <c r="JU79" s="62">
        <f>I79+R79+AA79+AJ79+AS79+BB79+BK79+BT79+CC79+CL79+CU79+DD79+DM79+DV79+EE79+EN79+EW79+FF79+FO79+FX79+GG79+GP79+GY79+HH79+HQ79+HZ79+II79+IR79+JA79+JJ79+JS79</f>
        <v/>
      </c>
      <c r="JV79" s="63">
        <f>D79+M79+V79+AE79+AN79+AW79+BF79+BO79+BX79+CG79+CP79+CY79+DH79+DQ79+DZ79+EI79+ER79+FA79+FJ79+FS79+GB79+GK79+GT79+HC79+HL79+HU79+ID79+IM79+IV79+JE79+JN79</f>
        <v/>
      </c>
      <c r="JW79" s="62">
        <f>CHOOSE($Z$3,B79, K79, T79, AC79, AL79, AU79, BD79, BM79, BV79, CE79, CN79, CW79, DF79, DO79, DX79, EG79, EP79, EY79, FH79, FQ79, FZ79, GI79, GR79, HA79, HJ79, HS79, IB79, IK79, IT79, JC79, JL79)</f>
        <v/>
      </c>
      <c r="JX79" s="62">
        <f>IFERROR(JU79/$Z$3,0)</f>
        <v/>
      </c>
      <c r="JY79" s="62">
        <f>Configurações!$C$19</f>
        <v/>
      </c>
      <c r="JZ79" s="64">
        <f>IF(JY79=0,"— Sem meta",IF(JU79&gt;=JY79,"✓ Atingida","Em andamento"))</f>
        <v/>
      </c>
      <c r="KA79" s="65">
        <f>JU79+(1*0.0000001)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66:JZ79"/>
  <mergeCells count="65">
    <mergeCell ref="C6:D6"/>
    <mergeCell ref="I6:J6"/>
    <mergeCell ref="G10:I10"/>
    <mergeCell ref="T65:AB65"/>
    <mergeCell ref="CW65:DE65"/>
    <mergeCell ref="IK65:IS65"/>
    <mergeCell ref="FH65:FP65"/>
    <mergeCell ref="JV65:JV66"/>
    <mergeCell ref="C5:D5"/>
    <mergeCell ref="EY65:FG65"/>
    <mergeCell ref="JY65:JY66"/>
    <mergeCell ref="A2:KA2"/>
    <mergeCell ref="E5:F5"/>
    <mergeCell ref="K5:L5"/>
    <mergeCell ref="J9:L9"/>
    <mergeCell ref="AU65:BC65"/>
    <mergeCell ref="GI65:GQ65"/>
    <mergeCell ref="HJ65:HR65"/>
    <mergeCell ref="A6:B6"/>
    <mergeCell ref="A12:L12"/>
    <mergeCell ref="A65:A66"/>
    <mergeCell ref="JL65:JT65"/>
    <mergeCell ref="A8:L8"/>
    <mergeCell ref="FQ65:FY65"/>
    <mergeCell ref="D9:F9"/>
    <mergeCell ref="G6:H6"/>
    <mergeCell ref="B65:J65"/>
    <mergeCell ref="HS65:IA65"/>
    <mergeCell ref="AC65:AK65"/>
    <mergeCell ref="BD65:BL65"/>
    <mergeCell ref="A4:L4"/>
    <mergeCell ref="DO65:DW65"/>
    <mergeCell ref="A10:C10"/>
    <mergeCell ref="CE65:CM65"/>
    <mergeCell ref="DF65:DN65"/>
    <mergeCell ref="E6:F6"/>
    <mergeCell ref="EG65:EO65"/>
    <mergeCell ref="JX65:JX66"/>
    <mergeCell ref="JZ65:JZ66"/>
    <mergeCell ref="K65:S65"/>
    <mergeCell ref="A5:B5"/>
    <mergeCell ref="G5:H5"/>
    <mergeCell ref="A9:C9"/>
    <mergeCell ref="G9:I9"/>
    <mergeCell ref="I5:J5"/>
    <mergeCell ref="A64:KA64"/>
    <mergeCell ref="IT65:JB65"/>
    <mergeCell ref="A1:KA1"/>
    <mergeCell ref="D10:F10"/>
    <mergeCell ref="BV65:CD65"/>
    <mergeCell ref="IB65:IJ65"/>
    <mergeCell ref="CN65:CV65"/>
    <mergeCell ref="BM65:BU65"/>
    <mergeCell ref="DX65:EF65"/>
    <mergeCell ref="JU65:JU66"/>
    <mergeCell ref="J10:L10"/>
    <mergeCell ref="EP65:EX65"/>
    <mergeCell ref="JW65:JW66"/>
    <mergeCell ref="FZ65:GH65"/>
    <mergeCell ref="KA65:KA66"/>
    <mergeCell ref="HA65:HI65"/>
    <mergeCell ref="AL65:AT65"/>
    <mergeCell ref="GR65:GZ65"/>
    <mergeCell ref="JC65:JK65"/>
    <mergeCell ref="K6:L6"/>
  </mergeCells>
  <conditionalFormatting sqref="H14:H26">
    <cfRule type="expression" priority="1" dxfId="0">
      <formula>ISNUMBER(SEARCH("Atingida",H14))</formula>
    </cfRule>
  </conditionalFormatting>
  <conditionalFormatting sqref="B65:JT79">
    <cfRule type="expression" priority="2" dxfId="1">
      <formula>$Z$3&lt;INT((COLUMN()-2)/9)+1</formula>
    </cfRule>
  </conditionalFormatting>
  <conditionalFormatting sqref="D67:D79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I67:I79">
    <cfRule type="colorScale" priority="5">
      <colorScale>
        <cfvo type="min"/>
        <cfvo type="max"/>
        <color rgb="00FFFFFF"/>
        <color rgb="0063BE7B"/>
      </colorScale>
    </cfRule>
  </conditionalFormatting>
  <conditionalFormatting sqref="M67:M79">
    <cfRule type="cellIs" priority="6" operator="greaterThan" dxfId="2">
      <formula>0</formula>
    </cfRule>
    <cfRule type="cellIs" priority="7" operator="lessThan" dxfId="3">
      <formula>0</formula>
    </cfRule>
  </conditionalFormatting>
  <conditionalFormatting sqref="R67:R79">
    <cfRule type="colorScale" priority="8">
      <colorScale>
        <cfvo type="min"/>
        <cfvo type="max"/>
        <color rgb="00FFFFFF"/>
        <color rgb="0063BE7B"/>
      </colorScale>
    </cfRule>
  </conditionalFormatting>
  <conditionalFormatting sqref="V67:V79">
    <cfRule type="cellIs" priority="9" operator="greaterThan" dxfId="2">
      <formula>0</formula>
    </cfRule>
    <cfRule type="cellIs" priority="10" operator="lessThan" dxfId="3">
      <formula>0</formula>
    </cfRule>
  </conditionalFormatting>
  <conditionalFormatting sqref="AA67:AA79">
    <cfRule type="colorScale" priority="11">
      <colorScale>
        <cfvo type="min"/>
        <cfvo type="max"/>
        <color rgb="00FFFFFF"/>
        <color rgb="0063BE7B"/>
      </colorScale>
    </cfRule>
  </conditionalFormatting>
  <conditionalFormatting sqref="AE67:AE79">
    <cfRule type="cellIs" priority="12" operator="greaterThan" dxfId="2">
      <formula>0</formula>
    </cfRule>
    <cfRule type="cellIs" priority="13" operator="lessThan" dxfId="3">
      <formula>0</formula>
    </cfRule>
  </conditionalFormatting>
  <conditionalFormatting sqref="AJ67:AJ79">
    <cfRule type="colorScale" priority="14">
      <colorScale>
        <cfvo type="min"/>
        <cfvo type="max"/>
        <color rgb="00FFFFFF"/>
        <color rgb="0063BE7B"/>
      </colorScale>
    </cfRule>
  </conditionalFormatting>
  <conditionalFormatting sqref="AN67:AN79">
    <cfRule type="cellIs" priority="15" operator="greaterThan" dxfId="2">
      <formula>0</formula>
    </cfRule>
    <cfRule type="cellIs" priority="16" operator="lessThan" dxfId="3">
      <formula>0</formula>
    </cfRule>
  </conditionalFormatting>
  <conditionalFormatting sqref="AS67:AS79">
    <cfRule type="colorScale" priority="17">
      <colorScale>
        <cfvo type="min"/>
        <cfvo type="max"/>
        <color rgb="00FFFFFF"/>
        <color rgb="0063BE7B"/>
      </colorScale>
    </cfRule>
  </conditionalFormatting>
  <conditionalFormatting sqref="AW67:AW79">
    <cfRule type="cellIs" priority="18" operator="greaterThan" dxfId="2">
      <formula>0</formula>
    </cfRule>
    <cfRule type="cellIs" priority="19" operator="lessThan" dxfId="3">
      <formula>0</formula>
    </cfRule>
  </conditionalFormatting>
  <conditionalFormatting sqref="BB67:BB79">
    <cfRule type="colorScale" priority="20">
      <colorScale>
        <cfvo type="min"/>
        <cfvo type="max"/>
        <color rgb="00FFFFFF"/>
        <color rgb="0063BE7B"/>
      </colorScale>
    </cfRule>
  </conditionalFormatting>
  <conditionalFormatting sqref="BF67:BF79">
    <cfRule type="cellIs" priority="21" operator="greaterThan" dxfId="2">
      <formula>0</formula>
    </cfRule>
    <cfRule type="cellIs" priority="22" operator="lessThan" dxfId="3">
      <formula>0</formula>
    </cfRule>
  </conditionalFormatting>
  <conditionalFormatting sqref="BK67:BK79">
    <cfRule type="colorScale" priority="23">
      <colorScale>
        <cfvo type="min"/>
        <cfvo type="max"/>
        <color rgb="00FFFFFF"/>
        <color rgb="0063BE7B"/>
      </colorScale>
    </cfRule>
  </conditionalFormatting>
  <conditionalFormatting sqref="BO67:BO79">
    <cfRule type="cellIs" priority="24" operator="greaterThan" dxfId="2">
      <formula>0</formula>
    </cfRule>
    <cfRule type="cellIs" priority="25" operator="lessThan" dxfId="3">
      <formula>0</formula>
    </cfRule>
  </conditionalFormatting>
  <conditionalFormatting sqref="BT67:BT79">
    <cfRule type="colorScale" priority="26">
      <colorScale>
        <cfvo type="min"/>
        <cfvo type="max"/>
        <color rgb="00FFFFFF"/>
        <color rgb="0063BE7B"/>
      </colorScale>
    </cfRule>
  </conditionalFormatting>
  <conditionalFormatting sqref="BX67:BX79">
    <cfRule type="cellIs" priority="27" operator="greaterThan" dxfId="2">
      <formula>0</formula>
    </cfRule>
    <cfRule type="cellIs" priority="28" operator="lessThan" dxfId="3">
      <formula>0</formula>
    </cfRule>
  </conditionalFormatting>
  <conditionalFormatting sqref="CC67:CC79">
    <cfRule type="colorScale" priority="29">
      <colorScale>
        <cfvo type="min"/>
        <cfvo type="max"/>
        <color rgb="00FFFFFF"/>
        <color rgb="0063BE7B"/>
      </colorScale>
    </cfRule>
  </conditionalFormatting>
  <conditionalFormatting sqref="CG67:CG79">
    <cfRule type="cellIs" priority="30" operator="greaterThan" dxfId="2">
      <formula>0</formula>
    </cfRule>
    <cfRule type="cellIs" priority="31" operator="lessThan" dxfId="3">
      <formula>0</formula>
    </cfRule>
  </conditionalFormatting>
  <conditionalFormatting sqref="CL67:CL79">
    <cfRule type="colorScale" priority="32">
      <colorScale>
        <cfvo type="min"/>
        <cfvo type="max"/>
        <color rgb="00FFFFFF"/>
        <color rgb="0063BE7B"/>
      </colorScale>
    </cfRule>
  </conditionalFormatting>
  <conditionalFormatting sqref="CP67:CP79">
    <cfRule type="cellIs" priority="33" operator="greaterThan" dxfId="2">
      <formula>0</formula>
    </cfRule>
    <cfRule type="cellIs" priority="34" operator="lessThan" dxfId="3">
      <formula>0</formula>
    </cfRule>
  </conditionalFormatting>
  <conditionalFormatting sqref="CU67:CU79">
    <cfRule type="colorScale" priority="35">
      <colorScale>
        <cfvo type="min"/>
        <cfvo type="max"/>
        <color rgb="00FFFFFF"/>
        <color rgb="0063BE7B"/>
      </colorScale>
    </cfRule>
  </conditionalFormatting>
  <conditionalFormatting sqref="CY67:CY79">
    <cfRule type="cellIs" priority="36" operator="greaterThan" dxfId="2">
      <formula>0</formula>
    </cfRule>
    <cfRule type="cellIs" priority="37" operator="lessThan" dxfId="3">
      <formula>0</formula>
    </cfRule>
  </conditionalFormatting>
  <conditionalFormatting sqref="DD67:DD79">
    <cfRule type="colorScale" priority="38">
      <colorScale>
        <cfvo type="min"/>
        <cfvo type="max"/>
        <color rgb="00FFFFFF"/>
        <color rgb="0063BE7B"/>
      </colorScale>
    </cfRule>
  </conditionalFormatting>
  <conditionalFormatting sqref="DH67:DH79">
    <cfRule type="cellIs" priority="39" operator="greaterThan" dxfId="2">
      <formula>0</formula>
    </cfRule>
    <cfRule type="cellIs" priority="40" operator="lessThan" dxfId="3">
      <formula>0</formula>
    </cfRule>
  </conditionalFormatting>
  <conditionalFormatting sqref="DM67:DM79">
    <cfRule type="colorScale" priority="41">
      <colorScale>
        <cfvo type="min"/>
        <cfvo type="max"/>
        <color rgb="00FFFFFF"/>
        <color rgb="0063BE7B"/>
      </colorScale>
    </cfRule>
  </conditionalFormatting>
  <conditionalFormatting sqref="DQ67:DQ79">
    <cfRule type="cellIs" priority="42" operator="greaterThan" dxfId="2">
      <formula>0</formula>
    </cfRule>
    <cfRule type="cellIs" priority="43" operator="lessThan" dxfId="3">
      <formula>0</formula>
    </cfRule>
  </conditionalFormatting>
  <conditionalFormatting sqref="DV67:DV79">
    <cfRule type="colorScale" priority="44">
      <colorScale>
        <cfvo type="min"/>
        <cfvo type="max"/>
        <color rgb="00FFFFFF"/>
        <color rgb="0063BE7B"/>
      </colorScale>
    </cfRule>
  </conditionalFormatting>
  <conditionalFormatting sqref="DZ67:DZ79">
    <cfRule type="cellIs" priority="45" operator="greaterThan" dxfId="2">
      <formula>0</formula>
    </cfRule>
    <cfRule type="cellIs" priority="46" operator="lessThan" dxfId="3">
      <formula>0</formula>
    </cfRule>
  </conditionalFormatting>
  <conditionalFormatting sqref="EE67:EE79">
    <cfRule type="colorScale" priority="47">
      <colorScale>
        <cfvo type="min"/>
        <cfvo type="max"/>
        <color rgb="00FFFFFF"/>
        <color rgb="0063BE7B"/>
      </colorScale>
    </cfRule>
  </conditionalFormatting>
  <conditionalFormatting sqref="EI67:EI79">
    <cfRule type="cellIs" priority="48" operator="greaterThan" dxfId="2">
      <formula>0</formula>
    </cfRule>
    <cfRule type="cellIs" priority="49" operator="lessThan" dxfId="3">
      <formula>0</formula>
    </cfRule>
  </conditionalFormatting>
  <conditionalFormatting sqref="EN67:EN79">
    <cfRule type="colorScale" priority="50">
      <colorScale>
        <cfvo type="min"/>
        <cfvo type="max"/>
        <color rgb="00FFFFFF"/>
        <color rgb="0063BE7B"/>
      </colorScale>
    </cfRule>
  </conditionalFormatting>
  <conditionalFormatting sqref="ER67:ER79">
    <cfRule type="cellIs" priority="51" operator="greaterThan" dxfId="2">
      <formula>0</formula>
    </cfRule>
    <cfRule type="cellIs" priority="52" operator="lessThan" dxfId="3">
      <formula>0</formula>
    </cfRule>
  </conditionalFormatting>
  <conditionalFormatting sqref="EW67:EW79">
    <cfRule type="colorScale" priority="53">
      <colorScale>
        <cfvo type="min"/>
        <cfvo type="max"/>
        <color rgb="00FFFFFF"/>
        <color rgb="0063BE7B"/>
      </colorScale>
    </cfRule>
  </conditionalFormatting>
  <conditionalFormatting sqref="FA67:FA79">
    <cfRule type="cellIs" priority="54" operator="greaterThan" dxfId="2">
      <formula>0</formula>
    </cfRule>
    <cfRule type="cellIs" priority="55" operator="lessThan" dxfId="3">
      <formula>0</formula>
    </cfRule>
  </conditionalFormatting>
  <conditionalFormatting sqref="FF67:FF79">
    <cfRule type="colorScale" priority="56">
      <colorScale>
        <cfvo type="min"/>
        <cfvo type="max"/>
        <color rgb="00FFFFFF"/>
        <color rgb="0063BE7B"/>
      </colorScale>
    </cfRule>
  </conditionalFormatting>
  <conditionalFormatting sqref="FJ67:FJ79">
    <cfRule type="cellIs" priority="57" operator="greaterThan" dxfId="2">
      <formula>0</formula>
    </cfRule>
    <cfRule type="cellIs" priority="58" operator="lessThan" dxfId="3">
      <formula>0</formula>
    </cfRule>
  </conditionalFormatting>
  <conditionalFormatting sqref="FO67:FO79">
    <cfRule type="colorScale" priority="59">
      <colorScale>
        <cfvo type="min"/>
        <cfvo type="max"/>
        <color rgb="00FFFFFF"/>
        <color rgb="0063BE7B"/>
      </colorScale>
    </cfRule>
  </conditionalFormatting>
  <conditionalFormatting sqref="FS67:FS79">
    <cfRule type="cellIs" priority="60" operator="greaterThan" dxfId="2">
      <formula>0</formula>
    </cfRule>
    <cfRule type="cellIs" priority="61" operator="lessThan" dxfId="3">
      <formula>0</formula>
    </cfRule>
  </conditionalFormatting>
  <conditionalFormatting sqref="FX67:FX79">
    <cfRule type="colorScale" priority="62">
      <colorScale>
        <cfvo type="min"/>
        <cfvo type="max"/>
        <color rgb="00FFFFFF"/>
        <color rgb="0063BE7B"/>
      </colorScale>
    </cfRule>
  </conditionalFormatting>
  <conditionalFormatting sqref="GB67:GB79">
    <cfRule type="cellIs" priority="63" operator="greaterThan" dxfId="2">
      <formula>0</formula>
    </cfRule>
    <cfRule type="cellIs" priority="64" operator="lessThan" dxfId="3">
      <formula>0</formula>
    </cfRule>
  </conditionalFormatting>
  <conditionalFormatting sqref="GG67:GG79">
    <cfRule type="colorScale" priority="65">
      <colorScale>
        <cfvo type="min"/>
        <cfvo type="max"/>
        <color rgb="00FFFFFF"/>
        <color rgb="0063BE7B"/>
      </colorScale>
    </cfRule>
  </conditionalFormatting>
  <conditionalFormatting sqref="GK67:GK79">
    <cfRule type="cellIs" priority="66" operator="greaterThan" dxfId="2">
      <formula>0</formula>
    </cfRule>
    <cfRule type="cellIs" priority="67" operator="lessThan" dxfId="3">
      <formula>0</formula>
    </cfRule>
  </conditionalFormatting>
  <conditionalFormatting sqref="GP67:GP79">
    <cfRule type="colorScale" priority="68">
      <colorScale>
        <cfvo type="min"/>
        <cfvo type="max"/>
        <color rgb="00FFFFFF"/>
        <color rgb="0063BE7B"/>
      </colorScale>
    </cfRule>
  </conditionalFormatting>
  <conditionalFormatting sqref="GT67:GT79">
    <cfRule type="cellIs" priority="69" operator="greaterThan" dxfId="2">
      <formula>0</formula>
    </cfRule>
    <cfRule type="cellIs" priority="70" operator="lessThan" dxfId="3">
      <formula>0</formula>
    </cfRule>
  </conditionalFormatting>
  <conditionalFormatting sqref="GY67:GY79">
    <cfRule type="colorScale" priority="71">
      <colorScale>
        <cfvo type="min"/>
        <cfvo type="max"/>
        <color rgb="00FFFFFF"/>
        <color rgb="0063BE7B"/>
      </colorScale>
    </cfRule>
  </conditionalFormatting>
  <conditionalFormatting sqref="HC67:HC79">
    <cfRule type="cellIs" priority="72" operator="greaterThan" dxfId="2">
      <formula>0</formula>
    </cfRule>
    <cfRule type="cellIs" priority="73" operator="lessThan" dxfId="3">
      <formula>0</formula>
    </cfRule>
  </conditionalFormatting>
  <conditionalFormatting sqref="HH67:HH79">
    <cfRule type="colorScale" priority="74">
      <colorScale>
        <cfvo type="min"/>
        <cfvo type="max"/>
        <color rgb="00FFFFFF"/>
        <color rgb="0063BE7B"/>
      </colorScale>
    </cfRule>
  </conditionalFormatting>
  <conditionalFormatting sqref="HL67:HL79">
    <cfRule type="cellIs" priority="75" operator="greaterThan" dxfId="2">
      <formula>0</formula>
    </cfRule>
    <cfRule type="cellIs" priority="76" operator="lessThan" dxfId="3">
      <formula>0</formula>
    </cfRule>
  </conditionalFormatting>
  <conditionalFormatting sqref="HQ67:HQ79">
    <cfRule type="colorScale" priority="77">
      <colorScale>
        <cfvo type="min"/>
        <cfvo type="max"/>
        <color rgb="00FFFFFF"/>
        <color rgb="0063BE7B"/>
      </colorScale>
    </cfRule>
  </conditionalFormatting>
  <conditionalFormatting sqref="HU67:HU79">
    <cfRule type="cellIs" priority="78" operator="greaterThan" dxfId="2">
      <formula>0</formula>
    </cfRule>
    <cfRule type="cellIs" priority="79" operator="lessThan" dxfId="3">
      <formula>0</formula>
    </cfRule>
  </conditionalFormatting>
  <conditionalFormatting sqref="HZ67:HZ79">
    <cfRule type="colorScale" priority="80">
      <colorScale>
        <cfvo type="min"/>
        <cfvo type="max"/>
        <color rgb="00FFFFFF"/>
        <color rgb="0063BE7B"/>
      </colorScale>
    </cfRule>
  </conditionalFormatting>
  <conditionalFormatting sqref="ID67:ID79">
    <cfRule type="cellIs" priority="81" operator="greaterThan" dxfId="2">
      <formula>0</formula>
    </cfRule>
    <cfRule type="cellIs" priority="82" operator="lessThan" dxfId="3">
      <formula>0</formula>
    </cfRule>
  </conditionalFormatting>
  <conditionalFormatting sqref="II67:II79">
    <cfRule type="colorScale" priority="83">
      <colorScale>
        <cfvo type="min"/>
        <cfvo type="max"/>
        <color rgb="00FFFFFF"/>
        <color rgb="0063BE7B"/>
      </colorScale>
    </cfRule>
  </conditionalFormatting>
  <conditionalFormatting sqref="IM67:IM79">
    <cfRule type="cellIs" priority="84" operator="greaterThan" dxfId="2">
      <formula>0</formula>
    </cfRule>
    <cfRule type="cellIs" priority="85" operator="lessThan" dxfId="3">
      <formula>0</formula>
    </cfRule>
  </conditionalFormatting>
  <conditionalFormatting sqref="IR67:IR79">
    <cfRule type="colorScale" priority="86">
      <colorScale>
        <cfvo type="min"/>
        <cfvo type="max"/>
        <color rgb="00FFFFFF"/>
        <color rgb="0063BE7B"/>
      </colorScale>
    </cfRule>
  </conditionalFormatting>
  <conditionalFormatting sqref="IV67:IV79">
    <cfRule type="cellIs" priority="87" operator="greaterThan" dxfId="2">
      <formula>0</formula>
    </cfRule>
    <cfRule type="cellIs" priority="88" operator="lessThan" dxfId="3">
      <formula>0</formula>
    </cfRule>
  </conditionalFormatting>
  <conditionalFormatting sqref="JA67:JA79">
    <cfRule type="colorScale" priority="89">
      <colorScale>
        <cfvo type="min"/>
        <cfvo type="max"/>
        <color rgb="00FFFFFF"/>
        <color rgb="0063BE7B"/>
      </colorScale>
    </cfRule>
  </conditionalFormatting>
  <conditionalFormatting sqref="JE67:JE79">
    <cfRule type="cellIs" priority="90" operator="greaterThan" dxfId="2">
      <formula>0</formula>
    </cfRule>
    <cfRule type="cellIs" priority="91" operator="lessThan" dxfId="3">
      <formula>0</formula>
    </cfRule>
  </conditionalFormatting>
  <conditionalFormatting sqref="JJ67:JJ79">
    <cfRule type="colorScale" priority="92">
      <colorScale>
        <cfvo type="min"/>
        <cfvo type="max"/>
        <color rgb="00FFFFFF"/>
        <color rgb="0063BE7B"/>
      </colorScale>
    </cfRule>
  </conditionalFormatting>
  <conditionalFormatting sqref="JN67:JN79">
    <cfRule type="cellIs" priority="93" operator="greaterThan" dxfId="2">
      <formula>0</formula>
    </cfRule>
    <cfRule type="cellIs" priority="94" operator="lessThan" dxfId="3">
      <formula>0</formula>
    </cfRule>
  </conditionalFormatting>
  <conditionalFormatting sqref="JS67:JS79">
    <cfRule type="colorScale" priority="95">
      <colorScale>
        <cfvo type="min"/>
        <cfvo type="max"/>
        <color rgb="00FFFFFF"/>
        <color rgb="0063BE7B"/>
      </colorScale>
    </cfRule>
  </conditionalFormatting>
  <conditionalFormatting sqref="JZ67:JZ79">
    <cfRule type="expression" priority="96" dxfId="0">
      <formula>ISNUMBER(SEARCH("Atingida",JZ67))</formula>
    </cfRule>
  </conditionalFormatting>
  <dataValidations count="4">
    <dataValidation sqref="B67:B79 K67:K79 T67:T79 AC67:AC79 AL67:AL79 AU67:AU79 BD67:BD79 BM67:BM79 BV67:BV79 CE67:CE79 CN67:CN79 CW67:CW79 DF67:DF79 DO67:DO79 DX67:DX79 EG67:EG79 EP67:EP79 EY67:EY79 FH67:FH79 FQ67:FQ79 FZ67:FZ79 GI67:GI79 GR67:GR79 HA67:HA79 HJ67:HJ79 HS67:HS79 IB67:IB79 IK67:IK79 IT67:IT79 JC67:JC79 JL67:JL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D67:D79 M67:M79 V67:V79 AE67:AE79 AN67:AN79 AW67:AW79 BF67:BF79 BO67:BO79 BX67:BX79 CG67:CG79 CP67:CP79 CY67:CY79 DH67:DH79 DQ67:DQ79 DZ67:DZ79 EI67:EI79 ER67:ER79 FA67:FA79 FJ67:FJ79 FS67:FS79 GB67:GB79 GK67:GK79 GT67:GT79 HC67:HC79 HL67:HL79 HU67:HU79 ID67:ID79 IM67:IM79 IV67:IV79 JE67:JE79 JN67:JN79" showDropDown="0" showInputMessage="0" showErrorMessage="1" allowBlank="1" errorTitle="Valor inválido" error="Informe um valor numérico (positivo ou negativo)." type="decimal" operator="between">
      <formula1>-999999999</formula1>
      <formula2>999999999</formula2>
    </dataValidation>
    <dataValidation sqref="E67:E79 F67:F79 G67:G79 H67:H79 N67:N79 O67:O79 P67:P79 Q67:Q79 W67:W79 X67:X79 Y67:Y79 Z67:Z79 AF67:AF79 AG67:AG79 AH67:AH79 AI67:AI79 AO67:AO79 AP67:AP79 AQ67:AQ79 AR67:AR79 AX67:AX79 AY67:AY79 AZ67:AZ79 BA67:BA79 BG67:BG79 BH67:BH79 BI67:BI79 BJ67:BJ79 BP67:BP79 BQ67:BQ79 BR67:BR79 BS67:BS79 BY67:BY79 BZ67:BZ79 CA67:CA79 CB67:CB79 CH67:CH79 CI67:CI79 CJ67:CJ79 CK67:CK79 CQ67:CQ79 CR67:CR79 CS67:CS79 CT67:CT79 CZ67:CZ79 DA67:DA79 DB67:DB79 DC67:DC79 DI67:DI79 DJ67:DJ79 DK67:DK79 DL67:DL79 DR67:DR79 DS67:DS79 DT67:DT79 DU67:DU79 EA67:EA79 EB67:EB79 EC67:EC79 ED67:ED79 EJ67:EJ79 EK67:EK79 EL67:EL79 EM67:EM79 ES67:ES79 ET67:ET79 EU67:EU79 EV67:EV79 FB67:FB79 FC67:FC79 FD67:FD79 FE67:FE79 FK67:FK79 FL67:FL79 FM67:FM79 FN67:FN79 FT67:FT79 FU67:FU79 FV67:FV79 FW67:FW79 GC67:GC79 GD67:GD79 GE67:GE79 GF67:GF79 GL67:GL79 GM67:GM79 GN67:GN79 GO67:GO79 GU67:GU79 GV67:GV79 GW67:GW79 GX67:GX79 HD67:HD79 HE67:HE79 HF67:HF79 HG67:HG79 HM67:HM79 HN67:HN79 HO67:HO79 HP67:HP79 HV67:HV79 HW67:HW79 HX67:HX79 HY67:HY79 IE67:IE79 IF67:IF79 IG67:IG79 IH67:IH79 IN67:IN79 IO67:IO79 IP67:IP79 IQ67:IQ79 IW67:IW79 IX67:IX79 IY67:IY79 IZ67:IZ79 JF67:JF79 JG67:JG79 JH67:JH79 JI67:JI79 JO67:JO79 JP67:JP79 JQ67:JQ79 JR67:JR79" showDropDown="0" showInputMessage="0" showErrorMessage="1" allowBlank="1" errorTitle="Valor inválido" error="Informe um valor numérico maior ou igual a zero." type="decimal" operator="greaterThanOrEqual">
      <formula1>0</formula1>
    </dataValidation>
    <dataValidation sqref="J67:J79 S67:S79 AB67:AB79 AK67:AK79 AT67:AT79 BC67:BC79 BL67:BL79 BU67:BU79 CD67:CD79 CM67:CM79 CV67:CV79 DE67:DE79 DN67:DN79 DW67:DW79 EF67:EF79 EO67:EO79 EX67:EX79 FG67:FG79 FP67:FP79 FY67:FY79 GH67:GH79 GQ67:GQ79 GZ67:GZ79 HI67:HI79 HR67:HR79 IA67:IA79 IJ67:IJ79 IS67:IS79 JB67:JB79 JK67:JK79 JT67:JT79" showDropDown="0" showInputMessage="0" showErrorMessage="1" allowBlank="1" errorTitle="Texto muito longo" error="Limite de 300 caracteres." type="textLength" operator="lessThanOrEqual">
      <formula1>300</formula1>
    </dataValidation>
  </dataValidations>
  <pageMargins left="0.75" right="0.75" top="1" bottom="1" header="0.5" footer="0.5"/>
  <pageSetup orientation="landscape" fitToHeight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2026-07-02T15:00:09Z</dcterms:created>
  <dcterms:modified xsi:type="dcterms:W3CDTF">2026-07-02T15:00:17Z</dcterms:modified>
</cp:coreProperties>
</file>