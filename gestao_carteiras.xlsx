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Clientes" sheetId="1" state="visible" r:id="rId1"/>
    <sheet name="Aplicacoes" sheetId="2" state="visible" r:id="rId2"/>
    <sheet name="Carteira do Cliente" sheetId="3" state="visible" r:id="rId3"/>
    <sheet name="Carteira Sugerida" sheetId="4" state="visible" r:id="rId4"/>
    <sheet name="Planejamento" sheetId="5" state="visible" r:id="rId5"/>
    <sheet name="Tabela Periódica" sheetId="6" state="visible" r:id="rId6"/>
    <sheet name="Instru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R$ #,##0.00;[Red]-R$ #,##0.00"/>
    <numFmt numFmtId="166" formatCode="0.0%"/>
    <numFmt numFmtId="167" formatCode="0.0000%"/>
    <numFmt numFmtId="168" formatCode="0.00%;[Red]-0.00%"/>
  </numFmts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sz val="10"/>
    </font>
    <font>
      <i val="1"/>
      <color rgb="005B6470"/>
      <sz val="10"/>
    </font>
    <font>
      <b val="1"/>
      <color rgb="001F4E79"/>
      <sz val="10"/>
    </font>
    <font>
      <b val="1"/>
      <color rgb="001F4E79"/>
      <sz val="11"/>
    </font>
    <font>
      <b val="1"/>
      <color rgb="00FFFFFF"/>
      <sz val="10"/>
    </font>
    <font>
      <b val="1"/>
      <color rgb="001F4E79"/>
      <sz val="12"/>
    </font>
    <font>
      <b val="1"/>
      <color rgb="00FFFFFF"/>
      <sz val="11"/>
    </font>
    <font>
      <b val="1"/>
      <color rgb="00FFFFFF"/>
      <sz val="16"/>
    </font>
    <font>
      <b val="1"/>
      <sz val="9"/>
    </font>
    <font>
      <color rgb="001F4E79"/>
      <sz val="10"/>
    </font>
    <font>
      <sz val="9"/>
    </font>
    <font>
      <i val="1"/>
      <color rgb="005B6470"/>
      <sz val="9"/>
    </font>
    <font>
      <b val="1"/>
      <color rgb="00FFFFFF"/>
      <sz val="13"/>
    </font>
    <font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7D6"/>
      </patternFill>
    </fill>
    <fill>
      <patternFill patternType="solid">
        <fgColor rgb="00F0F2F5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49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1" fontId="3" fillId="4" borderId="1" applyAlignment="1" pivotButton="0" quotePrefix="0" xfId="0">
      <alignment horizontal="left" vertical="center" indent="1"/>
    </xf>
    <xf numFmtId="164" fontId="3" fillId="4" borderId="1" applyAlignment="1" pivotButton="0" quotePrefix="0" xfId="0">
      <alignment horizontal="left" vertical="center" indent="1"/>
    </xf>
    <xf numFmtId="165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49" fontId="4" fillId="4" borderId="1" applyAlignment="1" pivotButton="0" quotePrefix="0" xfId="0">
      <alignment horizontal="left" vertical="center" indent="1"/>
    </xf>
    <xf numFmtId="1" fontId="3" fillId="5" borderId="1" applyAlignment="1" pivotButton="0" quotePrefix="0" xfId="0">
      <alignment horizontal="left" vertical="center" indent="1"/>
    </xf>
    <xf numFmtId="164" fontId="3" fillId="5" borderId="1" applyAlignment="1" pivotButton="0" quotePrefix="0" xfId="0">
      <alignment horizontal="left" vertical="center" indent="1"/>
    </xf>
    <xf numFmtId="165" fontId="3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49" fontId="4" fillId="5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indent="1"/>
    </xf>
    <xf numFmtId="49" fontId="5" fillId="5" borderId="1" applyAlignment="1" pivotButton="0" quotePrefix="0" xfId="0">
      <alignment horizontal="left" vertical="center" indent="1"/>
    </xf>
    <xf numFmtId="165" fontId="5" fillId="5" borderId="1" applyAlignment="1" pivotButton="0" quotePrefix="0" xfId="0">
      <alignment horizontal="left" vertical="center" indent="1"/>
    </xf>
    <xf numFmtId="1" fontId="5" fillId="5" borderId="1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165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center" vertical="center"/>
    </xf>
    <xf numFmtId="165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1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 indent="1"/>
    </xf>
    <xf numFmtId="166" fontId="5" fillId="7" borderId="1" applyAlignment="1" pivotButton="0" quotePrefix="0" xfId="0">
      <alignment horizontal="right" vertical="center" indent="1"/>
    </xf>
    <xf numFmtId="0" fontId="3" fillId="6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center" wrapText="1" indent="1"/>
    </xf>
    <xf numFmtId="1" fontId="3" fillId="6" borderId="1" applyAlignment="1" pivotButton="0" quotePrefix="0" xfId="0">
      <alignment horizontal="left" vertical="center" indent="1"/>
    </xf>
    <xf numFmtId="10" fontId="3" fillId="6" borderId="1" applyAlignment="1" pivotButton="0" quotePrefix="0" xfId="0">
      <alignment horizontal="left" vertical="center" indent="1"/>
    </xf>
    <xf numFmtId="165" fontId="3" fillId="6" borderId="1" applyAlignment="1" pivotButton="0" quotePrefix="0" xfId="0">
      <alignment horizontal="left" vertical="center" indent="1"/>
    </xf>
    <xf numFmtId="10" fontId="3" fillId="5" borderId="1" applyAlignment="1" pivotButton="0" quotePrefix="0" xfId="0">
      <alignment horizontal="left" vertical="center" indent="1"/>
    </xf>
    <xf numFmtId="167" fontId="3" fillId="5" borderId="1" applyAlignment="1" pivotButton="0" quotePrefix="0" xfId="0">
      <alignment horizontal="left" vertical="center" indent="1"/>
    </xf>
    <xf numFmtId="1" fontId="12" fillId="5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168" fontId="3" fillId="6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wrapText="1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C0392B"/>
      </font>
      <fill>
        <patternFill patternType="solid">
          <fgColor rgb="00F9D7D4"/>
        </patternFill>
      </fill>
    </dxf>
    <dxf>
      <font>
        <b val="1"/>
        <color rgb="001E7B34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Alocação por classe</a:t>
            </a:r>
          </a:p>
        </rich>
      </tx>
    </title>
    <plotArea>
      <doughnutChart>
        <varyColors val="1"/>
        <ser>
          <idx val="0"/>
          <order val="0"/>
          <tx>
            <strRef>
              <f>'Carteira do Cliente'!C10</f>
            </strRef>
          </tx>
          <spPr>
            <a:ln>
              <a:prstDash val="solid"/>
            </a:ln>
          </spPr>
          <cat>
            <numRef>
              <f>'Carteira do Cliente'!$A$11:$A$18</f>
            </numRef>
          </cat>
          <val>
            <numRef>
              <f>'Carteira do Cliente'!$C$11:$C$18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Composição por Classe de Ativos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'Carteira Sugerida'!$Q$8:$Q$15</f>
            </numRef>
          </cat>
          <val>
            <numRef>
              <f>'Carteira Sugerida'!$R$8:$R$15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de Liquidez (R$ por D+)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'Carteira Sugerida'!$S$8:$S$18</f>
            </numRef>
          </cat>
          <val>
            <numRef>
              <f>'Carteira Sugerida'!$T$8:$T$18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Liquidez (dias)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Projeção Patrimonial — Independência Financeira &amp; Aposentadoria</a:t>
            </a:r>
          </a:p>
        </rich>
      </tx>
    </title>
    <plotArea>
      <areaChart>
        <grouping val="standard"/>
        <ser>
          <idx val="0"/>
          <order val="0"/>
          <tx>
            <strRef>
              <f>'Planejamento'!I34</f>
            </strRef>
          </tx>
          <spPr>
            <a:ln>
              <a:prstDash val="solid"/>
            </a:ln>
          </spPr>
          <cat>
            <numRef>
              <f>'Planejamento'!$H$35:$H$74</f>
            </numRef>
          </cat>
          <val>
            <numRef>
              <f>'Planejamento'!$I$35:$I$74</f>
            </numRef>
          </val>
        </ser>
        <axId val="10"/>
        <axId val="100"/>
      </areaChart>
      <lineChart>
        <grouping val="standard"/>
        <ser>
          <idx val="1"/>
          <order val="1"/>
          <tx>
            <strRef>
              <f>'Planejamento'!J34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'Planejamento'!$J$35:$J$74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Idade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Patrimônio (R$)</a:t>
                </a:r>
              </a:p>
            </rich>
          </tx>
        </title>
        <numFmt formatCode="R$ #,##0" sourceLinked="0"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34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34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lientes" displayName="tblClientes" ref="A2:C1002" headerRowCount="1">
  <autoFilter ref="A2:C1002"/>
  <tableColumns count="3">
    <tableColumn id="1" name="Penumper"/>
    <tableColumn id="2" name="Nome"/>
    <tableColumn id="3" name="CPF"/>
  </tableColumns>
  <tableStyleInfo name="TableStyleLight9" showRowStripes="1"/>
</table>
</file>

<file path=xl/tables/table2.xml><?xml version="1.0" encoding="utf-8"?>
<table xmlns="http://schemas.openxmlformats.org/spreadsheetml/2006/main" id="2" name="tblAplicacoes" displayName="tblAplicacoes" ref="A2:J1002" headerRowCount="1">
  <autoFilter ref="A2:J1002"/>
  <tableColumns count="10">
    <tableColumn id="1" name="Penumper"/>
    <tableColumn id="2" name="Mês_x000a_(AAAAMM)"/>
    <tableColumn id="3" name="Produto"/>
    <tableColumn id="4" name="Subproduto"/>
    <tableColumn id="5" name="Vencimento"/>
    <tableColumn id="6" name="Saldo Ponta"/>
    <tableColumn id="7" name="Idade"/>
    <tableColumn id="8" name="Nome_x000a_(automático)"/>
    <tableColumn id="9" name="CPF_x000a_(automático)"/>
    <tableColumn id="10" name="rk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0" customWidth="1" min="3" max="3"/>
  </cols>
  <sheetData>
    <row r="1" ht="30" customHeight="1">
      <c r="A1" s="1" t="inlineStr">
        <is>
          <t>CADASTRO DE CLIENTES</t>
        </is>
      </c>
    </row>
    <row r="2">
      <c r="A2" s="2" t="inlineStr">
        <is>
          <t>Penumper</t>
        </is>
      </c>
      <c r="B2" s="2" t="inlineStr">
        <is>
          <t>Nome</t>
        </is>
      </c>
      <c r="C2" s="2" t="inlineStr">
        <is>
          <t>CPF</t>
        </is>
      </c>
    </row>
    <row r="3">
      <c r="A3" s="3" t="n"/>
      <c r="B3" s="4" t="n"/>
      <c r="C3" s="3" t="n"/>
    </row>
    <row r="4">
      <c r="A4" s="5" t="n"/>
      <c r="B4" s="6" t="n"/>
      <c r="C4" s="5" t="n"/>
    </row>
    <row r="5">
      <c r="A5" s="3" t="n"/>
      <c r="B5" s="4" t="n"/>
      <c r="C5" s="3" t="n"/>
    </row>
    <row r="6">
      <c r="A6" s="5" t="n"/>
      <c r="B6" s="6" t="n"/>
      <c r="C6" s="5" t="n"/>
    </row>
    <row r="7">
      <c r="A7" s="3" t="n"/>
      <c r="B7" s="4" t="n"/>
      <c r="C7" s="3" t="n"/>
    </row>
    <row r="8">
      <c r="A8" s="5" t="n"/>
      <c r="B8" s="6" t="n"/>
      <c r="C8" s="5" t="n"/>
    </row>
    <row r="9">
      <c r="A9" s="3" t="n"/>
      <c r="B9" s="4" t="n"/>
      <c r="C9" s="3" t="n"/>
    </row>
    <row r="10">
      <c r="A10" s="5" t="n"/>
      <c r="B10" s="6" t="n"/>
      <c r="C10" s="5" t="n"/>
    </row>
    <row r="11">
      <c r="A11" s="3" t="n"/>
      <c r="B11" s="4" t="n"/>
      <c r="C11" s="3" t="n"/>
    </row>
    <row r="12">
      <c r="A12" s="5" t="n"/>
      <c r="B12" s="6" t="n"/>
      <c r="C12" s="5" t="n"/>
    </row>
    <row r="13">
      <c r="A13" s="3" t="n"/>
      <c r="B13" s="4" t="n"/>
      <c r="C13" s="3" t="n"/>
    </row>
    <row r="14">
      <c r="A14" s="5" t="n"/>
      <c r="B14" s="6" t="n"/>
      <c r="C14" s="5" t="n"/>
    </row>
    <row r="15">
      <c r="A15" s="3" t="n"/>
      <c r="B15" s="4" t="n"/>
      <c r="C15" s="3" t="n"/>
    </row>
    <row r="16">
      <c r="A16" s="5" t="n"/>
      <c r="B16" s="6" t="n"/>
      <c r="C16" s="5" t="n"/>
    </row>
    <row r="17">
      <c r="A17" s="3" t="n"/>
      <c r="B17" s="4" t="n"/>
      <c r="C17" s="3" t="n"/>
    </row>
    <row r="18">
      <c r="A18" s="5" t="n"/>
      <c r="B18" s="6" t="n"/>
      <c r="C18" s="5" t="n"/>
    </row>
    <row r="19">
      <c r="A19" s="3" t="n"/>
      <c r="B19" s="4" t="n"/>
      <c r="C19" s="3" t="n"/>
    </row>
    <row r="20">
      <c r="A20" s="5" t="n"/>
      <c r="B20" s="6" t="n"/>
      <c r="C20" s="5" t="n"/>
    </row>
    <row r="21">
      <c r="A21" s="3" t="n"/>
      <c r="B21" s="4" t="n"/>
      <c r="C21" s="3" t="n"/>
    </row>
    <row r="22">
      <c r="A22" s="5" t="n"/>
      <c r="B22" s="6" t="n"/>
      <c r="C22" s="5" t="n"/>
    </row>
    <row r="23">
      <c r="A23" s="3" t="n"/>
      <c r="B23" s="4" t="n"/>
      <c r="C23" s="3" t="n"/>
    </row>
    <row r="24">
      <c r="A24" s="5" t="n"/>
      <c r="B24" s="6" t="n"/>
      <c r="C24" s="5" t="n"/>
    </row>
    <row r="25">
      <c r="A25" s="3" t="n"/>
      <c r="B25" s="4" t="n"/>
      <c r="C25" s="3" t="n"/>
    </row>
    <row r="26">
      <c r="A26" s="5" t="n"/>
      <c r="B26" s="6" t="n"/>
      <c r="C26" s="5" t="n"/>
    </row>
    <row r="27">
      <c r="A27" s="3" t="n"/>
      <c r="B27" s="4" t="n"/>
      <c r="C27" s="3" t="n"/>
    </row>
    <row r="28">
      <c r="A28" s="5" t="n"/>
      <c r="B28" s="6" t="n"/>
      <c r="C28" s="5" t="n"/>
    </row>
    <row r="29">
      <c r="A29" s="3" t="n"/>
      <c r="B29" s="4" t="n"/>
      <c r="C29" s="3" t="n"/>
    </row>
    <row r="30">
      <c r="A30" s="5" t="n"/>
      <c r="B30" s="6" t="n"/>
      <c r="C30" s="5" t="n"/>
    </row>
    <row r="31">
      <c r="A31" s="3" t="n"/>
      <c r="B31" s="4" t="n"/>
      <c r="C31" s="3" t="n"/>
    </row>
    <row r="32">
      <c r="A32" s="5" t="n"/>
      <c r="B32" s="6" t="n"/>
      <c r="C32" s="5" t="n"/>
    </row>
    <row r="33">
      <c r="A33" s="3" t="n"/>
      <c r="B33" s="4" t="n"/>
      <c r="C33" s="3" t="n"/>
    </row>
    <row r="34">
      <c r="A34" s="5" t="n"/>
      <c r="B34" s="6" t="n"/>
      <c r="C34" s="5" t="n"/>
    </row>
    <row r="35">
      <c r="A35" s="3" t="n"/>
      <c r="B35" s="4" t="n"/>
      <c r="C35" s="3" t="n"/>
    </row>
    <row r="36">
      <c r="A36" s="5" t="n"/>
      <c r="B36" s="6" t="n"/>
      <c r="C36" s="5" t="n"/>
    </row>
    <row r="37">
      <c r="A37" s="3" t="n"/>
      <c r="B37" s="4" t="n"/>
      <c r="C37" s="3" t="n"/>
    </row>
    <row r="38">
      <c r="A38" s="5" t="n"/>
      <c r="B38" s="6" t="n"/>
      <c r="C38" s="5" t="n"/>
    </row>
    <row r="39">
      <c r="A39" s="3" t="n"/>
      <c r="B39" s="4" t="n"/>
      <c r="C39" s="3" t="n"/>
    </row>
    <row r="40">
      <c r="A40" s="5" t="n"/>
      <c r="B40" s="6" t="n"/>
      <c r="C40" s="5" t="n"/>
    </row>
    <row r="41">
      <c r="A41" s="3" t="n"/>
      <c r="B41" s="4" t="n"/>
      <c r="C41" s="3" t="n"/>
    </row>
    <row r="42">
      <c r="A42" s="5" t="n"/>
      <c r="B42" s="6" t="n"/>
      <c r="C42" s="5" t="n"/>
    </row>
    <row r="43">
      <c r="A43" s="3" t="n"/>
      <c r="B43" s="4" t="n"/>
      <c r="C43" s="3" t="n"/>
    </row>
    <row r="44">
      <c r="A44" s="5" t="n"/>
      <c r="B44" s="6" t="n"/>
      <c r="C44" s="5" t="n"/>
    </row>
    <row r="45">
      <c r="A45" s="3" t="n"/>
      <c r="B45" s="4" t="n"/>
      <c r="C45" s="3" t="n"/>
    </row>
    <row r="46">
      <c r="A46" s="5" t="n"/>
      <c r="B46" s="6" t="n"/>
      <c r="C46" s="5" t="n"/>
    </row>
    <row r="47">
      <c r="A47" s="3" t="n"/>
      <c r="B47" s="4" t="n"/>
      <c r="C47" s="3" t="n"/>
    </row>
    <row r="48">
      <c r="A48" s="5" t="n"/>
      <c r="B48" s="6" t="n"/>
      <c r="C48" s="5" t="n"/>
    </row>
    <row r="49">
      <c r="A49" s="3" t="n"/>
      <c r="B49" s="4" t="n"/>
      <c r="C49" s="3" t="n"/>
    </row>
    <row r="50">
      <c r="A50" s="5" t="n"/>
      <c r="B50" s="6" t="n"/>
      <c r="C50" s="5" t="n"/>
    </row>
    <row r="51">
      <c r="A51" s="3" t="n"/>
      <c r="B51" s="4" t="n"/>
      <c r="C51" s="3" t="n"/>
    </row>
    <row r="52">
      <c r="A52" s="5" t="n"/>
      <c r="B52" s="6" t="n"/>
      <c r="C52" s="5" t="n"/>
    </row>
    <row r="53">
      <c r="A53" s="3" t="n"/>
      <c r="B53" s="4" t="n"/>
      <c r="C53" s="3" t="n"/>
    </row>
    <row r="54">
      <c r="A54" s="5" t="n"/>
      <c r="B54" s="6" t="n"/>
      <c r="C54" s="5" t="n"/>
    </row>
    <row r="55">
      <c r="A55" s="3" t="n"/>
      <c r="B55" s="4" t="n"/>
      <c r="C55" s="3" t="n"/>
    </row>
    <row r="56">
      <c r="A56" s="5" t="n"/>
      <c r="B56" s="6" t="n"/>
      <c r="C56" s="5" t="n"/>
    </row>
    <row r="57">
      <c r="A57" s="3" t="n"/>
      <c r="B57" s="4" t="n"/>
      <c r="C57" s="3" t="n"/>
    </row>
    <row r="58">
      <c r="A58" s="5" t="n"/>
      <c r="B58" s="6" t="n"/>
      <c r="C58" s="5" t="n"/>
    </row>
    <row r="59">
      <c r="A59" s="3" t="n"/>
      <c r="B59" s="4" t="n"/>
      <c r="C59" s="3" t="n"/>
    </row>
    <row r="60">
      <c r="A60" s="5" t="n"/>
      <c r="B60" s="6" t="n"/>
      <c r="C60" s="5" t="n"/>
    </row>
    <row r="61">
      <c r="A61" s="3" t="n"/>
      <c r="B61" s="4" t="n"/>
      <c r="C61" s="3" t="n"/>
    </row>
    <row r="62">
      <c r="A62" s="5" t="n"/>
      <c r="B62" s="6" t="n"/>
      <c r="C62" s="5" t="n"/>
    </row>
    <row r="63">
      <c r="A63" s="3" t="n"/>
      <c r="B63" s="4" t="n"/>
      <c r="C63" s="3" t="n"/>
    </row>
    <row r="64">
      <c r="A64" s="5" t="n"/>
      <c r="B64" s="6" t="n"/>
      <c r="C64" s="5" t="n"/>
    </row>
    <row r="65">
      <c r="A65" s="3" t="n"/>
      <c r="B65" s="4" t="n"/>
      <c r="C65" s="3" t="n"/>
    </row>
    <row r="66">
      <c r="A66" s="5" t="n"/>
      <c r="B66" s="6" t="n"/>
      <c r="C66" s="5" t="n"/>
    </row>
    <row r="67">
      <c r="A67" s="3" t="n"/>
      <c r="B67" s="4" t="n"/>
      <c r="C67" s="3" t="n"/>
    </row>
    <row r="68">
      <c r="A68" s="5" t="n"/>
      <c r="B68" s="6" t="n"/>
      <c r="C68" s="5" t="n"/>
    </row>
    <row r="69">
      <c r="A69" s="3" t="n"/>
      <c r="B69" s="4" t="n"/>
      <c r="C69" s="3" t="n"/>
    </row>
    <row r="70">
      <c r="A70" s="5" t="n"/>
      <c r="B70" s="6" t="n"/>
      <c r="C70" s="5" t="n"/>
    </row>
    <row r="71">
      <c r="A71" s="3" t="n"/>
      <c r="B71" s="4" t="n"/>
      <c r="C71" s="3" t="n"/>
    </row>
    <row r="72">
      <c r="A72" s="5" t="n"/>
      <c r="B72" s="6" t="n"/>
      <c r="C72" s="5" t="n"/>
    </row>
    <row r="73">
      <c r="A73" s="3" t="n"/>
      <c r="B73" s="4" t="n"/>
      <c r="C73" s="3" t="n"/>
    </row>
    <row r="74">
      <c r="A74" s="5" t="n"/>
      <c r="B74" s="6" t="n"/>
      <c r="C74" s="5" t="n"/>
    </row>
    <row r="75">
      <c r="A75" s="3" t="n"/>
      <c r="B75" s="4" t="n"/>
      <c r="C75" s="3" t="n"/>
    </row>
    <row r="76">
      <c r="A76" s="5" t="n"/>
      <c r="B76" s="6" t="n"/>
      <c r="C76" s="5" t="n"/>
    </row>
    <row r="77">
      <c r="A77" s="3" t="n"/>
      <c r="B77" s="4" t="n"/>
      <c r="C77" s="3" t="n"/>
    </row>
    <row r="78">
      <c r="A78" s="5" t="n"/>
      <c r="B78" s="6" t="n"/>
      <c r="C78" s="5" t="n"/>
    </row>
    <row r="79">
      <c r="A79" s="3" t="n"/>
      <c r="B79" s="4" t="n"/>
      <c r="C79" s="3" t="n"/>
    </row>
    <row r="80">
      <c r="A80" s="5" t="n"/>
      <c r="B80" s="6" t="n"/>
      <c r="C80" s="5" t="n"/>
    </row>
    <row r="81">
      <c r="A81" s="3" t="n"/>
      <c r="B81" s="4" t="n"/>
      <c r="C81" s="3" t="n"/>
    </row>
    <row r="82">
      <c r="A82" s="5" t="n"/>
      <c r="B82" s="6" t="n"/>
      <c r="C82" s="5" t="n"/>
    </row>
    <row r="83">
      <c r="A83" s="3" t="n"/>
      <c r="B83" s="4" t="n"/>
      <c r="C83" s="3" t="n"/>
    </row>
    <row r="84">
      <c r="A84" s="5" t="n"/>
      <c r="B84" s="6" t="n"/>
      <c r="C84" s="5" t="n"/>
    </row>
    <row r="85">
      <c r="A85" s="3" t="n"/>
      <c r="B85" s="4" t="n"/>
      <c r="C85" s="3" t="n"/>
    </row>
    <row r="86">
      <c r="A86" s="5" t="n"/>
      <c r="B86" s="6" t="n"/>
      <c r="C86" s="5" t="n"/>
    </row>
    <row r="87">
      <c r="A87" s="3" t="n"/>
      <c r="B87" s="4" t="n"/>
      <c r="C87" s="3" t="n"/>
    </row>
    <row r="88">
      <c r="A88" s="5" t="n"/>
      <c r="B88" s="6" t="n"/>
      <c r="C88" s="5" t="n"/>
    </row>
    <row r="89">
      <c r="A89" s="3" t="n"/>
      <c r="B89" s="4" t="n"/>
      <c r="C89" s="3" t="n"/>
    </row>
    <row r="90">
      <c r="A90" s="5" t="n"/>
      <c r="B90" s="6" t="n"/>
      <c r="C90" s="5" t="n"/>
    </row>
    <row r="91">
      <c r="A91" s="3" t="n"/>
      <c r="B91" s="4" t="n"/>
      <c r="C91" s="3" t="n"/>
    </row>
    <row r="92">
      <c r="A92" s="5" t="n"/>
      <c r="B92" s="6" t="n"/>
      <c r="C92" s="5" t="n"/>
    </row>
    <row r="93">
      <c r="A93" s="3" t="n"/>
      <c r="B93" s="4" t="n"/>
      <c r="C93" s="3" t="n"/>
    </row>
    <row r="94">
      <c r="A94" s="5" t="n"/>
      <c r="B94" s="6" t="n"/>
      <c r="C94" s="5" t="n"/>
    </row>
    <row r="95">
      <c r="A95" s="3" t="n"/>
      <c r="B95" s="4" t="n"/>
      <c r="C95" s="3" t="n"/>
    </row>
    <row r="96">
      <c r="A96" s="5" t="n"/>
      <c r="B96" s="6" t="n"/>
      <c r="C96" s="5" t="n"/>
    </row>
    <row r="97">
      <c r="A97" s="3" t="n"/>
      <c r="B97" s="4" t="n"/>
      <c r="C97" s="3" t="n"/>
    </row>
    <row r="98">
      <c r="A98" s="5" t="n"/>
      <c r="B98" s="6" t="n"/>
      <c r="C98" s="5" t="n"/>
    </row>
    <row r="99">
      <c r="A99" s="3" t="n"/>
      <c r="B99" s="4" t="n"/>
      <c r="C99" s="3" t="n"/>
    </row>
    <row r="100">
      <c r="A100" s="5" t="n"/>
      <c r="B100" s="6" t="n"/>
      <c r="C100" s="5" t="n"/>
    </row>
    <row r="101">
      <c r="A101" s="3" t="n"/>
      <c r="B101" s="4" t="n"/>
      <c r="C101" s="3" t="n"/>
    </row>
    <row r="102">
      <c r="A102" s="5" t="n"/>
      <c r="B102" s="6" t="n"/>
      <c r="C102" s="5" t="n"/>
    </row>
    <row r="103">
      <c r="A103" s="3" t="n"/>
      <c r="B103" s="4" t="n"/>
      <c r="C103" s="3" t="n"/>
    </row>
    <row r="104">
      <c r="A104" s="5" t="n"/>
      <c r="B104" s="6" t="n"/>
      <c r="C104" s="5" t="n"/>
    </row>
    <row r="105">
      <c r="A105" s="3" t="n"/>
      <c r="B105" s="4" t="n"/>
      <c r="C105" s="3" t="n"/>
    </row>
    <row r="106">
      <c r="A106" s="5" t="n"/>
      <c r="B106" s="6" t="n"/>
      <c r="C106" s="5" t="n"/>
    </row>
    <row r="107">
      <c r="A107" s="3" t="n"/>
      <c r="B107" s="4" t="n"/>
      <c r="C107" s="3" t="n"/>
    </row>
    <row r="108">
      <c r="A108" s="5" t="n"/>
      <c r="B108" s="6" t="n"/>
      <c r="C108" s="5" t="n"/>
    </row>
    <row r="109">
      <c r="A109" s="3" t="n"/>
      <c r="B109" s="4" t="n"/>
      <c r="C109" s="3" t="n"/>
    </row>
    <row r="110">
      <c r="A110" s="5" t="n"/>
      <c r="B110" s="6" t="n"/>
      <c r="C110" s="5" t="n"/>
    </row>
    <row r="111">
      <c r="A111" s="3" t="n"/>
      <c r="B111" s="4" t="n"/>
      <c r="C111" s="3" t="n"/>
    </row>
    <row r="112">
      <c r="A112" s="5" t="n"/>
      <c r="B112" s="6" t="n"/>
      <c r="C112" s="5" t="n"/>
    </row>
    <row r="113">
      <c r="A113" s="3" t="n"/>
      <c r="B113" s="4" t="n"/>
      <c r="C113" s="3" t="n"/>
    </row>
    <row r="114">
      <c r="A114" s="5" t="n"/>
      <c r="B114" s="6" t="n"/>
      <c r="C114" s="5" t="n"/>
    </row>
    <row r="115">
      <c r="A115" s="3" t="n"/>
      <c r="B115" s="4" t="n"/>
      <c r="C115" s="3" t="n"/>
    </row>
    <row r="116">
      <c r="A116" s="5" t="n"/>
      <c r="B116" s="6" t="n"/>
      <c r="C116" s="5" t="n"/>
    </row>
    <row r="117">
      <c r="A117" s="3" t="n"/>
      <c r="B117" s="4" t="n"/>
      <c r="C117" s="3" t="n"/>
    </row>
    <row r="118">
      <c r="A118" s="5" t="n"/>
      <c r="B118" s="6" t="n"/>
      <c r="C118" s="5" t="n"/>
    </row>
    <row r="119">
      <c r="A119" s="3" t="n"/>
      <c r="B119" s="4" t="n"/>
      <c r="C119" s="3" t="n"/>
    </row>
    <row r="120">
      <c r="A120" s="5" t="n"/>
      <c r="B120" s="6" t="n"/>
      <c r="C120" s="5" t="n"/>
    </row>
    <row r="121">
      <c r="A121" s="3" t="n"/>
      <c r="B121" s="4" t="n"/>
      <c r="C121" s="3" t="n"/>
    </row>
    <row r="122">
      <c r="A122" s="5" t="n"/>
      <c r="B122" s="6" t="n"/>
      <c r="C122" s="5" t="n"/>
    </row>
    <row r="123">
      <c r="A123" s="3" t="n"/>
      <c r="B123" s="4" t="n"/>
      <c r="C123" s="3" t="n"/>
    </row>
    <row r="124">
      <c r="A124" s="5" t="n"/>
      <c r="B124" s="6" t="n"/>
      <c r="C124" s="5" t="n"/>
    </row>
    <row r="125">
      <c r="A125" s="3" t="n"/>
      <c r="B125" s="4" t="n"/>
      <c r="C125" s="3" t="n"/>
    </row>
    <row r="126">
      <c r="A126" s="5" t="n"/>
      <c r="B126" s="6" t="n"/>
      <c r="C126" s="5" t="n"/>
    </row>
    <row r="127">
      <c r="A127" s="3" t="n"/>
      <c r="B127" s="4" t="n"/>
      <c r="C127" s="3" t="n"/>
    </row>
    <row r="128">
      <c r="A128" s="5" t="n"/>
      <c r="B128" s="6" t="n"/>
      <c r="C128" s="5" t="n"/>
    </row>
    <row r="129">
      <c r="A129" s="3" t="n"/>
      <c r="B129" s="4" t="n"/>
      <c r="C129" s="3" t="n"/>
    </row>
    <row r="130">
      <c r="A130" s="5" t="n"/>
      <c r="B130" s="6" t="n"/>
      <c r="C130" s="5" t="n"/>
    </row>
    <row r="131">
      <c r="A131" s="3" t="n"/>
      <c r="B131" s="4" t="n"/>
      <c r="C131" s="3" t="n"/>
    </row>
    <row r="132">
      <c r="A132" s="5" t="n"/>
      <c r="B132" s="6" t="n"/>
      <c r="C132" s="5" t="n"/>
    </row>
    <row r="133">
      <c r="A133" s="3" t="n"/>
      <c r="B133" s="4" t="n"/>
      <c r="C133" s="3" t="n"/>
    </row>
    <row r="134">
      <c r="A134" s="5" t="n"/>
      <c r="B134" s="6" t="n"/>
      <c r="C134" s="5" t="n"/>
    </row>
    <row r="135">
      <c r="A135" s="3" t="n"/>
      <c r="B135" s="4" t="n"/>
      <c r="C135" s="3" t="n"/>
    </row>
    <row r="136">
      <c r="A136" s="5" t="n"/>
      <c r="B136" s="6" t="n"/>
      <c r="C136" s="5" t="n"/>
    </row>
    <row r="137">
      <c r="A137" s="3" t="n"/>
      <c r="B137" s="4" t="n"/>
      <c r="C137" s="3" t="n"/>
    </row>
    <row r="138">
      <c r="A138" s="5" t="n"/>
      <c r="B138" s="6" t="n"/>
      <c r="C138" s="5" t="n"/>
    </row>
    <row r="139">
      <c r="A139" s="3" t="n"/>
      <c r="B139" s="4" t="n"/>
      <c r="C139" s="3" t="n"/>
    </row>
    <row r="140">
      <c r="A140" s="5" t="n"/>
      <c r="B140" s="6" t="n"/>
      <c r="C140" s="5" t="n"/>
    </row>
    <row r="141">
      <c r="A141" s="3" t="n"/>
      <c r="B141" s="4" t="n"/>
      <c r="C141" s="3" t="n"/>
    </row>
    <row r="142">
      <c r="A142" s="5" t="n"/>
      <c r="B142" s="6" t="n"/>
      <c r="C142" s="5" t="n"/>
    </row>
    <row r="143">
      <c r="A143" s="3" t="n"/>
      <c r="B143" s="4" t="n"/>
      <c r="C143" s="3" t="n"/>
    </row>
    <row r="144">
      <c r="A144" s="5" t="n"/>
      <c r="B144" s="6" t="n"/>
      <c r="C144" s="5" t="n"/>
    </row>
    <row r="145">
      <c r="A145" s="3" t="n"/>
      <c r="B145" s="4" t="n"/>
      <c r="C145" s="3" t="n"/>
    </row>
    <row r="146">
      <c r="A146" s="5" t="n"/>
      <c r="B146" s="6" t="n"/>
      <c r="C146" s="5" t="n"/>
    </row>
    <row r="147">
      <c r="A147" s="3" t="n"/>
      <c r="B147" s="4" t="n"/>
      <c r="C147" s="3" t="n"/>
    </row>
    <row r="148">
      <c r="A148" s="5" t="n"/>
      <c r="B148" s="6" t="n"/>
      <c r="C148" s="5" t="n"/>
    </row>
    <row r="149">
      <c r="A149" s="3" t="n"/>
      <c r="B149" s="4" t="n"/>
      <c r="C149" s="3" t="n"/>
    </row>
    <row r="150">
      <c r="A150" s="5" t="n"/>
      <c r="B150" s="6" t="n"/>
      <c r="C150" s="5" t="n"/>
    </row>
    <row r="151">
      <c r="A151" s="3" t="n"/>
      <c r="B151" s="4" t="n"/>
      <c r="C151" s="3" t="n"/>
    </row>
    <row r="152">
      <c r="A152" s="5" t="n"/>
      <c r="B152" s="6" t="n"/>
      <c r="C152" s="5" t="n"/>
    </row>
    <row r="153">
      <c r="A153" s="3" t="n"/>
      <c r="B153" s="4" t="n"/>
      <c r="C153" s="3" t="n"/>
    </row>
    <row r="154">
      <c r="A154" s="5" t="n"/>
      <c r="B154" s="6" t="n"/>
      <c r="C154" s="5" t="n"/>
    </row>
    <row r="155">
      <c r="A155" s="3" t="n"/>
      <c r="B155" s="4" t="n"/>
      <c r="C155" s="3" t="n"/>
    </row>
    <row r="156">
      <c r="A156" s="5" t="n"/>
      <c r="B156" s="6" t="n"/>
      <c r="C156" s="5" t="n"/>
    </row>
    <row r="157">
      <c r="A157" s="3" t="n"/>
      <c r="B157" s="4" t="n"/>
      <c r="C157" s="3" t="n"/>
    </row>
    <row r="158">
      <c r="A158" s="5" t="n"/>
      <c r="B158" s="6" t="n"/>
      <c r="C158" s="5" t="n"/>
    </row>
    <row r="159">
      <c r="A159" s="3" t="n"/>
      <c r="B159" s="4" t="n"/>
      <c r="C159" s="3" t="n"/>
    </row>
    <row r="160">
      <c r="A160" s="5" t="n"/>
      <c r="B160" s="6" t="n"/>
      <c r="C160" s="5" t="n"/>
    </row>
    <row r="161">
      <c r="A161" s="3" t="n"/>
      <c r="B161" s="4" t="n"/>
      <c r="C161" s="3" t="n"/>
    </row>
    <row r="162">
      <c r="A162" s="5" t="n"/>
      <c r="B162" s="6" t="n"/>
      <c r="C162" s="5" t="n"/>
    </row>
    <row r="163">
      <c r="A163" s="3" t="n"/>
      <c r="B163" s="4" t="n"/>
      <c r="C163" s="3" t="n"/>
    </row>
    <row r="164">
      <c r="A164" s="5" t="n"/>
      <c r="B164" s="6" t="n"/>
      <c r="C164" s="5" t="n"/>
    </row>
    <row r="165">
      <c r="A165" s="3" t="n"/>
      <c r="B165" s="4" t="n"/>
      <c r="C165" s="3" t="n"/>
    </row>
    <row r="166">
      <c r="A166" s="5" t="n"/>
      <c r="B166" s="6" t="n"/>
      <c r="C166" s="5" t="n"/>
    </row>
    <row r="167">
      <c r="A167" s="3" t="n"/>
      <c r="B167" s="4" t="n"/>
      <c r="C167" s="3" t="n"/>
    </row>
    <row r="168">
      <c r="A168" s="5" t="n"/>
      <c r="B168" s="6" t="n"/>
      <c r="C168" s="5" t="n"/>
    </row>
    <row r="169">
      <c r="A169" s="3" t="n"/>
      <c r="B169" s="4" t="n"/>
      <c r="C169" s="3" t="n"/>
    </row>
    <row r="170">
      <c r="A170" s="5" t="n"/>
      <c r="B170" s="6" t="n"/>
      <c r="C170" s="5" t="n"/>
    </row>
    <row r="171">
      <c r="A171" s="3" t="n"/>
      <c r="B171" s="4" t="n"/>
      <c r="C171" s="3" t="n"/>
    </row>
    <row r="172">
      <c r="A172" s="5" t="n"/>
      <c r="B172" s="6" t="n"/>
      <c r="C172" s="5" t="n"/>
    </row>
    <row r="173">
      <c r="A173" s="3" t="n"/>
      <c r="B173" s="4" t="n"/>
      <c r="C173" s="3" t="n"/>
    </row>
    <row r="174">
      <c r="A174" s="5" t="n"/>
      <c r="B174" s="6" t="n"/>
      <c r="C174" s="5" t="n"/>
    </row>
    <row r="175">
      <c r="A175" s="3" t="n"/>
      <c r="B175" s="4" t="n"/>
      <c r="C175" s="3" t="n"/>
    </row>
    <row r="176">
      <c r="A176" s="5" t="n"/>
      <c r="B176" s="6" t="n"/>
      <c r="C176" s="5" t="n"/>
    </row>
    <row r="177">
      <c r="A177" s="3" t="n"/>
      <c r="B177" s="4" t="n"/>
      <c r="C177" s="3" t="n"/>
    </row>
    <row r="178">
      <c r="A178" s="5" t="n"/>
      <c r="B178" s="6" t="n"/>
      <c r="C178" s="5" t="n"/>
    </row>
    <row r="179">
      <c r="A179" s="3" t="n"/>
      <c r="B179" s="4" t="n"/>
      <c r="C179" s="3" t="n"/>
    </row>
    <row r="180">
      <c r="A180" s="5" t="n"/>
      <c r="B180" s="6" t="n"/>
      <c r="C180" s="5" t="n"/>
    </row>
    <row r="181">
      <c r="A181" s="3" t="n"/>
      <c r="B181" s="4" t="n"/>
      <c r="C181" s="3" t="n"/>
    </row>
    <row r="182">
      <c r="A182" s="5" t="n"/>
      <c r="B182" s="6" t="n"/>
      <c r="C182" s="5" t="n"/>
    </row>
    <row r="183">
      <c r="A183" s="3" t="n"/>
      <c r="B183" s="4" t="n"/>
      <c r="C183" s="3" t="n"/>
    </row>
    <row r="184">
      <c r="A184" s="5" t="n"/>
      <c r="B184" s="6" t="n"/>
      <c r="C184" s="5" t="n"/>
    </row>
    <row r="185">
      <c r="A185" s="3" t="n"/>
      <c r="B185" s="4" t="n"/>
      <c r="C185" s="3" t="n"/>
    </row>
    <row r="186">
      <c r="A186" s="5" t="n"/>
      <c r="B186" s="6" t="n"/>
      <c r="C186" s="5" t="n"/>
    </row>
    <row r="187">
      <c r="A187" s="3" t="n"/>
      <c r="B187" s="4" t="n"/>
      <c r="C187" s="3" t="n"/>
    </row>
    <row r="188">
      <c r="A188" s="5" t="n"/>
      <c r="B188" s="6" t="n"/>
      <c r="C188" s="5" t="n"/>
    </row>
    <row r="189">
      <c r="A189" s="3" t="n"/>
      <c r="B189" s="4" t="n"/>
      <c r="C189" s="3" t="n"/>
    </row>
    <row r="190">
      <c r="A190" s="5" t="n"/>
      <c r="B190" s="6" t="n"/>
      <c r="C190" s="5" t="n"/>
    </row>
    <row r="191">
      <c r="A191" s="3" t="n"/>
      <c r="B191" s="4" t="n"/>
      <c r="C191" s="3" t="n"/>
    </row>
    <row r="192">
      <c r="A192" s="5" t="n"/>
      <c r="B192" s="6" t="n"/>
      <c r="C192" s="5" t="n"/>
    </row>
    <row r="193">
      <c r="A193" s="3" t="n"/>
      <c r="B193" s="4" t="n"/>
      <c r="C193" s="3" t="n"/>
    </row>
    <row r="194">
      <c r="A194" s="5" t="n"/>
      <c r="B194" s="6" t="n"/>
      <c r="C194" s="5" t="n"/>
    </row>
    <row r="195">
      <c r="A195" s="3" t="n"/>
      <c r="B195" s="4" t="n"/>
      <c r="C195" s="3" t="n"/>
    </row>
    <row r="196">
      <c r="A196" s="5" t="n"/>
      <c r="B196" s="6" t="n"/>
      <c r="C196" s="5" t="n"/>
    </row>
    <row r="197">
      <c r="A197" s="3" t="n"/>
      <c r="B197" s="4" t="n"/>
      <c r="C197" s="3" t="n"/>
    </row>
    <row r="198">
      <c r="A198" s="5" t="n"/>
      <c r="B198" s="6" t="n"/>
      <c r="C198" s="5" t="n"/>
    </row>
    <row r="199">
      <c r="A199" s="3" t="n"/>
      <c r="B199" s="4" t="n"/>
      <c r="C199" s="3" t="n"/>
    </row>
    <row r="200">
      <c r="A200" s="5" t="n"/>
      <c r="B200" s="6" t="n"/>
      <c r="C200" s="5" t="n"/>
    </row>
    <row r="201">
      <c r="A201" s="3" t="n"/>
      <c r="B201" s="4" t="n"/>
      <c r="C201" s="3" t="n"/>
    </row>
    <row r="202">
      <c r="A202" s="5" t="n"/>
      <c r="B202" s="6" t="n"/>
      <c r="C202" s="5" t="n"/>
    </row>
    <row r="203">
      <c r="A203" s="3" t="n"/>
      <c r="B203" s="4" t="n"/>
      <c r="C203" s="3" t="n"/>
    </row>
    <row r="204">
      <c r="A204" s="5" t="n"/>
      <c r="B204" s="6" t="n"/>
      <c r="C204" s="5" t="n"/>
    </row>
    <row r="205">
      <c r="A205" s="3" t="n"/>
      <c r="B205" s="4" t="n"/>
      <c r="C205" s="3" t="n"/>
    </row>
    <row r="206">
      <c r="A206" s="5" t="n"/>
      <c r="B206" s="6" t="n"/>
      <c r="C206" s="5" t="n"/>
    </row>
    <row r="207">
      <c r="A207" s="3" t="n"/>
      <c r="B207" s="4" t="n"/>
      <c r="C207" s="3" t="n"/>
    </row>
    <row r="208">
      <c r="A208" s="5" t="n"/>
      <c r="B208" s="6" t="n"/>
      <c r="C208" s="5" t="n"/>
    </row>
    <row r="209">
      <c r="A209" s="3" t="n"/>
      <c r="B209" s="4" t="n"/>
      <c r="C209" s="3" t="n"/>
    </row>
    <row r="210">
      <c r="A210" s="5" t="n"/>
      <c r="B210" s="6" t="n"/>
      <c r="C210" s="5" t="n"/>
    </row>
    <row r="211">
      <c r="A211" s="3" t="n"/>
      <c r="B211" s="4" t="n"/>
      <c r="C211" s="3" t="n"/>
    </row>
    <row r="212">
      <c r="A212" s="5" t="n"/>
      <c r="B212" s="6" t="n"/>
      <c r="C212" s="5" t="n"/>
    </row>
    <row r="213">
      <c r="A213" s="3" t="n"/>
      <c r="B213" s="4" t="n"/>
      <c r="C213" s="3" t="n"/>
    </row>
    <row r="214">
      <c r="A214" s="5" t="n"/>
      <c r="B214" s="6" t="n"/>
      <c r="C214" s="5" t="n"/>
    </row>
    <row r="215">
      <c r="A215" s="3" t="n"/>
      <c r="B215" s="4" t="n"/>
      <c r="C215" s="3" t="n"/>
    </row>
    <row r="216">
      <c r="A216" s="5" t="n"/>
      <c r="B216" s="6" t="n"/>
      <c r="C216" s="5" t="n"/>
    </row>
    <row r="217">
      <c r="A217" s="3" t="n"/>
      <c r="B217" s="4" t="n"/>
      <c r="C217" s="3" t="n"/>
    </row>
    <row r="218">
      <c r="A218" s="5" t="n"/>
      <c r="B218" s="6" t="n"/>
      <c r="C218" s="5" t="n"/>
    </row>
    <row r="219">
      <c r="A219" s="3" t="n"/>
      <c r="B219" s="4" t="n"/>
      <c r="C219" s="3" t="n"/>
    </row>
    <row r="220">
      <c r="A220" s="5" t="n"/>
      <c r="B220" s="6" t="n"/>
      <c r="C220" s="5" t="n"/>
    </row>
    <row r="221">
      <c r="A221" s="3" t="n"/>
      <c r="B221" s="4" t="n"/>
      <c r="C221" s="3" t="n"/>
    </row>
    <row r="222">
      <c r="A222" s="5" t="n"/>
      <c r="B222" s="6" t="n"/>
      <c r="C222" s="5" t="n"/>
    </row>
    <row r="223">
      <c r="A223" s="3" t="n"/>
      <c r="B223" s="4" t="n"/>
      <c r="C223" s="3" t="n"/>
    </row>
    <row r="224">
      <c r="A224" s="5" t="n"/>
      <c r="B224" s="6" t="n"/>
      <c r="C224" s="5" t="n"/>
    </row>
    <row r="225">
      <c r="A225" s="3" t="n"/>
      <c r="B225" s="4" t="n"/>
      <c r="C225" s="3" t="n"/>
    </row>
    <row r="226">
      <c r="A226" s="5" t="n"/>
      <c r="B226" s="6" t="n"/>
      <c r="C226" s="5" t="n"/>
    </row>
    <row r="227">
      <c r="A227" s="3" t="n"/>
      <c r="B227" s="4" t="n"/>
      <c r="C227" s="3" t="n"/>
    </row>
    <row r="228">
      <c r="A228" s="5" t="n"/>
      <c r="B228" s="6" t="n"/>
      <c r="C228" s="5" t="n"/>
    </row>
    <row r="229">
      <c r="A229" s="3" t="n"/>
      <c r="B229" s="4" t="n"/>
      <c r="C229" s="3" t="n"/>
    </row>
    <row r="230">
      <c r="A230" s="5" t="n"/>
      <c r="B230" s="6" t="n"/>
      <c r="C230" s="5" t="n"/>
    </row>
    <row r="231">
      <c r="A231" s="3" t="n"/>
      <c r="B231" s="4" t="n"/>
      <c r="C231" s="3" t="n"/>
    </row>
    <row r="232">
      <c r="A232" s="5" t="n"/>
      <c r="B232" s="6" t="n"/>
      <c r="C232" s="5" t="n"/>
    </row>
    <row r="233">
      <c r="A233" s="3" t="n"/>
      <c r="B233" s="4" t="n"/>
      <c r="C233" s="3" t="n"/>
    </row>
    <row r="234">
      <c r="A234" s="5" t="n"/>
      <c r="B234" s="6" t="n"/>
      <c r="C234" s="5" t="n"/>
    </row>
    <row r="235">
      <c r="A235" s="3" t="n"/>
      <c r="B235" s="4" t="n"/>
      <c r="C235" s="3" t="n"/>
    </row>
    <row r="236">
      <c r="A236" s="5" t="n"/>
      <c r="B236" s="6" t="n"/>
      <c r="C236" s="5" t="n"/>
    </row>
    <row r="237">
      <c r="A237" s="3" t="n"/>
      <c r="B237" s="4" t="n"/>
      <c r="C237" s="3" t="n"/>
    </row>
    <row r="238">
      <c r="A238" s="5" t="n"/>
      <c r="B238" s="6" t="n"/>
      <c r="C238" s="5" t="n"/>
    </row>
    <row r="239">
      <c r="A239" s="3" t="n"/>
      <c r="B239" s="4" t="n"/>
      <c r="C239" s="3" t="n"/>
    </row>
    <row r="240">
      <c r="A240" s="5" t="n"/>
      <c r="B240" s="6" t="n"/>
      <c r="C240" s="5" t="n"/>
    </row>
    <row r="241">
      <c r="A241" s="3" t="n"/>
      <c r="B241" s="4" t="n"/>
      <c r="C241" s="3" t="n"/>
    </row>
    <row r="242">
      <c r="A242" s="5" t="n"/>
      <c r="B242" s="6" t="n"/>
      <c r="C242" s="5" t="n"/>
    </row>
    <row r="243">
      <c r="A243" s="3" t="n"/>
      <c r="B243" s="4" t="n"/>
      <c r="C243" s="3" t="n"/>
    </row>
    <row r="244">
      <c r="A244" s="5" t="n"/>
      <c r="B244" s="6" t="n"/>
      <c r="C244" s="5" t="n"/>
    </row>
    <row r="245">
      <c r="A245" s="3" t="n"/>
      <c r="B245" s="4" t="n"/>
      <c r="C245" s="3" t="n"/>
    </row>
    <row r="246">
      <c r="A246" s="5" t="n"/>
      <c r="B246" s="6" t="n"/>
      <c r="C246" s="5" t="n"/>
    </row>
    <row r="247">
      <c r="A247" s="3" t="n"/>
      <c r="B247" s="4" t="n"/>
      <c r="C247" s="3" t="n"/>
    </row>
    <row r="248">
      <c r="A248" s="5" t="n"/>
      <c r="B248" s="6" t="n"/>
      <c r="C248" s="5" t="n"/>
    </row>
    <row r="249">
      <c r="A249" s="3" t="n"/>
      <c r="B249" s="4" t="n"/>
      <c r="C249" s="3" t="n"/>
    </row>
    <row r="250">
      <c r="A250" s="5" t="n"/>
      <c r="B250" s="6" t="n"/>
      <c r="C250" s="5" t="n"/>
    </row>
    <row r="251">
      <c r="A251" s="3" t="n"/>
      <c r="B251" s="4" t="n"/>
      <c r="C251" s="3" t="n"/>
    </row>
    <row r="252">
      <c r="A252" s="5" t="n"/>
      <c r="B252" s="6" t="n"/>
      <c r="C252" s="5" t="n"/>
    </row>
    <row r="253">
      <c r="A253" s="3" t="n"/>
      <c r="B253" s="4" t="n"/>
      <c r="C253" s="3" t="n"/>
    </row>
    <row r="254">
      <c r="A254" s="5" t="n"/>
      <c r="B254" s="6" t="n"/>
      <c r="C254" s="5" t="n"/>
    </row>
    <row r="255">
      <c r="A255" s="3" t="n"/>
      <c r="B255" s="4" t="n"/>
      <c r="C255" s="3" t="n"/>
    </row>
    <row r="256">
      <c r="A256" s="5" t="n"/>
      <c r="B256" s="6" t="n"/>
      <c r="C256" s="5" t="n"/>
    </row>
    <row r="257">
      <c r="A257" s="3" t="n"/>
      <c r="B257" s="4" t="n"/>
      <c r="C257" s="3" t="n"/>
    </row>
    <row r="258">
      <c r="A258" s="5" t="n"/>
      <c r="B258" s="6" t="n"/>
      <c r="C258" s="5" t="n"/>
    </row>
    <row r="259">
      <c r="A259" s="3" t="n"/>
      <c r="B259" s="4" t="n"/>
      <c r="C259" s="3" t="n"/>
    </row>
    <row r="260">
      <c r="A260" s="5" t="n"/>
      <c r="B260" s="6" t="n"/>
      <c r="C260" s="5" t="n"/>
    </row>
    <row r="261">
      <c r="A261" s="3" t="n"/>
      <c r="B261" s="4" t="n"/>
      <c r="C261" s="3" t="n"/>
    </row>
    <row r="262">
      <c r="A262" s="5" t="n"/>
      <c r="B262" s="6" t="n"/>
      <c r="C262" s="5" t="n"/>
    </row>
    <row r="263">
      <c r="A263" s="3" t="n"/>
      <c r="B263" s="4" t="n"/>
      <c r="C263" s="3" t="n"/>
    </row>
    <row r="264">
      <c r="A264" s="5" t="n"/>
      <c r="B264" s="6" t="n"/>
      <c r="C264" s="5" t="n"/>
    </row>
    <row r="265">
      <c r="A265" s="3" t="n"/>
      <c r="B265" s="4" t="n"/>
      <c r="C265" s="3" t="n"/>
    </row>
    <row r="266">
      <c r="A266" s="5" t="n"/>
      <c r="B266" s="6" t="n"/>
      <c r="C266" s="5" t="n"/>
    </row>
    <row r="267">
      <c r="A267" s="3" t="n"/>
      <c r="B267" s="4" t="n"/>
      <c r="C267" s="3" t="n"/>
    </row>
    <row r="268">
      <c r="A268" s="5" t="n"/>
      <c r="B268" s="6" t="n"/>
      <c r="C268" s="5" t="n"/>
    </row>
    <row r="269">
      <c r="A269" s="3" t="n"/>
      <c r="B269" s="4" t="n"/>
      <c r="C269" s="3" t="n"/>
    </row>
    <row r="270">
      <c r="A270" s="5" t="n"/>
      <c r="B270" s="6" t="n"/>
      <c r="C270" s="5" t="n"/>
    </row>
    <row r="271">
      <c r="A271" s="3" t="n"/>
      <c r="B271" s="4" t="n"/>
      <c r="C271" s="3" t="n"/>
    </row>
    <row r="272">
      <c r="A272" s="5" t="n"/>
      <c r="B272" s="6" t="n"/>
      <c r="C272" s="5" t="n"/>
    </row>
    <row r="273">
      <c r="A273" s="3" t="n"/>
      <c r="B273" s="4" t="n"/>
      <c r="C273" s="3" t="n"/>
    </row>
    <row r="274">
      <c r="A274" s="5" t="n"/>
      <c r="B274" s="6" t="n"/>
      <c r="C274" s="5" t="n"/>
    </row>
    <row r="275">
      <c r="A275" s="3" t="n"/>
      <c r="B275" s="4" t="n"/>
      <c r="C275" s="3" t="n"/>
    </row>
    <row r="276">
      <c r="A276" s="5" t="n"/>
      <c r="B276" s="6" t="n"/>
      <c r="C276" s="5" t="n"/>
    </row>
    <row r="277">
      <c r="A277" s="3" t="n"/>
      <c r="B277" s="4" t="n"/>
      <c r="C277" s="3" t="n"/>
    </row>
    <row r="278">
      <c r="A278" s="5" t="n"/>
      <c r="B278" s="6" t="n"/>
      <c r="C278" s="5" t="n"/>
    </row>
    <row r="279">
      <c r="A279" s="3" t="n"/>
      <c r="B279" s="4" t="n"/>
      <c r="C279" s="3" t="n"/>
    </row>
    <row r="280">
      <c r="A280" s="5" t="n"/>
      <c r="B280" s="6" t="n"/>
      <c r="C280" s="5" t="n"/>
    </row>
    <row r="281">
      <c r="A281" s="3" t="n"/>
      <c r="B281" s="4" t="n"/>
      <c r="C281" s="3" t="n"/>
    </row>
    <row r="282">
      <c r="A282" s="5" t="n"/>
      <c r="B282" s="6" t="n"/>
      <c r="C282" s="5" t="n"/>
    </row>
    <row r="283">
      <c r="A283" s="3" t="n"/>
      <c r="B283" s="4" t="n"/>
      <c r="C283" s="3" t="n"/>
    </row>
    <row r="284">
      <c r="A284" s="5" t="n"/>
      <c r="B284" s="6" t="n"/>
      <c r="C284" s="5" t="n"/>
    </row>
    <row r="285">
      <c r="A285" s="3" t="n"/>
      <c r="B285" s="4" t="n"/>
      <c r="C285" s="3" t="n"/>
    </row>
    <row r="286">
      <c r="A286" s="5" t="n"/>
      <c r="B286" s="6" t="n"/>
      <c r="C286" s="5" t="n"/>
    </row>
    <row r="287">
      <c r="A287" s="3" t="n"/>
      <c r="B287" s="4" t="n"/>
      <c r="C287" s="3" t="n"/>
    </row>
    <row r="288">
      <c r="A288" s="5" t="n"/>
      <c r="B288" s="6" t="n"/>
      <c r="C288" s="5" t="n"/>
    </row>
    <row r="289">
      <c r="A289" s="3" t="n"/>
      <c r="B289" s="4" t="n"/>
      <c r="C289" s="3" t="n"/>
    </row>
    <row r="290">
      <c r="A290" s="5" t="n"/>
      <c r="B290" s="6" t="n"/>
      <c r="C290" s="5" t="n"/>
    </row>
    <row r="291">
      <c r="A291" s="3" t="n"/>
      <c r="B291" s="4" t="n"/>
      <c r="C291" s="3" t="n"/>
    </row>
    <row r="292">
      <c r="A292" s="5" t="n"/>
      <c r="B292" s="6" t="n"/>
      <c r="C292" s="5" t="n"/>
    </row>
    <row r="293">
      <c r="A293" s="3" t="n"/>
      <c r="B293" s="4" t="n"/>
      <c r="C293" s="3" t="n"/>
    </row>
    <row r="294">
      <c r="A294" s="5" t="n"/>
      <c r="B294" s="6" t="n"/>
      <c r="C294" s="5" t="n"/>
    </row>
    <row r="295">
      <c r="A295" s="3" t="n"/>
      <c r="B295" s="4" t="n"/>
      <c r="C295" s="3" t="n"/>
    </row>
    <row r="296">
      <c r="A296" s="5" t="n"/>
      <c r="B296" s="6" t="n"/>
      <c r="C296" s="5" t="n"/>
    </row>
    <row r="297">
      <c r="A297" s="3" t="n"/>
      <c r="B297" s="4" t="n"/>
      <c r="C297" s="3" t="n"/>
    </row>
    <row r="298">
      <c r="A298" s="5" t="n"/>
      <c r="B298" s="6" t="n"/>
      <c r="C298" s="5" t="n"/>
    </row>
    <row r="299">
      <c r="A299" s="3" t="n"/>
      <c r="B299" s="4" t="n"/>
      <c r="C299" s="3" t="n"/>
    </row>
    <row r="300">
      <c r="A300" s="5" t="n"/>
      <c r="B300" s="6" t="n"/>
      <c r="C300" s="5" t="n"/>
    </row>
    <row r="301">
      <c r="A301" s="3" t="n"/>
      <c r="B301" s="4" t="n"/>
      <c r="C301" s="3" t="n"/>
    </row>
    <row r="302">
      <c r="A302" s="5" t="n"/>
      <c r="B302" s="6" t="n"/>
      <c r="C302" s="5" t="n"/>
    </row>
    <row r="303">
      <c r="A303" s="3" t="n"/>
      <c r="B303" s="4" t="n"/>
      <c r="C303" s="3" t="n"/>
    </row>
    <row r="304">
      <c r="A304" s="5" t="n"/>
      <c r="B304" s="6" t="n"/>
      <c r="C304" s="5" t="n"/>
    </row>
    <row r="305">
      <c r="A305" s="3" t="n"/>
      <c r="B305" s="4" t="n"/>
      <c r="C305" s="3" t="n"/>
    </row>
    <row r="306">
      <c r="A306" s="5" t="n"/>
      <c r="B306" s="6" t="n"/>
      <c r="C306" s="5" t="n"/>
    </row>
    <row r="307">
      <c r="A307" s="3" t="n"/>
      <c r="B307" s="4" t="n"/>
      <c r="C307" s="3" t="n"/>
    </row>
    <row r="308">
      <c r="A308" s="5" t="n"/>
      <c r="B308" s="6" t="n"/>
      <c r="C308" s="5" t="n"/>
    </row>
    <row r="309">
      <c r="A309" s="3" t="n"/>
      <c r="B309" s="4" t="n"/>
      <c r="C309" s="3" t="n"/>
    </row>
    <row r="310">
      <c r="A310" s="5" t="n"/>
      <c r="B310" s="6" t="n"/>
      <c r="C310" s="5" t="n"/>
    </row>
    <row r="311">
      <c r="A311" s="3" t="n"/>
      <c r="B311" s="4" t="n"/>
      <c r="C311" s="3" t="n"/>
    </row>
    <row r="312">
      <c r="A312" s="5" t="n"/>
      <c r="B312" s="6" t="n"/>
      <c r="C312" s="5" t="n"/>
    </row>
    <row r="313">
      <c r="A313" s="3" t="n"/>
      <c r="B313" s="4" t="n"/>
      <c r="C313" s="3" t="n"/>
    </row>
    <row r="314">
      <c r="A314" s="5" t="n"/>
      <c r="B314" s="6" t="n"/>
      <c r="C314" s="5" t="n"/>
    </row>
    <row r="315">
      <c r="A315" s="3" t="n"/>
      <c r="B315" s="4" t="n"/>
      <c r="C315" s="3" t="n"/>
    </row>
    <row r="316">
      <c r="A316" s="5" t="n"/>
      <c r="B316" s="6" t="n"/>
      <c r="C316" s="5" t="n"/>
    </row>
    <row r="317">
      <c r="A317" s="3" t="n"/>
      <c r="B317" s="4" t="n"/>
      <c r="C317" s="3" t="n"/>
    </row>
    <row r="318">
      <c r="A318" s="5" t="n"/>
      <c r="B318" s="6" t="n"/>
      <c r="C318" s="5" t="n"/>
    </row>
    <row r="319">
      <c r="A319" s="3" t="n"/>
      <c r="B319" s="4" t="n"/>
      <c r="C319" s="3" t="n"/>
    </row>
    <row r="320">
      <c r="A320" s="5" t="n"/>
      <c r="B320" s="6" t="n"/>
      <c r="C320" s="5" t="n"/>
    </row>
    <row r="321">
      <c r="A321" s="3" t="n"/>
      <c r="B321" s="4" t="n"/>
      <c r="C321" s="3" t="n"/>
    </row>
    <row r="322">
      <c r="A322" s="5" t="n"/>
      <c r="B322" s="6" t="n"/>
      <c r="C322" s="5" t="n"/>
    </row>
    <row r="323">
      <c r="A323" s="3" t="n"/>
      <c r="B323" s="4" t="n"/>
      <c r="C323" s="3" t="n"/>
    </row>
    <row r="324">
      <c r="A324" s="5" t="n"/>
      <c r="B324" s="6" t="n"/>
      <c r="C324" s="5" t="n"/>
    </row>
    <row r="325">
      <c r="A325" s="3" t="n"/>
      <c r="B325" s="4" t="n"/>
      <c r="C325" s="3" t="n"/>
    </row>
    <row r="326">
      <c r="A326" s="5" t="n"/>
      <c r="B326" s="6" t="n"/>
      <c r="C326" s="5" t="n"/>
    </row>
    <row r="327">
      <c r="A327" s="3" t="n"/>
      <c r="B327" s="4" t="n"/>
      <c r="C327" s="3" t="n"/>
    </row>
    <row r="328">
      <c r="A328" s="5" t="n"/>
      <c r="B328" s="6" t="n"/>
      <c r="C328" s="5" t="n"/>
    </row>
    <row r="329">
      <c r="A329" s="3" t="n"/>
      <c r="B329" s="4" t="n"/>
      <c r="C329" s="3" t="n"/>
    </row>
    <row r="330">
      <c r="A330" s="5" t="n"/>
      <c r="B330" s="6" t="n"/>
      <c r="C330" s="5" t="n"/>
    </row>
    <row r="331">
      <c r="A331" s="3" t="n"/>
      <c r="B331" s="4" t="n"/>
      <c r="C331" s="3" t="n"/>
    </row>
    <row r="332">
      <c r="A332" s="5" t="n"/>
      <c r="B332" s="6" t="n"/>
      <c r="C332" s="5" t="n"/>
    </row>
    <row r="333">
      <c r="A333" s="3" t="n"/>
      <c r="B333" s="4" t="n"/>
      <c r="C333" s="3" t="n"/>
    </row>
    <row r="334">
      <c r="A334" s="5" t="n"/>
      <c r="B334" s="6" t="n"/>
      <c r="C334" s="5" t="n"/>
    </row>
    <row r="335">
      <c r="A335" s="3" t="n"/>
      <c r="B335" s="4" t="n"/>
      <c r="C335" s="3" t="n"/>
    </row>
    <row r="336">
      <c r="A336" s="5" t="n"/>
      <c r="B336" s="6" t="n"/>
      <c r="C336" s="5" t="n"/>
    </row>
    <row r="337">
      <c r="A337" s="3" t="n"/>
      <c r="B337" s="4" t="n"/>
      <c r="C337" s="3" t="n"/>
    </row>
    <row r="338">
      <c r="A338" s="5" t="n"/>
      <c r="B338" s="6" t="n"/>
      <c r="C338" s="5" t="n"/>
    </row>
    <row r="339">
      <c r="A339" s="3" t="n"/>
      <c r="B339" s="4" t="n"/>
      <c r="C339" s="3" t="n"/>
    </row>
    <row r="340">
      <c r="A340" s="5" t="n"/>
      <c r="B340" s="6" t="n"/>
      <c r="C340" s="5" t="n"/>
    </row>
    <row r="341">
      <c r="A341" s="3" t="n"/>
      <c r="B341" s="4" t="n"/>
      <c r="C341" s="3" t="n"/>
    </row>
    <row r="342">
      <c r="A342" s="5" t="n"/>
      <c r="B342" s="6" t="n"/>
      <c r="C342" s="5" t="n"/>
    </row>
    <row r="343">
      <c r="A343" s="3" t="n"/>
      <c r="B343" s="4" t="n"/>
      <c r="C343" s="3" t="n"/>
    </row>
    <row r="344">
      <c r="A344" s="5" t="n"/>
      <c r="B344" s="6" t="n"/>
      <c r="C344" s="5" t="n"/>
    </row>
    <row r="345">
      <c r="A345" s="3" t="n"/>
      <c r="B345" s="4" t="n"/>
      <c r="C345" s="3" t="n"/>
    </row>
    <row r="346">
      <c r="A346" s="5" t="n"/>
      <c r="B346" s="6" t="n"/>
      <c r="C346" s="5" t="n"/>
    </row>
    <row r="347">
      <c r="A347" s="3" t="n"/>
      <c r="B347" s="4" t="n"/>
      <c r="C347" s="3" t="n"/>
    </row>
    <row r="348">
      <c r="A348" s="5" t="n"/>
      <c r="B348" s="6" t="n"/>
      <c r="C348" s="5" t="n"/>
    </row>
    <row r="349">
      <c r="A349" s="3" t="n"/>
      <c r="B349" s="4" t="n"/>
      <c r="C349" s="3" t="n"/>
    </row>
    <row r="350">
      <c r="A350" s="5" t="n"/>
      <c r="B350" s="6" t="n"/>
      <c r="C350" s="5" t="n"/>
    </row>
    <row r="351">
      <c r="A351" s="3" t="n"/>
      <c r="B351" s="4" t="n"/>
      <c r="C351" s="3" t="n"/>
    </row>
    <row r="352">
      <c r="A352" s="5" t="n"/>
      <c r="B352" s="6" t="n"/>
      <c r="C352" s="5" t="n"/>
    </row>
    <row r="353">
      <c r="A353" s="3" t="n"/>
      <c r="B353" s="4" t="n"/>
      <c r="C353" s="3" t="n"/>
    </row>
    <row r="354">
      <c r="A354" s="5" t="n"/>
      <c r="B354" s="6" t="n"/>
      <c r="C354" s="5" t="n"/>
    </row>
    <row r="355">
      <c r="A355" s="3" t="n"/>
      <c r="B355" s="4" t="n"/>
      <c r="C355" s="3" t="n"/>
    </row>
    <row r="356">
      <c r="A356" s="5" t="n"/>
      <c r="B356" s="6" t="n"/>
      <c r="C356" s="5" t="n"/>
    </row>
    <row r="357">
      <c r="A357" s="3" t="n"/>
      <c r="B357" s="4" t="n"/>
      <c r="C357" s="3" t="n"/>
    </row>
    <row r="358">
      <c r="A358" s="5" t="n"/>
      <c r="B358" s="6" t="n"/>
      <c r="C358" s="5" t="n"/>
    </row>
    <row r="359">
      <c r="A359" s="3" t="n"/>
      <c r="B359" s="4" t="n"/>
      <c r="C359" s="3" t="n"/>
    </row>
    <row r="360">
      <c r="A360" s="5" t="n"/>
      <c r="B360" s="6" t="n"/>
      <c r="C360" s="5" t="n"/>
    </row>
    <row r="361">
      <c r="A361" s="3" t="n"/>
      <c r="B361" s="4" t="n"/>
      <c r="C361" s="3" t="n"/>
    </row>
    <row r="362">
      <c r="A362" s="5" t="n"/>
      <c r="B362" s="6" t="n"/>
      <c r="C362" s="5" t="n"/>
    </row>
    <row r="363">
      <c r="A363" s="3" t="n"/>
      <c r="B363" s="4" t="n"/>
      <c r="C363" s="3" t="n"/>
    </row>
    <row r="364">
      <c r="A364" s="5" t="n"/>
      <c r="B364" s="6" t="n"/>
      <c r="C364" s="5" t="n"/>
    </row>
    <row r="365">
      <c r="A365" s="3" t="n"/>
      <c r="B365" s="4" t="n"/>
      <c r="C365" s="3" t="n"/>
    </row>
    <row r="366">
      <c r="A366" s="5" t="n"/>
      <c r="B366" s="6" t="n"/>
      <c r="C366" s="5" t="n"/>
    </row>
    <row r="367">
      <c r="A367" s="3" t="n"/>
      <c r="B367" s="4" t="n"/>
      <c r="C367" s="3" t="n"/>
    </row>
    <row r="368">
      <c r="A368" s="5" t="n"/>
      <c r="B368" s="6" t="n"/>
      <c r="C368" s="5" t="n"/>
    </row>
    <row r="369">
      <c r="A369" s="3" t="n"/>
      <c r="B369" s="4" t="n"/>
      <c r="C369" s="3" t="n"/>
    </row>
    <row r="370">
      <c r="A370" s="5" t="n"/>
      <c r="B370" s="6" t="n"/>
      <c r="C370" s="5" t="n"/>
    </row>
    <row r="371">
      <c r="A371" s="3" t="n"/>
      <c r="B371" s="4" t="n"/>
      <c r="C371" s="3" t="n"/>
    </row>
    <row r="372">
      <c r="A372" s="5" t="n"/>
      <c r="B372" s="6" t="n"/>
      <c r="C372" s="5" t="n"/>
    </row>
    <row r="373">
      <c r="A373" s="3" t="n"/>
      <c r="B373" s="4" t="n"/>
      <c r="C373" s="3" t="n"/>
    </row>
    <row r="374">
      <c r="A374" s="5" t="n"/>
      <c r="B374" s="6" t="n"/>
      <c r="C374" s="5" t="n"/>
    </row>
    <row r="375">
      <c r="A375" s="3" t="n"/>
      <c r="B375" s="4" t="n"/>
      <c r="C375" s="3" t="n"/>
    </row>
    <row r="376">
      <c r="A376" s="5" t="n"/>
      <c r="B376" s="6" t="n"/>
      <c r="C376" s="5" t="n"/>
    </row>
    <row r="377">
      <c r="A377" s="3" t="n"/>
      <c r="B377" s="4" t="n"/>
      <c r="C377" s="3" t="n"/>
    </row>
    <row r="378">
      <c r="A378" s="5" t="n"/>
      <c r="B378" s="6" t="n"/>
      <c r="C378" s="5" t="n"/>
    </row>
    <row r="379">
      <c r="A379" s="3" t="n"/>
      <c r="B379" s="4" t="n"/>
      <c r="C379" s="3" t="n"/>
    </row>
    <row r="380">
      <c r="A380" s="5" t="n"/>
      <c r="B380" s="6" t="n"/>
      <c r="C380" s="5" t="n"/>
    </row>
    <row r="381">
      <c r="A381" s="3" t="n"/>
      <c r="B381" s="4" t="n"/>
      <c r="C381" s="3" t="n"/>
    </row>
    <row r="382">
      <c r="A382" s="5" t="n"/>
      <c r="B382" s="6" t="n"/>
      <c r="C382" s="5" t="n"/>
    </row>
    <row r="383">
      <c r="A383" s="3" t="n"/>
      <c r="B383" s="4" t="n"/>
      <c r="C383" s="3" t="n"/>
    </row>
    <row r="384">
      <c r="A384" s="5" t="n"/>
      <c r="B384" s="6" t="n"/>
      <c r="C384" s="5" t="n"/>
    </row>
    <row r="385">
      <c r="A385" s="3" t="n"/>
      <c r="B385" s="4" t="n"/>
      <c r="C385" s="3" t="n"/>
    </row>
    <row r="386">
      <c r="A386" s="5" t="n"/>
      <c r="B386" s="6" t="n"/>
      <c r="C386" s="5" t="n"/>
    </row>
    <row r="387">
      <c r="A387" s="3" t="n"/>
      <c r="B387" s="4" t="n"/>
      <c r="C387" s="3" t="n"/>
    </row>
    <row r="388">
      <c r="A388" s="5" t="n"/>
      <c r="B388" s="6" t="n"/>
      <c r="C388" s="5" t="n"/>
    </row>
    <row r="389">
      <c r="A389" s="3" t="n"/>
      <c r="B389" s="4" t="n"/>
      <c r="C389" s="3" t="n"/>
    </row>
    <row r="390">
      <c r="A390" s="5" t="n"/>
      <c r="B390" s="6" t="n"/>
      <c r="C390" s="5" t="n"/>
    </row>
    <row r="391">
      <c r="A391" s="3" t="n"/>
      <c r="B391" s="4" t="n"/>
      <c r="C391" s="3" t="n"/>
    </row>
    <row r="392">
      <c r="A392" s="5" t="n"/>
      <c r="B392" s="6" t="n"/>
      <c r="C392" s="5" t="n"/>
    </row>
    <row r="393">
      <c r="A393" s="3" t="n"/>
      <c r="B393" s="4" t="n"/>
      <c r="C393" s="3" t="n"/>
    </row>
    <row r="394">
      <c r="A394" s="5" t="n"/>
      <c r="B394" s="6" t="n"/>
      <c r="C394" s="5" t="n"/>
    </row>
    <row r="395">
      <c r="A395" s="3" t="n"/>
      <c r="B395" s="4" t="n"/>
      <c r="C395" s="3" t="n"/>
    </row>
    <row r="396">
      <c r="A396" s="5" t="n"/>
      <c r="B396" s="6" t="n"/>
      <c r="C396" s="5" t="n"/>
    </row>
    <row r="397">
      <c r="A397" s="3" t="n"/>
      <c r="B397" s="4" t="n"/>
      <c r="C397" s="3" t="n"/>
    </row>
    <row r="398">
      <c r="A398" s="5" t="n"/>
      <c r="B398" s="6" t="n"/>
      <c r="C398" s="5" t="n"/>
    </row>
    <row r="399">
      <c r="A399" s="3" t="n"/>
      <c r="B399" s="4" t="n"/>
      <c r="C399" s="3" t="n"/>
    </row>
    <row r="400">
      <c r="A400" s="5" t="n"/>
      <c r="B400" s="6" t="n"/>
      <c r="C400" s="5" t="n"/>
    </row>
    <row r="401">
      <c r="A401" s="3" t="n"/>
      <c r="B401" s="4" t="n"/>
      <c r="C401" s="3" t="n"/>
    </row>
    <row r="402">
      <c r="A402" s="5" t="n"/>
      <c r="B402" s="6" t="n"/>
      <c r="C402" s="5" t="n"/>
    </row>
    <row r="403">
      <c r="A403" s="3" t="n"/>
      <c r="B403" s="4" t="n"/>
      <c r="C403" s="3" t="n"/>
    </row>
    <row r="404">
      <c r="A404" s="5" t="n"/>
      <c r="B404" s="6" t="n"/>
      <c r="C404" s="5" t="n"/>
    </row>
    <row r="405">
      <c r="A405" s="3" t="n"/>
      <c r="B405" s="4" t="n"/>
      <c r="C405" s="3" t="n"/>
    </row>
    <row r="406">
      <c r="A406" s="5" t="n"/>
      <c r="B406" s="6" t="n"/>
      <c r="C406" s="5" t="n"/>
    </row>
    <row r="407">
      <c r="A407" s="3" t="n"/>
      <c r="B407" s="4" t="n"/>
      <c r="C407" s="3" t="n"/>
    </row>
    <row r="408">
      <c r="A408" s="5" t="n"/>
      <c r="B408" s="6" t="n"/>
      <c r="C408" s="5" t="n"/>
    </row>
    <row r="409">
      <c r="A409" s="3" t="n"/>
      <c r="B409" s="4" t="n"/>
      <c r="C409" s="3" t="n"/>
    </row>
    <row r="410">
      <c r="A410" s="5" t="n"/>
      <c r="B410" s="6" t="n"/>
      <c r="C410" s="5" t="n"/>
    </row>
    <row r="411">
      <c r="A411" s="3" t="n"/>
      <c r="B411" s="4" t="n"/>
      <c r="C411" s="3" t="n"/>
    </row>
    <row r="412">
      <c r="A412" s="5" t="n"/>
      <c r="B412" s="6" t="n"/>
      <c r="C412" s="5" t="n"/>
    </row>
    <row r="413">
      <c r="A413" s="3" t="n"/>
      <c r="B413" s="4" t="n"/>
      <c r="C413" s="3" t="n"/>
    </row>
    <row r="414">
      <c r="A414" s="5" t="n"/>
      <c r="B414" s="6" t="n"/>
      <c r="C414" s="5" t="n"/>
    </row>
    <row r="415">
      <c r="A415" s="3" t="n"/>
      <c r="B415" s="4" t="n"/>
      <c r="C415" s="3" t="n"/>
    </row>
    <row r="416">
      <c r="A416" s="5" t="n"/>
      <c r="B416" s="6" t="n"/>
      <c r="C416" s="5" t="n"/>
    </row>
    <row r="417">
      <c r="A417" s="3" t="n"/>
      <c r="B417" s="4" t="n"/>
      <c r="C417" s="3" t="n"/>
    </row>
    <row r="418">
      <c r="A418" s="5" t="n"/>
      <c r="B418" s="6" t="n"/>
      <c r="C418" s="5" t="n"/>
    </row>
    <row r="419">
      <c r="A419" s="3" t="n"/>
      <c r="B419" s="4" t="n"/>
      <c r="C419" s="3" t="n"/>
    </row>
    <row r="420">
      <c r="A420" s="5" t="n"/>
      <c r="B420" s="6" t="n"/>
      <c r="C420" s="5" t="n"/>
    </row>
    <row r="421">
      <c r="A421" s="3" t="n"/>
      <c r="B421" s="4" t="n"/>
      <c r="C421" s="3" t="n"/>
    </row>
    <row r="422">
      <c r="A422" s="5" t="n"/>
      <c r="B422" s="6" t="n"/>
      <c r="C422" s="5" t="n"/>
    </row>
    <row r="423">
      <c r="A423" s="3" t="n"/>
      <c r="B423" s="4" t="n"/>
      <c r="C423" s="3" t="n"/>
    </row>
    <row r="424">
      <c r="A424" s="5" t="n"/>
      <c r="B424" s="6" t="n"/>
      <c r="C424" s="5" t="n"/>
    </row>
    <row r="425">
      <c r="A425" s="3" t="n"/>
      <c r="B425" s="4" t="n"/>
      <c r="C425" s="3" t="n"/>
    </row>
    <row r="426">
      <c r="A426" s="5" t="n"/>
      <c r="B426" s="6" t="n"/>
      <c r="C426" s="5" t="n"/>
    </row>
    <row r="427">
      <c r="A427" s="3" t="n"/>
      <c r="B427" s="4" t="n"/>
      <c r="C427" s="3" t="n"/>
    </row>
    <row r="428">
      <c r="A428" s="5" t="n"/>
      <c r="B428" s="6" t="n"/>
      <c r="C428" s="5" t="n"/>
    </row>
    <row r="429">
      <c r="A429" s="3" t="n"/>
      <c r="B429" s="4" t="n"/>
      <c r="C429" s="3" t="n"/>
    </row>
    <row r="430">
      <c r="A430" s="5" t="n"/>
      <c r="B430" s="6" t="n"/>
      <c r="C430" s="5" t="n"/>
    </row>
    <row r="431">
      <c r="A431" s="3" t="n"/>
      <c r="B431" s="4" t="n"/>
      <c r="C431" s="3" t="n"/>
    </row>
    <row r="432">
      <c r="A432" s="5" t="n"/>
      <c r="B432" s="6" t="n"/>
      <c r="C432" s="5" t="n"/>
    </row>
    <row r="433">
      <c r="A433" s="3" t="n"/>
      <c r="B433" s="4" t="n"/>
      <c r="C433" s="3" t="n"/>
    </row>
    <row r="434">
      <c r="A434" s="5" t="n"/>
      <c r="B434" s="6" t="n"/>
      <c r="C434" s="5" t="n"/>
    </row>
    <row r="435">
      <c r="A435" s="3" t="n"/>
      <c r="B435" s="4" t="n"/>
      <c r="C435" s="3" t="n"/>
    </row>
    <row r="436">
      <c r="A436" s="5" t="n"/>
      <c r="B436" s="6" t="n"/>
      <c r="C436" s="5" t="n"/>
    </row>
    <row r="437">
      <c r="A437" s="3" t="n"/>
      <c r="B437" s="4" t="n"/>
      <c r="C437" s="3" t="n"/>
    </row>
    <row r="438">
      <c r="A438" s="5" t="n"/>
      <c r="B438" s="6" t="n"/>
      <c r="C438" s="5" t="n"/>
    </row>
    <row r="439">
      <c r="A439" s="3" t="n"/>
      <c r="B439" s="4" t="n"/>
      <c r="C439" s="3" t="n"/>
    </row>
    <row r="440">
      <c r="A440" s="5" t="n"/>
      <c r="B440" s="6" t="n"/>
      <c r="C440" s="5" t="n"/>
    </row>
    <row r="441">
      <c r="A441" s="3" t="n"/>
      <c r="B441" s="4" t="n"/>
      <c r="C441" s="3" t="n"/>
    </row>
    <row r="442">
      <c r="A442" s="5" t="n"/>
      <c r="B442" s="6" t="n"/>
      <c r="C442" s="5" t="n"/>
    </row>
    <row r="443">
      <c r="A443" s="3" t="n"/>
      <c r="B443" s="4" t="n"/>
      <c r="C443" s="3" t="n"/>
    </row>
    <row r="444">
      <c r="A444" s="5" t="n"/>
      <c r="B444" s="6" t="n"/>
      <c r="C444" s="5" t="n"/>
    </row>
    <row r="445">
      <c r="A445" s="3" t="n"/>
      <c r="B445" s="4" t="n"/>
      <c r="C445" s="3" t="n"/>
    </row>
    <row r="446">
      <c r="A446" s="5" t="n"/>
      <c r="B446" s="6" t="n"/>
      <c r="C446" s="5" t="n"/>
    </row>
    <row r="447">
      <c r="A447" s="3" t="n"/>
      <c r="B447" s="4" t="n"/>
      <c r="C447" s="3" t="n"/>
    </row>
    <row r="448">
      <c r="A448" s="5" t="n"/>
      <c r="B448" s="6" t="n"/>
      <c r="C448" s="5" t="n"/>
    </row>
    <row r="449">
      <c r="A449" s="3" t="n"/>
      <c r="B449" s="4" t="n"/>
      <c r="C449" s="3" t="n"/>
    </row>
    <row r="450">
      <c r="A450" s="5" t="n"/>
      <c r="B450" s="6" t="n"/>
      <c r="C450" s="5" t="n"/>
    </row>
    <row r="451">
      <c r="A451" s="3" t="n"/>
      <c r="B451" s="4" t="n"/>
      <c r="C451" s="3" t="n"/>
    </row>
    <row r="452">
      <c r="A452" s="5" t="n"/>
      <c r="B452" s="6" t="n"/>
      <c r="C452" s="5" t="n"/>
    </row>
    <row r="453">
      <c r="A453" s="3" t="n"/>
      <c r="B453" s="4" t="n"/>
      <c r="C453" s="3" t="n"/>
    </row>
    <row r="454">
      <c r="A454" s="5" t="n"/>
      <c r="B454" s="6" t="n"/>
      <c r="C454" s="5" t="n"/>
    </row>
    <row r="455">
      <c r="A455" s="3" t="n"/>
      <c r="B455" s="4" t="n"/>
      <c r="C455" s="3" t="n"/>
    </row>
    <row r="456">
      <c r="A456" s="5" t="n"/>
      <c r="B456" s="6" t="n"/>
      <c r="C456" s="5" t="n"/>
    </row>
    <row r="457">
      <c r="A457" s="3" t="n"/>
      <c r="B457" s="4" t="n"/>
      <c r="C457" s="3" t="n"/>
    </row>
    <row r="458">
      <c r="A458" s="5" t="n"/>
      <c r="B458" s="6" t="n"/>
      <c r="C458" s="5" t="n"/>
    </row>
    <row r="459">
      <c r="A459" s="3" t="n"/>
      <c r="B459" s="4" t="n"/>
      <c r="C459" s="3" t="n"/>
    </row>
    <row r="460">
      <c r="A460" s="5" t="n"/>
      <c r="B460" s="6" t="n"/>
      <c r="C460" s="5" t="n"/>
    </row>
    <row r="461">
      <c r="A461" s="3" t="n"/>
      <c r="B461" s="4" t="n"/>
      <c r="C461" s="3" t="n"/>
    </row>
    <row r="462">
      <c r="A462" s="5" t="n"/>
      <c r="B462" s="6" t="n"/>
      <c r="C462" s="5" t="n"/>
    </row>
    <row r="463">
      <c r="A463" s="3" t="n"/>
      <c r="B463" s="4" t="n"/>
      <c r="C463" s="3" t="n"/>
    </row>
    <row r="464">
      <c r="A464" s="5" t="n"/>
      <c r="B464" s="6" t="n"/>
      <c r="C464" s="5" t="n"/>
    </row>
    <row r="465">
      <c r="A465" s="3" t="n"/>
      <c r="B465" s="4" t="n"/>
      <c r="C465" s="3" t="n"/>
    </row>
    <row r="466">
      <c r="A466" s="5" t="n"/>
      <c r="B466" s="6" t="n"/>
      <c r="C466" s="5" t="n"/>
    </row>
    <row r="467">
      <c r="A467" s="3" t="n"/>
      <c r="B467" s="4" t="n"/>
      <c r="C467" s="3" t="n"/>
    </row>
    <row r="468">
      <c r="A468" s="5" t="n"/>
      <c r="B468" s="6" t="n"/>
      <c r="C468" s="5" t="n"/>
    </row>
    <row r="469">
      <c r="A469" s="3" t="n"/>
      <c r="B469" s="4" t="n"/>
      <c r="C469" s="3" t="n"/>
    </row>
    <row r="470">
      <c r="A470" s="5" t="n"/>
      <c r="B470" s="6" t="n"/>
      <c r="C470" s="5" t="n"/>
    </row>
    <row r="471">
      <c r="A471" s="3" t="n"/>
      <c r="B471" s="4" t="n"/>
      <c r="C471" s="3" t="n"/>
    </row>
    <row r="472">
      <c r="A472" s="5" t="n"/>
      <c r="B472" s="6" t="n"/>
      <c r="C472" s="5" t="n"/>
    </row>
    <row r="473">
      <c r="A473" s="3" t="n"/>
      <c r="B473" s="4" t="n"/>
      <c r="C473" s="3" t="n"/>
    </row>
    <row r="474">
      <c r="A474" s="5" t="n"/>
      <c r="B474" s="6" t="n"/>
      <c r="C474" s="5" t="n"/>
    </row>
    <row r="475">
      <c r="A475" s="3" t="n"/>
      <c r="B475" s="4" t="n"/>
      <c r="C475" s="3" t="n"/>
    </row>
    <row r="476">
      <c r="A476" s="5" t="n"/>
      <c r="B476" s="6" t="n"/>
      <c r="C476" s="5" t="n"/>
    </row>
    <row r="477">
      <c r="A477" s="3" t="n"/>
      <c r="B477" s="4" t="n"/>
      <c r="C477" s="3" t="n"/>
    </row>
    <row r="478">
      <c r="A478" s="5" t="n"/>
      <c r="B478" s="6" t="n"/>
      <c r="C478" s="5" t="n"/>
    </row>
    <row r="479">
      <c r="A479" s="3" t="n"/>
      <c r="B479" s="4" t="n"/>
      <c r="C479" s="3" t="n"/>
    </row>
    <row r="480">
      <c r="A480" s="5" t="n"/>
      <c r="B480" s="6" t="n"/>
      <c r="C480" s="5" t="n"/>
    </row>
    <row r="481">
      <c r="A481" s="3" t="n"/>
      <c r="B481" s="4" t="n"/>
      <c r="C481" s="3" t="n"/>
    </row>
    <row r="482">
      <c r="A482" s="5" t="n"/>
      <c r="B482" s="6" t="n"/>
      <c r="C482" s="5" t="n"/>
    </row>
    <row r="483">
      <c r="A483" s="3" t="n"/>
      <c r="B483" s="4" t="n"/>
      <c r="C483" s="3" t="n"/>
    </row>
    <row r="484">
      <c r="A484" s="5" t="n"/>
      <c r="B484" s="6" t="n"/>
      <c r="C484" s="5" t="n"/>
    </row>
    <row r="485">
      <c r="A485" s="3" t="n"/>
      <c r="B485" s="4" t="n"/>
      <c r="C485" s="3" t="n"/>
    </row>
    <row r="486">
      <c r="A486" s="5" t="n"/>
      <c r="B486" s="6" t="n"/>
      <c r="C486" s="5" t="n"/>
    </row>
    <row r="487">
      <c r="A487" s="3" t="n"/>
      <c r="B487" s="4" t="n"/>
      <c r="C487" s="3" t="n"/>
    </row>
    <row r="488">
      <c r="A488" s="5" t="n"/>
      <c r="B488" s="6" t="n"/>
      <c r="C488" s="5" t="n"/>
    </row>
    <row r="489">
      <c r="A489" s="3" t="n"/>
      <c r="B489" s="4" t="n"/>
      <c r="C489" s="3" t="n"/>
    </row>
    <row r="490">
      <c r="A490" s="5" t="n"/>
      <c r="B490" s="6" t="n"/>
      <c r="C490" s="5" t="n"/>
    </row>
    <row r="491">
      <c r="A491" s="3" t="n"/>
      <c r="B491" s="4" t="n"/>
      <c r="C491" s="3" t="n"/>
    </row>
    <row r="492">
      <c r="A492" s="5" t="n"/>
      <c r="B492" s="6" t="n"/>
      <c r="C492" s="5" t="n"/>
    </row>
    <row r="493">
      <c r="A493" s="3" t="n"/>
      <c r="B493" s="4" t="n"/>
      <c r="C493" s="3" t="n"/>
    </row>
    <row r="494">
      <c r="A494" s="5" t="n"/>
      <c r="B494" s="6" t="n"/>
      <c r="C494" s="5" t="n"/>
    </row>
    <row r="495">
      <c r="A495" s="3" t="n"/>
      <c r="B495" s="4" t="n"/>
      <c r="C495" s="3" t="n"/>
    </row>
    <row r="496">
      <c r="A496" s="5" t="n"/>
      <c r="B496" s="6" t="n"/>
      <c r="C496" s="5" t="n"/>
    </row>
    <row r="497">
      <c r="A497" s="3" t="n"/>
      <c r="B497" s="4" t="n"/>
      <c r="C497" s="3" t="n"/>
    </row>
    <row r="498">
      <c r="A498" s="5" t="n"/>
      <c r="B498" s="6" t="n"/>
      <c r="C498" s="5" t="n"/>
    </row>
    <row r="499">
      <c r="A499" s="3" t="n"/>
      <c r="B499" s="4" t="n"/>
      <c r="C499" s="3" t="n"/>
    </row>
    <row r="500">
      <c r="A500" s="5" t="n"/>
      <c r="B500" s="6" t="n"/>
      <c r="C500" s="5" t="n"/>
    </row>
    <row r="501">
      <c r="A501" s="3" t="n"/>
      <c r="B501" s="4" t="n"/>
      <c r="C501" s="3" t="n"/>
    </row>
    <row r="502">
      <c r="A502" s="5" t="n"/>
      <c r="B502" s="6" t="n"/>
      <c r="C502" s="5" t="n"/>
    </row>
    <row r="503">
      <c r="A503" s="3" t="n"/>
      <c r="B503" s="4" t="n"/>
      <c r="C503" s="3" t="n"/>
    </row>
    <row r="504">
      <c r="A504" s="5" t="n"/>
      <c r="B504" s="6" t="n"/>
      <c r="C504" s="5" t="n"/>
    </row>
    <row r="505">
      <c r="A505" s="3" t="n"/>
      <c r="B505" s="4" t="n"/>
      <c r="C505" s="3" t="n"/>
    </row>
    <row r="506">
      <c r="A506" s="5" t="n"/>
      <c r="B506" s="6" t="n"/>
      <c r="C506" s="5" t="n"/>
    </row>
    <row r="507">
      <c r="A507" s="3" t="n"/>
      <c r="B507" s="4" t="n"/>
      <c r="C507" s="3" t="n"/>
    </row>
    <row r="508">
      <c r="A508" s="5" t="n"/>
      <c r="B508" s="6" t="n"/>
      <c r="C508" s="5" t="n"/>
    </row>
    <row r="509">
      <c r="A509" s="3" t="n"/>
      <c r="B509" s="4" t="n"/>
      <c r="C509" s="3" t="n"/>
    </row>
    <row r="510">
      <c r="A510" s="5" t="n"/>
      <c r="B510" s="6" t="n"/>
      <c r="C510" s="5" t="n"/>
    </row>
    <row r="511">
      <c r="A511" s="3" t="n"/>
      <c r="B511" s="4" t="n"/>
      <c r="C511" s="3" t="n"/>
    </row>
    <row r="512">
      <c r="A512" s="5" t="n"/>
      <c r="B512" s="6" t="n"/>
      <c r="C512" s="5" t="n"/>
    </row>
    <row r="513">
      <c r="A513" s="3" t="n"/>
      <c r="B513" s="4" t="n"/>
      <c r="C513" s="3" t="n"/>
    </row>
    <row r="514">
      <c r="A514" s="5" t="n"/>
      <c r="B514" s="6" t="n"/>
      <c r="C514" s="5" t="n"/>
    </row>
    <row r="515">
      <c r="A515" s="3" t="n"/>
      <c r="B515" s="4" t="n"/>
      <c r="C515" s="3" t="n"/>
    </row>
    <row r="516">
      <c r="A516" s="5" t="n"/>
      <c r="B516" s="6" t="n"/>
      <c r="C516" s="5" t="n"/>
    </row>
    <row r="517">
      <c r="A517" s="3" t="n"/>
      <c r="B517" s="4" t="n"/>
      <c r="C517" s="3" t="n"/>
    </row>
    <row r="518">
      <c r="A518" s="5" t="n"/>
      <c r="B518" s="6" t="n"/>
      <c r="C518" s="5" t="n"/>
    </row>
    <row r="519">
      <c r="A519" s="3" t="n"/>
      <c r="B519" s="4" t="n"/>
      <c r="C519" s="3" t="n"/>
    </row>
    <row r="520">
      <c r="A520" s="5" t="n"/>
      <c r="B520" s="6" t="n"/>
      <c r="C520" s="5" t="n"/>
    </row>
    <row r="521">
      <c r="A521" s="3" t="n"/>
      <c r="B521" s="4" t="n"/>
      <c r="C521" s="3" t="n"/>
    </row>
    <row r="522">
      <c r="A522" s="5" t="n"/>
      <c r="B522" s="6" t="n"/>
      <c r="C522" s="5" t="n"/>
    </row>
    <row r="523">
      <c r="A523" s="3" t="n"/>
      <c r="B523" s="4" t="n"/>
      <c r="C523" s="3" t="n"/>
    </row>
    <row r="524">
      <c r="A524" s="5" t="n"/>
      <c r="B524" s="6" t="n"/>
      <c r="C524" s="5" t="n"/>
    </row>
    <row r="525">
      <c r="A525" s="3" t="n"/>
      <c r="B525" s="4" t="n"/>
      <c r="C525" s="3" t="n"/>
    </row>
    <row r="526">
      <c r="A526" s="5" t="n"/>
      <c r="B526" s="6" t="n"/>
      <c r="C526" s="5" t="n"/>
    </row>
    <row r="527">
      <c r="A527" s="3" t="n"/>
      <c r="B527" s="4" t="n"/>
      <c r="C527" s="3" t="n"/>
    </row>
    <row r="528">
      <c r="A528" s="5" t="n"/>
      <c r="B528" s="6" t="n"/>
      <c r="C528" s="5" t="n"/>
    </row>
    <row r="529">
      <c r="A529" s="3" t="n"/>
      <c r="B529" s="4" t="n"/>
      <c r="C529" s="3" t="n"/>
    </row>
    <row r="530">
      <c r="A530" s="5" t="n"/>
      <c r="B530" s="6" t="n"/>
      <c r="C530" s="5" t="n"/>
    </row>
    <row r="531">
      <c r="A531" s="3" t="n"/>
      <c r="B531" s="4" t="n"/>
      <c r="C531" s="3" t="n"/>
    </row>
    <row r="532">
      <c r="A532" s="5" t="n"/>
      <c r="B532" s="6" t="n"/>
      <c r="C532" s="5" t="n"/>
    </row>
    <row r="533">
      <c r="A533" s="3" t="n"/>
      <c r="B533" s="4" t="n"/>
      <c r="C533" s="3" t="n"/>
    </row>
    <row r="534">
      <c r="A534" s="5" t="n"/>
      <c r="B534" s="6" t="n"/>
      <c r="C534" s="5" t="n"/>
    </row>
    <row r="535">
      <c r="A535" s="3" t="n"/>
      <c r="B535" s="4" t="n"/>
      <c r="C535" s="3" t="n"/>
    </row>
    <row r="536">
      <c r="A536" s="5" t="n"/>
      <c r="B536" s="6" t="n"/>
      <c r="C536" s="5" t="n"/>
    </row>
    <row r="537">
      <c r="A537" s="3" t="n"/>
      <c r="B537" s="4" t="n"/>
      <c r="C537" s="3" t="n"/>
    </row>
    <row r="538">
      <c r="A538" s="5" t="n"/>
      <c r="B538" s="6" t="n"/>
      <c r="C538" s="5" t="n"/>
    </row>
    <row r="539">
      <c r="A539" s="3" t="n"/>
      <c r="B539" s="4" t="n"/>
      <c r="C539" s="3" t="n"/>
    </row>
    <row r="540">
      <c r="A540" s="5" t="n"/>
      <c r="B540" s="6" t="n"/>
      <c r="C540" s="5" t="n"/>
    </row>
    <row r="541">
      <c r="A541" s="3" t="n"/>
      <c r="B541" s="4" t="n"/>
      <c r="C541" s="3" t="n"/>
    </row>
    <row r="542">
      <c r="A542" s="5" t="n"/>
      <c r="B542" s="6" t="n"/>
      <c r="C542" s="5" t="n"/>
    </row>
    <row r="543">
      <c r="A543" s="3" t="n"/>
      <c r="B543" s="4" t="n"/>
      <c r="C543" s="3" t="n"/>
    </row>
    <row r="544">
      <c r="A544" s="5" t="n"/>
      <c r="B544" s="6" t="n"/>
      <c r="C544" s="5" t="n"/>
    </row>
    <row r="545">
      <c r="A545" s="3" t="n"/>
      <c r="B545" s="4" t="n"/>
      <c r="C545" s="3" t="n"/>
    </row>
    <row r="546">
      <c r="A546" s="5" t="n"/>
      <c r="B546" s="6" t="n"/>
      <c r="C546" s="5" t="n"/>
    </row>
    <row r="547">
      <c r="A547" s="3" t="n"/>
      <c r="B547" s="4" t="n"/>
      <c r="C547" s="3" t="n"/>
    </row>
    <row r="548">
      <c r="A548" s="5" t="n"/>
      <c r="B548" s="6" t="n"/>
      <c r="C548" s="5" t="n"/>
    </row>
    <row r="549">
      <c r="A549" s="3" t="n"/>
      <c r="B549" s="4" t="n"/>
      <c r="C549" s="3" t="n"/>
    </row>
    <row r="550">
      <c r="A550" s="5" t="n"/>
      <c r="B550" s="6" t="n"/>
      <c r="C550" s="5" t="n"/>
    </row>
    <row r="551">
      <c r="A551" s="3" t="n"/>
      <c r="B551" s="4" t="n"/>
      <c r="C551" s="3" t="n"/>
    </row>
    <row r="552">
      <c r="A552" s="5" t="n"/>
      <c r="B552" s="6" t="n"/>
      <c r="C552" s="5" t="n"/>
    </row>
    <row r="553">
      <c r="A553" s="3" t="n"/>
      <c r="B553" s="4" t="n"/>
      <c r="C553" s="3" t="n"/>
    </row>
    <row r="554">
      <c r="A554" s="5" t="n"/>
      <c r="B554" s="6" t="n"/>
      <c r="C554" s="5" t="n"/>
    </row>
    <row r="555">
      <c r="A555" s="3" t="n"/>
      <c r="B555" s="4" t="n"/>
      <c r="C555" s="3" t="n"/>
    </row>
    <row r="556">
      <c r="A556" s="5" t="n"/>
      <c r="B556" s="6" t="n"/>
      <c r="C556" s="5" t="n"/>
    </row>
    <row r="557">
      <c r="A557" s="3" t="n"/>
      <c r="B557" s="4" t="n"/>
      <c r="C557" s="3" t="n"/>
    </row>
    <row r="558">
      <c r="A558" s="5" t="n"/>
      <c r="B558" s="6" t="n"/>
      <c r="C558" s="5" t="n"/>
    </row>
    <row r="559">
      <c r="A559" s="3" t="n"/>
      <c r="B559" s="4" t="n"/>
      <c r="C559" s="3" t="n"/>
    </row>
    <row r="560">
      <c r="A560" s="5" t="n"/>
      <c r="B560" s="6" t="n"/>
      <c r="C560" s="5" t="n"/>
    </row>
    <row r="561">
      <c r="A561" s="3" t="n"/>
      <c r="B561" s="4" t="n"/>
      <c r="C561" s="3" t="n"/>
    </row>
    <row r="562">
      <c r="A562" s="5" t="n"/>
      <c r="B562" s="6" t="n"/>
      <c r="C562" s="5" t="n"/>
    </row>
    <row r="563">
      <c r="A563" s="3" t="n"/>
      <c r="B563" s="4" t="n"/>
      <c r="C563" s="3" t="n"/>
    </row>
    <row r="564">
      <c r="A564" s="5" t="n"/>
      <c r="B564" s="6" t="n"/>
      <c r="C564" s="5" t="n"/>
    </row>
    <row r="565">
      <c r="A565" s="3" t="n"/>
      <c r="B565" s="4" t="n"/>
      <c r="C565" s="3" t="n"/>
    </row>
    <row r="566">
      <c r="A566" s="5" t="n"/>
      <c r="B566" s="6" t="n"/>
      <c r="C566" s="5" t="n"/>
    </row>
    <row r="567">
      <c r="A567" s="3" t="n"/>
      <c r="B567" s="4" t="n"/>
      <c r="C567" s="3" t="n"/>
    </row>
    <row r="568">
      <c r="A568" s="5" t="n"/>
      <c r="B568" s="6" t="n"/>
      <c r="C568" s="5" t="n"/>
    </row>
    <row r="569">
      <c r="A569" s="3" t="n"/>
      <c r="B569" s="4" t="n"/>
      <c r="C569" s="3" t="n"/>
    </row>
    <row r="570">
      <c r="A570" s="5" t="n"/>
      <c r="B570" s="6" t="n"/>
      <c r="C570" s="5" t="n"/>
    </row>
    <row r="571">
      <c r="A571" s="3" t="n"/>
      <c r="B571" s="4" t="n"/>
      <c r="C571" s="3" t="n"/>
    </row>
    <row r="572">
      <c r="A572" s="5" t="n"/>
      <c r="B572" s="6" t="n"/>
      <c r="C572" s="5" t="n"/>
    </row>
    <row r="573">
      <c r="A573" s="3" t="n"/>
      <c r="B573" s="4" t="n"/>
      <c r="C573" s="3" t="n"/>
    </row>
    <row r="574">
      <c r="A574" s="5" t="n"/>
      <c r="B574" s="6" t="n"/>
      <c r="C574" s="5" t="n"/>
    </row>
    <row r="575">
      <c r="A575" s="3" t="n"/>
      <c r="B575" s="4" t="n"/>
      <c r="C575" s="3" t="n"/>
    </row>
    <row r="576">
      <c r="A576" s="5" t="n"/>
      <c r="B576" s="6" t="n"/>
      <c r="C576" s="5" t="n"/>
    </row>
    <row r="577">
      <c r="A577" s="3" t="n"/>
      <c r="B577" s="4" t="n"/>
      <c r="C577" s="3" t="n"/>
    </row>
    <row r="578">
      <c r="A578" s="5" t="n"/>
      <c r="B578" s="6" t="n"/>
      <c r="C578" s="5" t="n"/>
    </row>
    <row r="579">
      <c r="A579" s="3" t="n"/>
      <c r="B579" s="4" t="n"/>
      <c r="C579" s="3" t="n"/>
    </row>
    <row r="580">
      <c r="A580" s="5" t="n"/>
      <c r="B580" s="6" t="n"/>
      <c r="C580" s="5" t="n"/>
    </row>
    <row r="581">
      <c r="A581" s="3" t="n"/>
      <c r="B581" s="4" t="n"/>
      <c r="C581" s="3" t="n"/>
    </row>
    <row r="582">
      <c r="A582" s="5" t="n"/>
      <c r="B582" s="6" t="n"/>
      <c r="C582" s="5" t="n"/>
    </row>
    <row r="583">
      <c r="A583" s="3" t="n"/>
      <c r="B583" s="4" t="n"/>
      <c r="C583" s="3" t="n"/>
    </row>
    <row r="584">
      <c r="A584" s="5" t="n"/>
      <c r="B584" s="6" t="n"/>
      <c r="C584" s="5" t="n"/>
    </row>
    <row r="585">
      <c r="A585" s="3" t="n"/>
      <c r="B585" s="4" t="n"/>
      <c r="C585" s="3" t="n"/>
    </row>
    <row r="586">
      <c r="A586" s="5" t="n"/>
      <c r="B586" s="6" t="n"/>
      <c r="C586" s="5" t="n"/>
    </row>
    <row r="587">
      <c r="A587" s="3" t="n"/>
      <c r="B587" s="4" t="n"/>
      <c r="C587" s="3" t="n"/>
    </row>
    <row r="588">
      <c r="A588" s="5" t="n"/>
      <c r="B588" s="6" t="n"/>
      <c r="C588" s="5" t="n"/>
    </row>
    <row r="589">
      <c r="A589" s="3" t="n"/>
      <c r="B589" s="4" t="n"/>
      <c r="C589" s="3" t="n"/>
    </row>
    <row r="590">
      <c r="A590" s="5" t="n"/>
      <c r="B590" s="6" t="n"/>
      <c r="C590" s="5" t="n"/>
    </row>
    <row r="591">
      <c r="A591" s="3" t="n"/>
      <c r="B591" s="4" t="n"/>
      <c r="C591" s="3" t="n"/>
    </row>
    <row r="592">
      <c r="A592" s="5" t="n"/>
      <c r="B592" s="6" t="n"/>
      <c r="C592" s="5" t="n"/>
    </row>
    <row r="593">
      <c r="A593" s="3" t="n"/>
      <c r="B593" s="4" t="n"/>
      <c r="C593" s="3" t="n"/>
    </row>
    <row r="594">
      <c r="A594" s="5" t="n"/>
      <c r="B594" s="6" t="n"/>
      <c r="C594" s="5" t="n"/>
    </row>
    <row r="595">
      <c r="A595" s="3" t="n"/>
      <c r="B595" s="4" t="n"/>
      <c r="C595" s="3" t="n"/>
    </row>
    <row r="596">
      <c r="A596" s="5" t="n"/>
      <c r="B596" s="6" t="n"/>
      <c r="C596" s="5" t="n"/>
    </row>
    <row r="597">
      <c r="A597" s="3" t="n"/>
      <c r="B597" s="4" t="n"/>
      <c r="C597" s="3" t="n"/>
    </row>
    <row r="598">
      <c r="A598" s="5" t="n"/>
      <c r="B598" s="6" t="n"/>
      <c r="C598" s="5" t="n"/>
    </row>
    <row r="599">
      <c r="A599" s="3" t="n"/>
      <c r="B599" s="4" t="n"/>
      <c r="C599" s="3" t="n"/>
    </row>
    <row r="600">
      <c r="A600" s="5" t="n"/>
      <c r="B600" s="6" t="n"/>
      <c r="C600" s="5" t="n"/>
    </row>
    <row r="601">
      <c r="A601" s="3" t="n"/>
      <c r="B601" s="4" t="n"/>
      <c r="C601" s="3" t="n"/>
    </row>
    <row r="602">
      <c r="A602" s="5" t="n"/>
      <c r="B602" s="6" t="n"/>
      <c r="C602" s="5" t="n"/>
    </row>
    <row r="603">
      <c r="A603" s="3" t="n"/>
      <c r="B603" s="4" t="n"/>
      <c r="C603" s="3" t="n"/>
    </row>
    <row r="604">
      <c r="A604" s="5" t="n"/>
      <c r="B604" s="6" t="n"/>
      <c r="C604" s="5" t="n"/>
    </row>
    <row r="605">
      <c r="A605" s="3" t="n"/>
      <c r="B605" s="4" t="n"/>
      <c r="C605" s="3" t="n"/>
    </row>
    <row r="606">
      <c r="A606" s="5" t="n"/>
      <c r="B606" s="6" t="n"/>
      <c r="C606" s="5" t="n"/>
    </row>
    <row r="607">
      <c r="A607" s="3" t="n"/>
      <c r="B607" s="4" t="n"/>
      <c r="C607" s="3" t="n"/>
    </row>
    <row r="608">
      <c r="A608" s="5" t="n"/>
      <c r="B608" s="6" t="n"/>
      <c r="C608" s="5" t="n"/>
    </row>
    <row r="609">
      <c r="A609" s="3" t="n"/>
      <c r="B609" s="4" t="n"/>
      <c r="C609" s="3" t="n"/>
    </row>
    <row r="610">
      <c r="A610" s="5" t="n"/>
      <c r="B610" s="6" t="n"/>
      <c r="C610" s="5" t="n"/>
    </row>
    <row r="611">
      <c r="A611" s="3" t="n"/>
      <c r="B611" s="4" t="n"/>
      <c r="C611" s="3" t="n"/>
    </row>
    <row r="612">
      <c r="A612" s="5" t="n"/>
      <c r="B612" s="6" t="n"/>
      <c r="C612" s="5" t="n"/>
    </row>
    <row r="613">
      <c r="A613" s="3" t="n"/>
      <c r="B613" s="4" t="n"/>
      <c r="C613" s="3" t="n"/>
    </row>
    <row r="614">
      <c r="A614" s="5" t="n"/>
      <c r="B614" s="6" t="n"/>
      <c r="C614" s="5" t="n"/>
    </row>
    <row r="615">
      <c r="A615" s="3" t="n"/>
      <c r="B615" s="4" t="n"/>
      <c r="C615" s="3" t="n"/>
    </row>
    <row r="616">
      <c r="A616" s="5" t="n"/>
      <c r="B616" s="6" t="n"/>
      <c r="C616" s="5" t="n"/>
    </row>
    <row r="617">
      <c r="A617" s="3" t="n"/>
      <c r="B617" s="4" t="n"/>
      <c r="C617" s="3" t="n"/>
    </row>
    <row r="618">
      <c r="A618" s="5" t="n"/>
      <c r="B618" s="6" t="n"/>
      <c r="C618" s="5" t="n"/>
    </row>
    <row r="619">
      <c r="A619" s="3" t="n"/>
      <c r="B619" s="4" t="n"/>
      <c r="C619" s="3" t="n"/>
    </row>
    <row r="620">
      <c r="A620" s="5" t="n"/>
      <c r="B620" s="6" t="n"/>
      <c r="C620" s="5" t="n"/>
    </row>
    <row r="621">
      <c r="A621" s="3" t="n"/>
      <c r="B621" s="4" t="n"/>
      <c r="C621" s="3" t="n"/>
    </row>
    <row r="622">
      <c r="A622" s="5" t="n"/>
      <c r="B622" s="6" t="n"/>
      <c r="C622" s="5" t="n"/>
    </row>
    <row r="623">
      <c r="A623" s="3" t="n"/>
      <c r="B623" s="4" t="n"/>
      <c r="C623" s="3" t="n"/>
    </row>
    <row r="624">
      <c r="A624" s="5" t="n"/>
      <c r="B624" s="6" t="n"/>
      <c r="C624" s="5" t="n"/>
    </row>
    <row r="625">
      <c r="A625" s="3" t="n"/>
      <c r="B625" s="4" t="n"/>
      <c r="C625" s="3" t="n"/>
    </row>
    <row r="626">
      <c r="A626" s="5" t="n"/>
      <c r="B626" s="6" t="n"/>
      <c r="C626" s="5" t="n"/>
    </row>
    <row r="627">
      <c r="A627" s="3" t="n"/>
      <c r="B627" s="4" t="n"/>
      <c r="C627" s="3" t="n"/>
    </row>
    <row r="628">
      <c r="A628" s="5" t="n"/>
      <c r="B628" s="6" t="n"/>
      <c r="C628" s="5" t="n"/>
    </row>
    <row r="629">
      <c r="A629" s="3" t="n"/>
      <c r="B629" s="4" t="n"/>
      <c r="C629" s="3" t="n"/>
    </row>
    <row r="630">
      <c r="A630" s="5" t="n"/>
      <c r="B630" s="6" t="n"/>
      <c r="C630" s="5" t="n"/>
    </row>
    <row r="631">
      <c r="A631" s="3" t="n"/>
      <c r="B631" s="4" t="n"/>
      <c r="C631" s="3" t="n"/>
    </row>
    <row r="632">
      <c r="A632" s="5" t="n"/>
      <c r="B632" s="6" t="n"/>
      <c r="C632" s="5" t="n"/>
    </row>
    <row r="633">
      <c r="A633" s="3" t="n"/>
      <c r="B633" s="4" t="n"/>
      <c r="C633" s="3" t="n"/>
    </row>
    <row r="634">
      <c r="A634" s="5" t="n"/>
      <c r="B634" s="6" t="n"/>
      <c r="C634" s="5" t="n"/>
    </row>
    <row r="635">
      <c r="A635" s="3" t="n"/>
      <c r="B635" s="4" t="n"/>
      <c r="C635" s="3" t="n"/>
    </row>
    <row r="636">
      <c r="A636" s="5" t="n"/>
      <c r="B636" s="6" t="n"/>
      <c r="C636" s="5" t="n"/>
    </row>
    <row r="637">
      <c r="A637" s="3" t="n"/>
      <c r="B637" s="4" t="n"/>
      <c r="C637" s="3" t="n"/>
    </row>
    <row r="638">
      <c r="A638" s="5" t="n"/>
      <c r="B638" s="6" t="n"/>
      <c r="C638" s="5" t="n"/>
    </row>
    <row r="639">
      <c r="A639" s="3" t="n"/>
      <c r="B639" s="4" t="n"/>
      <c r="C639" s="3" t="n"/>
    </row>
    <row r="640">
      <c r="A640" s="5" t="n"/>
      <c r="B640" s="6" t="n"/>
      <c r="C640" s="5" t="n"/>
    </row>
    <row r="641">
      <c r="A641" s="3" t="n"/>
      <c r="B641" s="4" t="n"/>
      <c r="C641" s="3" t="n"/>
    </row>
    <row r="642">
      <c r="A642" s="5" t="n"/>
      <c r="B642" s="6" t="n"/>
      <c r="C642" s="5" t="n"/>
    </row>
    <row r="643">
      <c r="A643" s="3" t="n"/>
      <c r="B643" s="4" t="n"/>
      <c r="C643" s="3" t="n"/>
    </row>
    <row r="644">
      <c r="A644" s="5" t="n"/>
      <c r="B644" s="6" t="n"/>
      <c r="C644" s="5" t="n"/>
    </row>
    <row r="645">
      <c r="A645" s="3" t="n"/>
      <c r="B645" s="4" t="n"/>
      <c r="C645" s="3" t="n"/>
    </row>
    <row r="646">
      <c r="A646" s="5" t="n"/>
      <c r="B646" s="6" t="n"/>
      <c r="C646" s="5" t="n"/>
    </row>
    <row r="647">
      <c r="A647" s="3" t="n"/>
      <c r="B647" s="4" t="n"/>
      <c r="C647" s="3" t="n"/>
    </row>
    <row r="648">
      <c r="A648" s="5" t="n"/>
      <c r="B648" s="6" t="n"/>
      <c r="C648" s="5" t="n"/>
    </row>
    <row r="649">
      <c r="A649" s="3" t="n"/>
      <c r="B649" s="4" t="n"/>
      <c r="C649" s="3" t="n"/>
    </row>
    <row r="650">
      <c r="A650" s="5" t="n"/>
      <c r="B650" s="6" t="n"/>
      <c r="C650" s="5" t="n"/>
    </row>
    <row r="651">
      <c r="A651" s="3" t="n"/>
      <c r="B651" s="4" t="n"/>
      <c r="C651" s="3" t="n"/>
    </row>
    <row r="652">
      <c r="A652" s="5" t="n"/>
      <c r="B652" s="6" t="n"/>
      <c r="C652" s="5" t="n"/>
    </row>
    <row r="653">
      <c r="A653" s="3" t="n"/>
      <c r="B653" s="4" t="n"/>
      <c r="C653" s="3" t="n"/>
    </row>
    <row r="654">
      <c r="A654" s="5" t="n"/>
      <c r="B654" s="6" t="n"/>
      <c r="C654" s="5" t="n"/>
    </row>
    <row r="655">
      <c r="A655" s="3" t="n"/>
      <c r="B655" s="4" t="n"/>
      <c r="C655" s="3" t="n"/>
    </row>
    <row r="656">
      <c r="A656" s="5" t="n"/>
      <c r="B656" s="6" t="n"/>
      <c r="C656" s="5" t="n"/>
    </row>
    <row r="657">
      <c r="A657" s="3" t="n"/>
      <c r="B657" s="4" t="n"/>
      <c r="C657" s="3" t="n"/>
    </row>
    <row r="658">
      <c r="A658" s="5" t="n"/>
      <c r="B658" s="6" t="n"/>
      <c r="C658" s="5" t="n"/>
    </row>
    <row r="659">
      <c r="A659" s="3" t="n"/>
      <c r="B659" s="4" t="n"/>
      <c r="C659" s="3" t="n"/>
    </row>
    <row r="660">
      <c r="A660" s="5" t="n"/>
      <c r="B660" s="6" t="n"/>
      <c r="C660" s="5" t="n"/>
    </row>
    <row r="661">
      <c r="A661" s="3" t="n"/>
      <c r="B661" s="4" t="n"/>
      <c r="C661" s="3" t="n"/>
    </row>
    <row r="662">
      <c r="A662" s="5" t="n"/>
      <c r="B662" s="6" t="n"/>
      <c r="C662" s="5" t="n"/>
    </row>
    <row r="663">
      <c r="A663" s="3" t="n"/>
      <c r="B663" s="4" t="n"/>
      <c r="C663" s="3" t="n"/>
    </row>
    <row r="664">
      <c r="A664" s="5" t="n"/>
      <c r="B664" s="6" t="n"/>
      <c r="C664" s="5" t="n"/>
    </row>
    <row r="665">
      <c r="A665" s="3" t="n"/>
      <c r="B665" s="4" t="n"/>
      <c r="C665" s="3" t="n"/>
    </row>
    <row r="666">
      <c r="A666" s="5" t="n"/>
      <c r="B666" s="6" t="n"/>
      <c r="C666" s="5" t="n"/>
    </row>
    <row r="667">
      <c r="A667" s="3" t="n"/>
      <c r="B667" s="4" t="n"/>
      <c r="C667" s="3" t="n"/>
    </row>
    <row r="668">
      <c r="A668" s="5" t="n"/>
      <c r="B668" s="6" t="n"/>
      <c r="C668" s="5" t="n"/>
    </row>
    <row r="669">
      <c r="A669" s="3" t="n"/>
      <c r="B669" s="4" t="n"/>
      <c r="C669" s="3" t="n"/>
    </row>
    <row r="670">
      <c r="A670" s="5" t="n"/>
      <c r="B670" s="6" t="n"/>
      <c r="C670" s="5" t="n"/>
    </row>
    <row r="671">
      <c r="A671" s="3" t="n"/>
      <c r="B671" s="4" t="n"/>
      <c r="C671" s="3" t="n"/>
    </row>
    <row r="672">
      <c r="A672" s="5" t="n"/>
      <c r="B672" s="6" t="n"/>
      <c r="C672" s="5" t="n"/>
    </row>
    <row r="673">
      <c r="A673" s="3" t="n"/>
      <c r="B673" s="4" t="n"/>
      <c r="C673" s="3" t="n"/>
    </row>
    <row r="674">
      <c r="A674" s="5" t="n"/>
      <c r="B674" s="6" t="n"/>
      <c r="C674" s="5" t="n"/>
    </row>
    <row r="675">
      <c r="A675" s="3" t="n"/>
      <c r="B675" s="4" t="n"/>
      <c r="C675" s="3" t="n"/>
    </row>
    <row r="676">
      <c r="A676" s="5" t="n"/>
      <c r="B676" s="6" t="n"/>
      <c r="C676" s="5" t="n"/>
    </row>
    <row r="677">
      <c r="A677" s="3" t="n"/>
      <c r="B677" s="4" t="n"/>
      <c r="C677" s="3" t="n"/>
    </row>
    <row r="678">
      <c r="A678" s="5" t="n"/>
      <c r="B678" s="6" t="n"/>
      <c r="C678" s="5" t="n"/>
    </row>
    <row r="679">
      <c r="A679" s="3" t="n"/>
      <c r="B679" s="4" t="n"/>
      <c r="C679" s="3" t="n"/>
    </row>
    <row r="680">
      <c r="A680" s="5" t="n"/>
      <c r="B680" s="6" t="n"/>
      <c r="C680" s="5" t="n"/>
    </row>
    <row r="681">
      <c r="A681" s="3" t="n"/>
      <c r="B681" s="4" t="n"/>
      <c r="C681" s="3" t="n"/>
    </row>
    <row r="682">
      <c r="A682" s="5" t="n"/>
      <c r="B682" s="6" t="n"/>
      <c r="C682" s="5" t="n"/>
    </row>
    <row r="683">
      <c r="A683" s="3" t="n"/>
      <c r="B683" s="4" t="n"/>
      <c r="C683" s="3" t="n"/>
    </row>
    <row r="684">
      <c r="A684" s="5" t="n"/>
      <c r="B684" s="6" t="n"/>
      <c r="C684" s="5" t="n"/>
    </row>
    <row r="685">
      <c r="A685" s="3" t="n"/>
      <c r="B685" s="4" t="n"/>
      <c r="C685" s="3" t="n"/>
    </row>
    <row r="686">
      <c r="A686" s="5" t="n"/>
      <c r="B686" s="6" t="n"/>
      <c r="C686" s="5" t="n"/>
    </row>
    <row r="687">
      <c r="A687" s="3" t="n"/>
      <c r="B687" s="4" t="n"/>
      <c r="C687" s="3" t="n"/>
    </row>
    <row r="688">
      <c r="A688" s="5" t="n"/>
      <c r="B688" s="6" t="n"/>
      <c r="C688" s="5" t="n"/>
    </row>
    <row r="689">
      <c r="A689" s="3" t="n"/>
      <c r="B689" s="4" t="n"/>
      <c r="C689" s="3" t="n"/>
    </row>
    <row r="690">
      <c r="A690" s="5" t="n"/>
      <c r="B690" s="6" t="n"/>
      <c r="C690" s="5" t="n"/>
    </row>
    <row r="691">
      <c r="A691" s="3" t="n"/>
      <c r="B691" s="4" t="n"/>
      <c r="C691" s="3" t="n"/>
    </row>
    <row r="692">
      <c r="A692" s="5" t="n"/>
      <c r="B692" s="6" t="n"/>
      <c r="C692" s="5" t="n"/>
    </row>
    <row r="693">
      <c r="A693" s="3" t="n"/>
      <c r="B693" s="4" t="n"/>
      <c r="C693" s="3" t="n"/>
    </row>
    <row r="694">
      <c r="A694" s="5" t="n"/>
      <c r="B694" s="6" t="n"/>
      <c r="C694" s="5" t="n"/>
    </row>
    <row r="695">
      <c r="A695" s="3" t="n"/>
      <c r="B695" s="4" t="n"/>
      <c r="C695" s="3" t="n"/>
    </row>
    <row r="696">
      <c r="A696" s="5" t="n"/>
      <c r="B696" s="6" t="n"/>
      <c r="C696" s="5" t="n"/>
    </row>
    <row r="697">
      <c r="A697" s="3" t="n"/>
      <c r="B697" s="4" t="n"/>
      <c r="C697" s="3" t="n"/>
    </row>
    <row r="698">
      <c r="A698" s="5" t="n"/>
      <c r="B698" s="6" t="n"/>
      <c r="C698" s="5" t="n"/>
    </row>
    <row r="699">
      <c r="A699" s="3" t="n"/>
      <c r="B699" s="4" t="n"/>
      <c r="C699" s="3" t="n"/>
    </row>
    <row r="700">
      <c r="A700" s="5" t="n"/>
      <c r="B700" s="6" t="n"/>
      <c r="C700" s="5" t="n"/>
    </row>
    <row r="701">
      <c r="A701" s="3" t="n"/>
      <c r="B701" s="4" t="n"/>
      <c r="C701" s="3" t="n"/>
    </row>
    <row r="702">
      <c r="A702" s="5" t="n"/>
      <c r="B702" s="6" t="n"/>
      <c r="C702" s="5" t="n"/>
    </row>
    <row r="703">
      <c r="A703" s="3" t="n"/>
      <c r="B703" s="4" t="n"/>
      <c r="C703" s="3" t="n"/>
    </row>
    <row r="704">
      <c r="A704" s="5" t="n"/>
      <c r="B704" s="6" t="n"/>
      <c r="C704" s="5" t="n"/>
    </row>
    <row r="705">
      <c r="A705" s="3" t="n"/>
      <c r="B705" s="4" t="n"/>
      <c r="C705" s="3" t="n"/>
    </row>
    <row r="706">
      <c r="A706" s="5" t="n"/>
      <c r="B706" s="6" t="n"/>
      <c r="C706" s="5" t="n"/>
    </row>
    <row r="707">
      <c r="A707" s="3" t="n"/>
      <c r="B707" s="4" t="n"/>
      <c r="C707" s="3" t="n"/>
    </row>
    <row r="708">
      <c r="A708" s="5" t="n"/>
      <c r="B708" s="6" t="n"/>
      <c r="C708" s="5" t="n"/>
    </row>
    <row r="709">
      <c r="A709" s="3" t="n"/>
      <c r="B709" s="4" t="n"/>
      <c r="C709" s="3" t="n"/>
    </row>
    <row r="710">
      <c r="A710" s="5" t="n"/>
      <c r="B710" s="6" t="n"/>
      <c r="C710" s="5" t="n"/>
    </row>
    <row r="711">
      <c r="A711" s="3" t="n"/>
      <c r="B711" s="4" t="n"/>
      <c r="C711" s="3" t="n"/>
    </row>
    <row r="712">
      <c r="A712" s="5" t="n"/>
      <c r="B712" s="6" t="n"/>
      <c r="C712" s="5" t="n"/>
    </row>
    <row r="713">
      <c r="A713" s="3" t="n"/>
      <c r="B713" s="4" t="n"/>
      <c r="C713" s="3" t="n"/>
    </row>
    <row r="714">
      <c r="A714" s="5" t="n"/>
      <c r="B714" s="6" t="n"/>
      <c r="C714" s="5" t="n"/>
    </row>
    <row r="715">
      <c r="A715" s="3" t="n"/>
      <c r="B715" s="4" t="n"/>
      <c r="C715" s="3" t="n"/>
    </row>
    <row r="716">
      <c r="A716" s="5" t="n"/>
      <c r="B716" s="6" t="n"/>
      <c r="C716" s="5" t="n"/>
    </row>
    <row r="717">
      <c r="A717" s="3" t="n"/>
      <c r="B717" s="4" t="n"/>
      <c r="C717" s="3" t="n"/>
    </row>
    <row r="718">
      <c r="A718" s="5" t="n"/>
      <c r="B718" s="6" t="n"/>
      <c r="C718" s="5" t="n"/>
    </row>
    <row r="719">
      <c r="A719" s="3" t="n"/>
      <c r="B719" s="4" t="n"/>
      <c r="C719" s="3" t="n"/>
    </row>
    <row r="720">
      <c r="A720" s="5" t="n"/>
      <c r="B720" s="6" t="n"/>
      <c r="C720" s="5" t="n"/>
    </row>
    <row r="721">
      <c r="A721" s="3" t="n"/>
      <c r="B721" s="4" t="n"/>
      <c r="C721" s="3" t="n"/>
    </row>
    <row r="722">
      <c r="A722" s="5" t="n"/>
      <c r="B722" s="6" t="n"/>
      <c r="C722" s="5" t="n"/>
    </row>
    <row r="723">
      <c r="A723" s="3" t="n"/>
      <c r="B723" s="4" t="n"/>
      <c r="C723" s="3" t="n"/>
    </row>
    <row r="724">
      <c r="A724" s="5" t="n"/>
      <c r="B724" s="6" t="n"/>
      <c r="C724" s="5" t="n"/>
    </row>
    <row r="725">
      <c r="A725" s="3" t="n"/>
      <c r="B725" s="4" t="n"/>
      <c r="C725" s="3" t="n"/>
    </row>
    <row r="726">
      <c r="A726" s="5" t="n"/>
      <c r="B726" s="6" t="n"/>
      <c r="C726" s="5" t="n"/>
    </row>
    <row r="727">
      <c r="A727" s="3" t="n"/>
      <c r="B727" s="4" t="n"/>
      <c r="C727" s="3" t="n"/>
    </row>
    <row r="728">
      <c r="A728" s="5" t="n"/>
      <c r="B728" s="6" t="n"/>
      <c r="C728" s="5" t="n"/>
    </row>
    <row r="729">
      <c r="A729" s="3" t="n"/>
      <c r="B729" s="4" t="n"/>
      <c r="C729" s="3" t="n"/>
    </row>
    <row r="730">
      <c r="A730" s="5" t="n"/>
      <c r="B730" s="6" t="n"/>
      <c r="C730" s="5" t="n"/>
    </row>
    <row r="731">
      <c r="A731" s="3" t="n"/>
      <c r="B731" s="4" t="n"/>
      <c r="C731" s="3" t="n"/>
    </row>
    <row r="732">
      <c r="A732" s="5" t="n"/>
      <c r="B732" s="6" t="n"/>
      <c r="C732" s="5" t="n"/>
    </row>
    <row r="733">
      <c r="A733" s="3" t="n"/>
      <c r="B733" s="4" t="n"/>
      <c r="C733" s="3" t="n"/>
    </row>
    <row r="734">
      <c r="A734" s="5" t="n"/>
      <c r="B734" s="6" t="n"/>
      <c r="C734" s="5" t="n"/>
    </row>
    <row r="735">
      <c r="A735" s="3" t="n"/>
      <c r="B735" s="4" t="n"/>
      <c r="C735" s="3" t="n"/>
    </row>
    <row r="736">
      <c r="A736" s="5" t="n"/>
      <c r="B736" s="6" t="n"/>
      <c r="C736" s="5" t="n"/>
    </row>
    <row r="737">
      <c r="A737" s="3" t="n"/>
      <c r="B737" s="4" t="n"/>
      <c r="C737" s="3" t="n"/>
    </row>
    <row r="738">
      <c r="A738" s="5" t="n"/>
      <c r="B738" s="6" t="n"/>
      <c r="C738" s="5" t="n"/>
    </row>
    <row r="739">
      <c r="A739" s="3" t="n"/>
      <c r="B739" s="4" t="n"/>
      <c r="C739" s="3" t="n"/>
    </row>
    <row r="740">
      <c r="A740" s="5" t="n"/>
      <c r="B740" s="6" t="n"/>
      <c r="C740" s="5" t="n"/>
    </row>
    <row r="741">
      <c r="A741" s="3" t="n"/>
      <c r="B741" s="4" t="n"/>
      <c r="C741" s="3" t="n"/>
    </row>
    <row r="742">
      <c r="A742" s="5" t="n"/>
      <c r="B742" s="6" t="n"/>
      <c r="C742" s="5" t="n"/>
    </row>
    <row r="743">
      <c r="A743" s="3" t="n"/>
      <c r="B743" s="4" t="n"/>
      <c r="C743" s="3" t="n"/>
    </row>
    <row r="744">
      <c r="A744" s="5" t="n"/>
      <c r="B744" s="6" t="n"/>
      <c r="C744" s="5" t="n"/>
    </row>
    <row r="745">
      <c r="A745" s="3" t="n"/>
      <c r="B745" s="4" t="n"/>
      <c r="C745" s="3" t="n"/>
    </row>
    <row r="746">
      <c r="A746" s="5" t="n"/>
      <c r="B746" s="6" t="n"/>
      <c r="C746" s="5" t="n"/>
    </row>
    <row r="747">
      <c r="A747" s="3" t="n"/>
      <c r="B747" s="4" t="n"/>
      <c r="C747" s="3" t="n"/>
    </row>
    <row r="748">
      <c r="A748" s="5" t="n"/>
      <c r="B748" s="6" t="n"/>
      <c r="C748" s="5" t="n"/>
    </row>
    <row r="749">
      <c r="A749" s="3" t="n"/>
      <c r="B749" s="4" t="n"/>
      <c r="C749" s="3" t="n"/>
    </row>
    <row r="750">
      <c r="A750" s="5" t="n"/>
      <c r="B750" s="6" t="n"/>
      <c r="C750" s="5" t="n"/>
    </row>
    <row r="751">
      <c r="A751" s="3" t="n"/>
      <c r="B751" s="4" t="n"/>
      <c r="C751" s="3" t="n"/>
    </row>
    <row r="752">
      <c r="A752" s="5" t="n"/>
      <c r="B752" s="6" t="n"/>
      <c r="C752" s="5" t="n"/>
    </row>
    <row r="753">
      <c r="A753" s="3" t="n"/>
      <c r="B753" s="4" t="n"/>
      <c r="C753" s="3" t="n"/>
    </row>
    <row r="754">
      <c r="A754" s="5" t="n"/>
      <c r="B754" s="6" t="n"/>
      <c r="C754" s="5" t="n"/>
    </row>
    <row r="755">
      <c r="A755" s="3" t="n"/>
      <c r="B755" s="4" t="n"/>
      <c r="C755" s="3" t="n"/>
    </row>
    <row r="756">
      <c r="A756" s="5" t="n"/>
      <c r="B756" s="6" t="n"/>
      <c r="C756" s="5" t="n"/>
    </row>
    <row r="757">
      <c r="A757" s="3" t="n"/>
      <c r="B757" s="4" t="n"/>
      <c r="C757" s="3" t="n"/>
    </row>
    <row r="758">
      <c r="A758" s="5" t="n"/>
      <c r="B758" s="6" t="n"/>
      <c r="C758" s="5" t="n"/>
    </row>
    <row r="759">
      <c r="A759" s="3" t="n"/>
      <c r="B759" s="4" t="n"/>
      <c r="C759" s="3" t="n"/>
    </row>
    <row r="760">
      <c r="A760" s="5" t="n"/>
      <c r="B760" s="6" t="n"/>
      <c r="C760" s="5" t="n"/>
    </row>
    <row r="761">
      <c r="A761" s="3" t="n"/>
      <c r="B761" s="4" t="n"/>
      <c r="C761" s="3" t="n"/>
    </row>
    <row r="762">
      <c r="A762" s="5" t="n"/>
      <c r="B762" s="6" t="n"/>
      <c r="C762" s="5" t="n"/>
    </row>
    <row r="763">
      <c r="A763" s="3" t="n"/>
      <c r="B763" s="4" t="n"/>
      <c r="C763" s="3" t="n"/>
    </row>
    <row r="764">
      <c r="A764" s="5" t="n"/>
      <c r="B764" s="6" t="n"/>
      <c r="C764" s="5" t="n"/>
    </row>
    <row r="765">
      <c r="A765" s="3" t="n"/>
      <c r="B765" s="4" t="n"/>
      <c r="C765" s="3" t="n"/>
    </row>
    <row r="766">
      <c r="A766" s="5" t="n"/>
      <c r="B766" s="6" t="n"/>
      <c r="C766" s="5" t="n"/>
    </row>
    <row r="767">
      <c r="A767" s="3" t="n"/>
      <c r="B767" s="4" t="n"/>
      <c r="C767" s="3" t="n"/>
    </row>
    <row r="768">
      <c r="A768" s="5" t="n"/>
      <c r="B768" s="6" t="n"/>
      <c r="C768" s="5" t="n"/>
    </row>
    <row r="769">
      <c r="A769" s="3" t="n"/>
      <c r="B769" s="4" t="n"/>
      <c r="C769" s="3" t="n"/>
    </row>
    <row r="770">
      <c r="A770" s="5" t="n"/>
      <c r="B770" s="6" t="n"/>
      <c r="C770" s="5" t="n"/>
    </row>
    <row r="771">
      <c r="A771" s="3" t="n"/>
      <c r="B771" s="4" t="n"/>
      <c r="C771" s="3" t="n"/>
    </row>
    <row r="772">
      <c r="A772" s="5" t="n"/>
      <c r="B772" s="6" t="n"/>
      <c r="C772" s="5" t="n"/>
    </row>
    <row r="773">
      <c r="A773" s="3" t="n"/>
      <c r="B773" s="4" t="n"/>
      <c r="C773" s="3" t="n"/>
    </row>
    <row r="774">
      <c r="A774" s="5" t="n"/>
      <c r="B774" s="6" t="n"/>
      <c r="C774" s="5" t="n"/>
    </row>
    <row r="775">
      <c r="A775" s="3" t="n"/>
      <c r="B775" s="4" t="n"/>
      <c r="C775" s="3" t="n"/>
    </row>
    <row r="776">
      <c r="A776" s="5" t="n"/>
      <c r="B776" s="6" t="n"/>
      <c r="C776" s="5" t="n"/>
    </row>
    <row r="777">
      <c r="A777" s="3" t="n"/>
      <c r="B777" s="4" t="n"/>
      <c r="C777" s="3" t="n"/>
    </row>
    <row r="778">
      <c r="A778" s="5" t="n"/>
      <c r="B778" s="6" t="n"/>
      <c r="C778" s="5" t="n"/>
    </row>
    <row r="779">
      <c r="A779" s="3" t="n"/>
      <c r="B779" s="4" t="n"/>
      <c r="C779" s="3" t="n"/>
    </row>
    <row r="780">
      <c r="A780" s="5" t="n"/>
      <c r="B780" s="6" t="n"/>
      <c r="C780" s="5" t="n"/>
    </row>
    <row r="781">
      <c r="A781" s="3" t="n"/>
      <c r="B781" s="4" t="n"/>
      <c r="C781" s="3" t="n"/>
    </row>
    <row r="782">
      <c r="A782" s="5" t="n"/>
      <c r="B782" s="6" t="n"/>
      <c r="C782" s="5" t="n"/>
    </row>
    <row r="783">
      <c r="A783" s="3" t="n"/>
      <c r="B783" s="4" t="n"/>
      <c r="C783" s="3" t="n"/>
    </row>
    <row r="784">
      <c r="A784" s="5" t="n"/>
      <c r="B784" s="6" t="n"/>
      <c r="C784" s="5" t="n"/>
    </row>
    <row r="785">
      <c r="A785" s="3" t="n"/>
      <c r="B785" s="4" t="n"/>
      <c r="C785" s="3" t="n"/>
    </row>
    <row r="786">
      <c r="A786" s="5" t="n"/>
      <c r="B786" s="6" t="n"/>
      <c r="C786" s="5" t="n"/>
    </row>
    <row r="787">
      <c r="A787" s="3" t="n"/>
      <c r="B787" s="4" t="n"/>
      <c r="C787" s="3" t="n"/>
    </row>
    <row r="788">
      <c r="A788" s="5" t="n"/>
      <c r="B788" s="6" t="n"/>
      <c r="C788" s="5" t="n"/>
    </row>
    <row r="789">
      <c r="A789" s="3" t="n"/>
      <c r="B789" s="4" t="n"/>
      <c r="C789" s="3" t="n"/>
    </row>
    <row r="790">
      <c r="A790" s="5" t="n"/>
      <c r="B790" s="6" t="n"/>
      <c r="C790" s="5" t="n"/>
    </row>
    <row r="791">
      <c r="A791" s="3" t="n"/>
      <c r="B791" s="4" t="n"/>
      <c r="C791" s="3" t="n"/>
    </row>
    <row r="792">
      <c r="A792" s="5" t="n"/>
      <c r="B792" s="6" t="n"/>
      <c r="C792" s="5" t="n"/>
    </row>
    <row r="793">
      <c r="A793" s="3" t="n"/>
      <c r="B793" s="4" t="n"/>
      <c r="C793" s="3" t="n"/>
    </row>
    <row r="794">
      <c r="A794" s="5" t="n"/>
      <c r="B794" s="6" t="n"/>
      <c r="C794" s="5" t="n"/>
    </row>
    <row r="795">
      <c r="A795" s="3" t="n"/>
      <c r="B795" s="4" t="n"/>
      <c r="C795" s="3" t="n"/>
    </row>
    <row r="796">
      <c r="A796" s="5" t="n"/>
      <c r="B796" s="6" t="n"/>
      <c r="C796" s="5" t="n"/>
    </row>
    <row r="797">
      <c r="A797" s="3" t="n"/>
      <c r="B797" s="4" t="n"/>
      <c r="C797" s="3" t="n"/>
    </row>
    <row r="798">
      <c r="A798" s="5" t="n"/>
      <c r="B798" s="6" t="n"/>
      <c r="C798" s="5" t="n"/>
    </row>
    <row r="799">
      <c r="A799" s="3" t="n"/>
      <c r="B799" s="4" t="n"/>
      <c r="C799" s="3" t="n"/>
    </row>
    <row r="800">
      <c r="A800" s="5" t="n"/>
      <c r="B800" s="6" t="n"/>
      <c r="C800" s="5" t="n"/>
    </row>
    <row r="801">
      <c r="A801" s="3" t="n"/>
      <c r="B801" s="4" t="n"/>
      <c r="C801" s="3" t="n"/>
    </row>
    <row r="802">
      <c r="A802" s="5" t="n"/>
      <c r="B802" s="6" t="n"/>
      <c r="C802" s="5" t="n"/>
    </row>
    <row r="803">
      <c r="A803" s="3" t="n"/>
      <c r="B803" s="4" t="n"/>
      <c r="C803" s="3" t="n"/>
    </row>
    <row r="804">
      <c r="A804" s="5" t="n"/>
      <c r="B804" s="6" t="n"/>
      <c r="C804" s="5" t="n"/>
    </row>
    <row r="805">
      <c r="A805" s="3" t="n"/>
      <c r="B805" s="4" t="n"/>
      <c r="C805" s="3" t="n"/>
    </row>
    <row r="806">
      <c r="A806" s="5" t="n"/>
      <c r="B806" s="6" t="n"/>
      <c r="C806" s="5" t="n"/>
    </row>
    <row r="807">
      <c r="A807" s="3" t="n"/>
      <c r="B807" s="4" t="n"/>
      <c r="C807" s="3" t="n"/>
    </row>
    <row r="808">
      <c r="A808" s="5" t="n"/>
      <c r="B808" s="6" t="n"/>
      <c r="C808" s="5" t="n"/>
    </row>
    <row r="809">
      <c r="A809" s="3" t="n"/>
      <c r="B809" s="4" t="n"/>
      <c r="C809" s="3" t="n"/>
    </row>
    <row r="810">
      <c r="A810" s="5" t="n"/>
      <c r="B810" s="6" t="n"/>
      <c r="C810" s="5" t="n"/>
    </row>
    <row r="811">
      <c r="A811" s="3" t="n"/>
      <c r="B811" s="4" t="n"/>
      <c r="C811" s="3" t="n"/>
    </row>
    <row r="812">
      <c r="A812" s="5" t="n"/>
      <c r="B812" s="6" t="n"/>
      <c r="C812" s="5" t="n"/>
    </row>
    <row r="813">
      <c r="A813" s="3" t="n"/>
      <c r="B813" s="4" t="n"/>
      <c r="C813" s="3" t="n"/>
    </row>
    <row r="814">
      <c r="A814" s="5" t="n"/>
      <c r="B814" s="6" t="n"/>
      <c r="C814" s="5" t="n"/>
    </row>
    <row r="815">
      <c r="A815" s="3" t="n"/>
      <c r="B815" s="4" t="n"/>
      <c r="C815" s="3" t="n"/>
    </row>
    <row r="816">
      <c r="A816" s="5" t="n"/>
      <c r="B816" s="6" t="n"/>
      <c r="C816" s="5" t="n"/>
    </row>
    <row r="817">
      <c r="A817" s="3" t="n"/>
      <c r="B817" s="4" t="n"/>
      <c r="C817" s="3" t="n"/>
    </row>
    <row r="818">
      <c r="A818" s="5" t="n"/>
      <c r="B818" s="6" t="n"/>
      <c r="C818" s="5" t="n"/>
    </row>
    <row r="819">
      <c r="A819" s="3" t="n"/>
      <c r="B819" s="4" t="n"/>
      <c r="C819" s="3" t="n"/>
    </row>
    <row r="820">
      <c r="A820" s="5" t="n"/>
      <c r="B820" s="6" t="n"/>
      <c r="C820" s="5" t="n"/>
    </row>
    <row r="821">
      <c r="A821" s="3" t="n"/>
      <c r="B821" s="4" t="n"/>
      <c r="C821" s="3" t="n"/>
    </row>
    <row r="822">
      <c r="A822" s="5" t="n"/>
      <c r="B822" s="6" t="n"/>
      <c r="C822" s="5" t="n"/>
    </row>
    <row r="823">
      <c r="A823" s="3" t="n"/>
      <c r="B823" s="4" t="n"/>
      <c r="C823" s="3" t="n"/>
    </row>
    <row r="824">
      <c r="A824" s="5" t="n"/>
      <c r="B824" s="6" t="n"/>
      <c r="C824" s="5" t="n"/>
    </row>
    <row r="825">
      <c r="A825" s="3" t="n"/>
      <c r="B825" s="4" t="n"/>
      <c r="C825" s="3" t="n"/>
    </row>
    <row r="826">
      <c r="A826" s="5" t="n"/>
      <c r="B826" s="6" t="n"/>
      <c r="C826" s="5" t="n"/>
    </row>
    <row r="827">
      <c r="A827" s="3" t="n"/>
      <c r="B827" s="4" t="n"/>
      <c r="C827" s="3" t="n"/>
    </row>
    <row r="828">
      <c r="A828" s="5" t="n"/>
      <c r="B828" s="6" t="n"/>
      <c r="C828" s="5" t="n"/>
    </row>
    <row r="829">
      <c r="A829" s="3" t="n"/>
      <c r="B829" s="4" t="n"/>
      <c r="C829" s="3" t="n"/>
    </row>
    <row r="830">
      <c r="A830" s="5" t="n"/>
      <c r="B830" s="6" t="n"/>
      <c r="C830" s="5" t="n"/>
    </row>
    <row r="831">
      <c r="A831" s="3" t="n"/>
      <c r="B831" s="4" t="n"/>
      <c r="C831" s="3" t="n"/>
    </row>
    <row r="832">
      <c r="A832" s="5" t="n"/>
      <c r="B832" s="6" t="n"/>
      <c r="C832" s="5" t="n"/>
    </row>
    <row r="833">
      <c r="A833" s="3" t="n"/>
      <c r="B833" s="4" t="n"/>
      <c r="C833" s="3" t="n"/>
    </row>
    <row r="834">
      <c r="A834" s="5" t="n"/>
      <c r="B834" s="6" t="n"/>
      <c r="C834" s="5" t="n"/>
    </row>
    <row r="835">
      <c r="A835" s="3" t="n"/>
      <c r="B835" s="4" t="n"/>
      <c r="C835" s="3" t="n"/>
    </row>
    <row r="836">
      <c r="A836" s="5" t="n"/>
      <c r="B836" s="6" t="n"/>
      <c r="C836" s="5" t="n"/>
    </row>
    <row r="837">
      <c r="A837" s="3" t="n"/>
      <c r="B837" s="4" t="n"/>
      <c r="C837" s="3" t="n"/>
    </row>
    <row r="838">
      <c r="A838" s="5" t="n"/>
      <c r="B838" s="6" t="n"/>
      <c r="C838" s="5" t="n"/>
    </row>
    <row r="839">
      <c r="A839" s="3" t="n"/>
      <c r="B839" s="4" t="n"/>
      <c r="C839" s="3" t="n"/>
    </row>
    <row r="840">
      <c r="A840" s="5" t="n"/>
      <c r="B840" s="6" t="n"/>
      <c r="C840" s="5" t="n"/>
    </row>
    <row r="841">
      <c r="A841" s="3" t="n"/>
      <c r="B841" s="4" t="n"/>
      <c r="C841" s="3" t="n"/>
    </row>
    <row r="842">
      <c r="A842" s="5" t="n"/>
      <c r="B842" s="6" t="n"/>
      <c r="C842" s="5" t="n"/>
    </row>
    <row r="843">
      <c r="A843" s="3" t="n"/>
      <c r="B843" s="4" t="n"/>
      <c r="C843" s="3" t="n"/>
    </row>
    <row r="844">
      <c r="A844" s="5" t="n"/>
      <c r="B844" s="6" t="n"/>
      <c r="C844" s="5" t="n"/>
    </row>
    <row r="845">
      <c r="A845" s="3" t="n"/>
      <c r="B845" s="4" t="n"/>
      <c r="C845" s="3" t="n"/>
    </row>
    <row r="846">
      <c r="A846" s="5" t="n"/>
      <c r="B846" s="6" t="n"/>
      <c r="C846" s="5" t="n"/>
    </row>
    <row r="847">
      <c r="A847" s="3" t="n"/>
      <c r="B847" s="4" t="n"/>
      <c r="C847" s="3" t="n"/>
    </row>
    <row r="848">
      <c r="A848" s="5" t="n"/>
      <c r="B848" s="6" t="n"/>
      <c r="C848" s="5" t="n"/>
    </row>
    <row r="849">
      <c r="A849" s="3" t="n"/>
      <c r="B849" s="4" t="n"/>
      <c r="C849" s="3" t="n"/>
    </row>
    <row r="850">
      <c r="A850" s="5" t="n"/>
      <c r="B850" s="6" t="n"/>
      <c r="C850" s="5" t="n"/>
    </row>
    <row r="851">
      <c r="A851" s="3" t="n"/>
      <c r="B851" s="4" t="n"/>
      <c r="C851" s="3" t="n"/>
    </row>
    <row r="852">
      <c r="A852" s="5" t="n"/>
      <c r="B852" s="6" t="n"/>
      <c r="C852" s="5" t="n"/>
    </row>
    <row r="853">
      <c r="A853" s="3" t="n"/>
      <c r="B853" s="4" t="n"/>
      <c r="C853" s="3" t="n"/>
    </row>
    <row r="854">
      <c r="A854" s="5" t="n"/>
      <c r="B854" s="6" t="n"/>
      <c r="C854" s="5" t="n"/>
    </row>
    <row r="855">
      <c r="A855" s="3" t="n"/>
      <c r="B855" s="4" t="n"/>
      <c r="C855" s="3" t="n"/>
    </row>
    <row r="856">
      <c r="A856" s="5" t="n"/>
      <c r="B856" s="6" t="n"/>
      <c r="C856" s="5" t="n"/>
    </row>
    <row r="857">
      <c r="A857" s="3" t="n"/>
      <c r="B857" s="4" t="n"/>
      <c r="C857" s="3" t="n"/>
    </row>
    <row r="858">
      <c r="A858" s="5" t="n"/>
      <c r="B858" s="6" t="n"/>
      <c r="C858" s="5" t="n"/>
    </row>
    <row r="859">
      <c r="A859" s="3" t="n"/>
      <c r="B859" s="4" t="n"/>
      <c r="C859" s="3" t="n"/>
    </row>
    <row r="860">
      <c r="A860" s="5" t="n"/>
      <c r="B860" s="6" t="n"/>
      <c r="C860" s="5" t="n"/>
    </row>
    <row r="861">
      <c r="A861" s="3" t="n"/>
      <c r="B861" s="4" t="n"/>
      <c r="C861" s="3" t="n"/>
    </row>
    <row r="862">
      <c r="A862" s="5" t="n"/>
      <c r="B862" s="6" t="n"/>
      <c r="C862" s="5" t="n"/>
    </row>
    <row r="863">
      <c r="A863" s="3" t="n"/>
      <c r="B863" s="4" t="n"/>
      <c r="C863" s="3" t="n"/>
    </row>
    <row r="864">
      <c r="A864" s="5" t="n"/>
      <c r="B864" s="6" t="n"/>
      <c r="C864" s="5" t="n"/>
    </row>
    <row r="865">
      <c r="A865" s="3" t="n"/>
      <c r="B865" s="4" t="n"/>
      <c r="C865" s="3" t="n"/>
    </row>
    <row r="866">
      <c r="A866" s="5" t="n"/>
      <c r="B866" s="6" t="n"/>
      <c r="C866" s="5" t="n"/>
    </row>
    <row r="867">
      <c r="A867" s="3" t="n"/>
      <c r="B867" s="4" t="n"/>
      <c r="C867" s="3" t="n"/>
    </row>
    <row r="868">
      <c r="A868" s="5" t="n"/>
      <c r="B868" s="6" t="n"/>
      <c r="C868" s="5" t="n"/>
    </row>
    <row r="869">
      <c r="A869" s="3" t="n"/>
      <c r="B869" s="4" t="n"/>
      <c r="C869" s="3" t="n"/>
    </row>
    <row r="870">
      <c r="A870" s="5" t="n"/>
      <c r="B870" s="6" t="n"/>
      <c r="C870" s="5" t="n"/>
    </row>
    <row r="871">
      <c r="A871" s="3" t="n"/>
      <c r="B871" s="4" t="n"/>
      <c r="C871" s="3" t="n"/>
    </row>
    <row r="872">
      <c r="A872" s="5" t="n"/>
      <c r="B872" s="6" t="n"/>
      <c r="C872" s="5" t="n"/>
    </row>
    <row r="873">
      <c r="A873" s="3" t="n"/>
      <c r="B873" s="4" t="n"/>
      <c r="C873" s="3" t="n"/>
    </row>
    <row r="874">
      <c r="A874" s="5" t="n"/>
      <c r="B874" s="6" t="n"/>
      <c r="C874" s="5" t="n"/>
    </row>
    <row r="875">
      <c r="A875" s="3" t="n"/>
      <c r="B875" s="4" t="n"/>
      <c r="C875" s="3" t="n"/>
    </row>
    <row r="876">
      <c r="A876" s="5" t="n"/>
      <c r="B876" s="6" t="n"/>
      <c r="C876" s="5" t="n"/>
    </row>
    <row r="877">
      <c r="A877" s="3" t="n"/>
      <c r="B877" s="4" t="n"/>
      <c r="C877" s="3" t="n"/>
    </row>
    <row r="878">
      <c r="A878" s="5" t="n"/>
      <c r="B878" s="6" t="n"/>
      <c r="C878" s="5" t="n"/>
    </row>
    <row r="879">
      <c r="A879" s="3" t="n"/>
      <c r="B879" s="4" t="n"/>
      <c r="C879" s="3" t="n"/>
    </row>
    <row r="880">
      <c r="A880" s="5" t="n"/>
      <c r="B880" s="6" t="n"/>
      <c r="C880" s="5" t="n"/>
    </row>
    <row r="881">
      <c r="A881" s="3" t="n"/>
      <c r="B881" s="4" t="n"/>
      <c r="C881" s="3" t="n"/>
    </row>
    <row r="882">
      <c r="A882" s="5" t="n"/>
      <c r="B882" s="6" t="n"/>
      <c r="C882" s="5" t="n"/>
    </row>
    <row r="883">
      <c r="A883" s="3" t="n"/>
      <c r="B883" s="4" t="n"/>
      <c r="C883" s="3" t="n"/>
    </row>
    <row r="884">
      <c r="A884" s="5" t="n"/>
      <c r="B884" s="6" t="n"/>
      <c r="C884" s="5" t="n"/>
    </row>
    <row r="885">
      <c r="A885" s="3" t="n"/>
      <c r="B885" s="4" t="n"/>
      <c r="C885" s="3" t="n"/>
    </row>
    <row r="886">
      <c r="A886" s="5" t="n"/>
      <c r="B886" s="6" t="n"/>
      <c r="C886" s="5" t="n"/>
    </row>
    <row r="887">
      <c r="A887" s="3" t="n"/>
      <c r="B887" s="4" t="n"/>
      <c r="C887" s="3" t="n"/>
    </row>
    <row r="888">
      <c r="A888" s="5" t="n"/>
      <c r="B888" s="6" t="n"/>
      <c r="C888" s="5" t="n"/>
    </row>
    <row r="889">
      <c r="A889" s="3" t="n"/>
      <c r="B889" s="4" t="n"/>
      <c r="C889" s="3" t="n"/>
    </row>
    <row r="890">
      <c r="A890" s="5" t="n"/>
      <c r="B890" s="6" t="n"/>
      <c r="C890" s="5" t="n"/>
    </row>
    <row r="891">
      <c r="A891" s="3" t="n"/>
      <c r="B891" s="4" t="n"/>
      <c r="C891" s="3" t="n"/>
    </row>
    <row r="892">
      <c r="A892" s="5" t="n"/>
      <c r="B892" s="6" t="n"/>
      <c r="C892" s="5" t="n"/>
    </row>
    <row r="893">
      <c r="A893" s="3" t="n"/>
      <c r="B893" s="4" t="n"/>
      <c r="C893" s="3" t="n"/>
    </row>
    <row r="894">
      <c r="A894" s="5" t="n"/>
      <c r="B894" s="6" t="n"/>
      <c r="C894" s="5" t="n"/>
    </row>
    <row r="895">
      <c r="A895" s="3" t="n"/>
      <c r="B895" s="4" t="n"/>
      <c r="C895" s="3" t="n"/>
    </row>
    <row r="896">
      <c r="A896" s="5" t="n"/>
      <c r="B896" s="6" t="n"/>
      <c r="C896" s="5" t="n"/>
    </row>
    <row r="897">
      <c r="A897" s="3" t="n"/>
      <c r="B897" s="4" t="n"/>
      <c r="C897" s="3" t="n"/>
    </row>
    <row r="898">
      <c r="A898" s="5" t="n"/>
      <c r="B898" s="6" t="n"/>
      <c r="C898" s="5" t="n"/>
    </row>
    <row r="899">
      <c r="A899" s="3" t="n"/>
      <c r="B899" s="4" t="n"/>
      <c r="C899" s="3" t="n"/>
    </row>
    <row r="900">
      <c r="A900" s="5" t="n"/>
      <c r="B900" s="6" t="n"/>
      <c r="C900" s="5" t="n"/>
    </row>
    <row r="901">
      <c r="A901" s="3" t="n"/>
      <c r="B901" s="4" t="n"/>
      <c r="C901" s="3" t="n"/>
    </row>
    <row r="902">
      <c r="A902" s="5" t="n"/>
      <c r="B902" s="6" t="n"/>
      <c r="C902" s="5" t="n"/>
    </row>
    <row r="903">
      <c r="A903" s="3" t="n"/>
      <c r="B903" s="4" t="n"/>
      <c r="C903" s="3" t="n"/>
    </row>
    <row r="904">
      <c r="A904" s="5" t="n"/>
      <c r="B904" s="6" t="n"/>
      <c r="C904" s="5" t="n"/>
    </row>
    <row r="905">
      <c r="A905" s="3" t="n"/>
      <c r="B905" s="4" t="n"/>
      <c r="C905" s="3" t="n"/>
    </row>
    <row r="906">
      <c r="A906" s="5" t="n"/>
      <c r="B906" s="6" t="n"/>
      <c r="C906" s="5" t="n"/>
    </row>
    <row r="907">
      <c r="A907" s="3" t="n"/>
      <c r="B907" s="4" t="n"/>
      <c r="C907" s="3" t="n"/>
    </row>
    <row r="908">
      <c r="A908" s="5" t="n"/>
      <c r="B908" s="6" t="n"/>
      <c r="C908" s="5" t="n"/>
    </row>
    <row r="909">
      <c r="A909" s="3" t="n"/>
      <c r="B909" s="4" t="n"/>
      <c r="C909" s="3" t="n"/>
    </row>
    <row r="910">
      <c r="A910" s="5" t="n"/>
      <c r="B910" s="6" t="n"/>
      <c r="C910" s="5" t="n"/>
    </row>
    <row r="911">
      <c r="A911" s="3" t="n"/>
      <c r="B911" s="4" t="n"/>
      <c r="C911" s="3" t="n"/>
    </row>
    <row r="912">
      <c r="A912" s="5" t="n"/>
      <c r="B912" s="6" t="n"/>
      <c r="C912" s="5" t="n"/>
    </row>
    <row r="913">
      <c r="A913" s="3" t="n"/>
      <c r="B913" s="4" t="n"/>
      <c r="C913" s="3" t="n"/>
    </row>
    <row r="914">
      <c r="A914" s="5" t="n"/>
      <c r="B914" s="6" t="n"/>
      <c r="C914" s="5" t="n"/>
    </row>
    <row r="915">
      <c r="A915" s="3" t="n"/>
      <c r="B915" s="4" t="n"/>
      <c r="C915" s="3" t="n"/>
    </row>
    <row r="916">
      <c r="A916" s="5" t="n"/>
      <c r="B916" s="6" t="n"/>
      <c r="C916" s="5" t="n"/>
    </row>
    <row r="917">
      <c r="A917" s="3" t="n"/>
      <c r="B917" s="4" t="n"/>
      <c r="C917" s="3" t="n"/>
    </row>
    <row r="918">
      <c r="A918" s="5" t="n"/>
      <c r="B918" s="6" t="n"/>
      <c r="C918" s="5" t="n"/>
    </row>
    <row r="919">
      <c r="A919" s="3" t="n"/>
      <c r="B919" s="4" t="n"/>
      <c r="C919" s="3" t="n"/>
    </row>
    <row r="920">
      <c r="A920" s="5" t="n"/>
      <c r="B920" s="6" t="n"/>
      <c r="C920" s="5" t="n"/>
    </row>
    <row r="921">
      <c r="A921" s="3" t="n"/>
      <c r="B921" s="4" t="n"/>
      <c r="C921" s="3" t="n"/>
    </row>
    <row r="922">
      <c r="A922" s="5" t="n"/>
      <c r="B922" s="6" t="n"/>
      <c r="C922" s="5" t="n"/>
    </row>
    <row r="923">
      <c r="A923" s="3" t="n"/>
      <c r="B923" s="4" t="n"/>
      <c r="C923" s="3" t="n"/>
    </row>
    <row r="924">
      <c r="A924" s="5" t="n"/>
      <c r="B924" s="6" t="n"/>
      <c r="C924" s="5" t="n"/>
    </row>
    <row r="925">
      <c r="A925" s="3" t="n"/>
      <c r="B925" s="4" t="n"/>
      <c r="C925" s="3" t="n"/>
    </row>
    <row r="926">
      <c r="A926" s="5" t="n"/>
      <c r="B926" s="6" t="n"/>
      <c r="C926" s="5" t="n"/>
    </row>
    <row r="927">
      <c r="A927" s="3" t="n"/>
      <c r="B927" s="4" t="n"/>
      <c r="C927" s="3" t="n"/>
    </row>
    <row r="928">
      <c r="A928" s="5" t="n"/>
      <c r="B928" s="6" t="n"/>
      <c r="C928" s="5" t="n"/>
    </row>
    <row r="929">
      <c r="A929" s="3" t="n"/>
      <c r="B929" s="4" t="n"/>
      <c r="C929" s="3" t="n"/>
    </row>
    <row r="930">
      <c r="A930" s="5" t="n"/>
      <c r="B930" s="6" t="n"/>
      <c r="C930" s="5" t="n"/>
    </row>
    <row r="931">
      <c r="A931" s="3" t="n"/>
      <c r="B931" s="4" t="n"/>
      <c r="C931" s="3" t="n"/>
    </row>
    <row r="932">
      <c r="A932" s="5" t="n"/>
      <c r="B932" s="6" t="n"/>
      <c r="C932" s="5" t="n"/>
    </row>
    <row r="933">
      <c r="A933" s="3" t="n"/>
      <c r="B933" s="4" t="n"/>
      <c r="C933" s="3" t="n"/>
    </row>
    <row r="934">
      <c r="A934" s="5" t="n"/>
      <c r="B934" s="6" t="n"/>
      <c r="C934" s="5" t="n"/>
    </row>
    <row r="935">
      <c r="A935" s="3" t="n"/>
      <c r="B935" s="4" t="n"/>
      <c r="C935" s="3" t="n"/>
    </row>
    <row r="936">
      <c r="A936" s="5" t="n"/>
      <c r="B936" s="6" t="n"/>
      <c r="C936" s="5" t="n"/>
    </row>
    <row r="937">
      <c r="A937" s="3" t="n"/>
      <c r="B937" s="4" t="n"/>
      <c r="C937" s="3" t="n"/>
    </row>
    <row r="938">
      <c r="A938" s="5" t="n"/>
      <c r="B938" s="6" t="n"/>
      <c r="C938" s="5" t="n"/>
    </row>
    <row r="939">
      <c r="A939" s="3" t="n"/>
      <c r="B939" s="4" t="n"/>
      <c r="C939" s="3" t="n"/>
    </row>
    <row r="940">
      <c r="A940" s="5" t="n"/>
      <c r="B940" s="6" t="n"/>
      <c r="C940" s="5" t="n"/>
    </row>
    <row r="941">
      <c r="A941" s="3" t="n"/>
      <c r="B941" s="4" t="n"/>
      <c r="C941" s="3" t="n"/>
    </row>
    <row r="942">
      <c r="A942" s="5" t="n"/>
      <c r="B942" s="6" t="n"/>
      <c r="C942" s="5" t="n"/>
    </row>
    <row r="943">
      <c r="A943" s="3" t="n"/>
      <c r="B943" s="4" t="n"/>
      <c r="C943" s="3" t="n"/>
    </row>
    <row r="944">
      <c r="A944" s="5" t="n"/>
      <c r="B944" s="6" t="n"/>
      <c r="C944" s="5" t="n"/>
    </row>
    <row r="945">
      <c r="A945" s="3" t="n"/>
      <c r="B945" s="4" t="n"/>
      <c r="C945" s="3" t="n"/>
    </row>
    <row r="946">
      <c r="A946" s="5" t="n"/>
      <c r="B946" s="6" t="n"/>
      <c r="C946" s="5" t="n"/>
    </row>
    <row r="947">
      <c r="A947" s="3" t="n"/>
      <c r="B947" s="4" t="n"/>
      <c r="C947" s="3" t="n"/>
    </row>
    <row r="948">
      <c r="A948" s="5" t="n"/>
      <c r="B948" s="6" t="n"/>
      <c r="C948" s="5" t="n"/>
    </row>
    <row r="949">
      <c r="A949" s="3" t="n"/>
      <c r="B949" s="4" t="n"/>
      <c r="C949" s="3" t="n"/>
    </row>
    <row r="950">
      <c r="A950" s="5" t="n"/>
      <c r="B950" s="6" t="n"/>
      <c r="C950" s="5" t="n"/>
    </row>
    <row r="951">
      <c r="A951" s="3" t="n"/>
      <c r="B951" s="4" t="n"/>
      <c r="C951" s="3" t="n"/>
    </row>
    <row r="952">
      <c r="A952" s="5" t="n"/>
      <c r="B952" s="6" t="n"/>
      <c r="C952" s="5" t="n"/>
    </row>
    <row r="953">
      <c r="A953" s="3" t="n"/>
      <c r="B953" s="4" t="n"/>
      <c r="C953" s="3" t="n"/>
    </row>
    <row r="954">
      <c r="A954" s="5" t="n"/>
      <c r="B954" s="6" t="n"/>
      <c r="C954" s="5" t="n"/>
    </row>
    <row r="955">
      <c r="A955" s="3" t="n"/>
      <c r="B955" s="4" t="n"/>
      <c r="C955" s="3" t="n"/>
    </row>
    <row r="956">
      <c r="A956" s="5" t="n"/>
      <c r="B956" s="6" t="n"/>
      <c r="C956" s="5" t="n"/>
    </row>
    <row r="957">
      <c r="A957" s="3" t="n"/>
      <c r="B957" s="4" t="n"/>
      <c r="C957" s="3" t="n"/>
    </row>
    <row r="958">
      <c r="A958" s="5" t="n"/>
      <c r="B958" s="6" t="n"/>
      <c r="C958" s="5" t="n"/>
    </row>
    <row r="959">
      <c r="A959" s="3" t="n"/>
      <c r="B959" s="4" t="n"/>
      <c r="C959" s="3" t="n"/>
    </row>
    <row r="960">
      <c r="A960" s="5" t="n"/>
      <c r="B960" s="6" t="n"/>
      <c r="C960" s="5" t="n"/>
    </row>
    <row r="961">
      <c r="A961" s="3" t="n"/>
      <c r="B961" s="4" t="n"/>
      <c r="C961" s="3" t="n"/>
    </row>
    <row r="962">
      <c r="A962" s="5" t="n"/>
      <c r="B962" s="6" t="n"/>
      <c r="C962" s="5" t="n"/>
    </row>
    <row r="963">
      <c r="A963" s="3" t="n"/>
      <c r="B963" s="4" t="n"/>
      <c r="C963" s="3" t="n"/>
    </row>
    <row r="964">
      <c r="A964" s="5" t="n"/>
      <c r="B964" s="6" t="n"/>
      <c r="C964" s="5" t="n"/>
    </row>
    <row r="965">
      <c r="A965" s="3" t="n"/>
      <c r="B965" s="4" t="n"/>
      <c r="C965" s="3" t="n"/>
    </row>
    <row r="966">
      <c r="A966" s="5" t="n"/>
      <c r="B966" s="6" t="n"/>
      <c r="C966" s="5" t="n"/>
    </row>
    <row r="967">
      <c r="A967" s="3" t="n"/>
      <c r="B967" s="4" t="n"/>
      <c r="C967" s="3" t="n"/>
    </row>
    <row r="968">
      <c r="A968" s="5" t="n"/>
      <c r="B968" s="6" t="n"/>
      <c r="C968" s="5" t="n"/>
    </row>
    <row r="969">
      <c r="A969" s="3" t="n"/>
      <c r="B969" s="4" t="n"/>
      <c r="C969" s="3" t="n"/>
    </row>
    <row r="970">
      <c r="A970" s="5" t="n"/>
      <c r="B970" s="6" t="n"/>
      <c r="C970" s="5" t="n"/>
    </row>
    <row r="971">
      <c r="A971" s="3" t="n"/>
      <c r="B971" s="4" t="n"/>
      <c r="C971" s="3" t="n"/>
    </row>
    <row r="972">
      <c r="A972" s="5" t="n"/>
      <c r="B972" s="6" t="n"/>
      <c r="C972" s="5" t="n"/>
    </row>
    <row r="973">
      <c r="A973" s="3" t="n"/>
      <c r="B973" s="4" t="n"/>
      <c r="C973" s="3" t="n"/>
    </row>
    <row r="974">
      <c r="A974" s="5" t="n"/>
      <c r="B974" s="6" t="n"/>
      <c r="C974" s="5" t="n"/>
    </row>
    <row r="975">
      <c r="A975" s="3" t="n"/>
      <c r="B975" s="4" t="n"/>
      <c r="C975" s="3" t="n"/>
    </row>
    <row r="976">
      <c r="A976" s="5" t="n"/>
      <c r="B976" s="6" t="n"/>
      <c r="C976" s="5" t="n"/>
    </row>
    <row r="977">
      <c r="A977" s="3" t="n"/>
      <c r="B977" s="4" t="n"/>
      <c r="C977" s="3" t="n"/>
    </row>
    <row r="978">
      <c r="A978" s="5" t="n"/>
      <c r="B978" s="6" t="n"/>
      <c r="C978" s="5" t="n"/>
    </row>
    <row r="979">
      <c r="A979" s="3" t="n"/>
      <c r="B979" s="4" t="n"/>
      <c r="C979" s="3" t="n"/>
    </row>
    <row r="980">
      <c r="A980" s="5" t="n"/>
      <c r="B980" s="6" t="n"/>
      <c r="C980" s="5" t="n"/>
    </row>
    <row r="981">
      <c r="A981" s="3" t="n"/>
      <c r="B981" s="4" t="n"/>
      <c r="C981" s="3" t="n"/>
    </row>
    <row r="982">
      <c r="A982" s="5" t="n"/>
      <c r="B982" s="6" t="n"/>
      <c r="C982" s="5" t="n"/>
    </row>
    <row r="983">
      <c r="A983" s="3" t="n"/>
      <c r="B983" s="4" t="n"/>
      <c r="C983" s="3" t="n"/>
    </row>
    <row r="984">
      <c r="A984" s="5" t="n"/>
      <c r="B984" s="6" t="n"/>
      <c r="C984" s="5" t="n"/>
    </row>
    <row r="985">
      <c r="A985" s="3" t="n"/>
      <c r="B985" s="4" t="n"/>
      <c r="C985" s="3" t="n"/>
    </row>
    <row r="986">
      <c r="A986" s="5" t="n"/>
      <c r="B986" s="6" t="n"/>
      <c r="C986" s="5" t="n"/>
    </row>
    <row r="987">
      <c r="A987" s="3" t="n"/>
      <c r="B987" s="4" t="n"/>
      <c r="C987" s="3" t="n"/>
    </row>
    <row r="988">
      <c r="A988" s="5" t="n"/>
      <c r="B988" s="6" t="n"/>
      <c r="C988" s="5" t="n"/>
    </row>
    <row r="989">
      <c r="A989" s="3" t="n"/>
      <c r="B989" s="4" t="n"/>
      <c r="C989" s="3" t="n"/>
    </row>
    <row r="990">
      <c r="A990" s="5" t="n"/>
      <c r="B990" s="6" t="n"/>
      <c r="C990" s="5" t="n"/>
    </row>
    <row r="991">
      <c r="A991" s="3" t="n"/>
      <c r="B991" s="4" t="n"/>
      <c r="C991" s="3" t="n"/>
    </row>
    <row r="992">
      <c r="A992" s="5" t="n"/>
      <c r="B992" s="6" t="n"/>
      <c r="C992" s="5" t="n"/>
    </row>
    <row r="993">
      <c r="A993" s="3" t="n"/>
      <c r="B993" s="4" t="n"/>
      <c r="C993" s="3" t="n"/>
    </row>
    <row r="994">
      <c r="A994" s="5" t="n"/>
      <c r="B994" s="6" t="n"/>
      <c r="C994" s="5" t="n"/>
    </row>
    <row r="995">
      <c r="A995" s="3" t="n"/>
      <c r="B995" s="4" t="n"/>
      <c r="C995" s="3" t="n"/>
    </row>
    <row r="996">
      <c r="A996" s="5" t="n"/>
      <c r="B996" s="6" t="n"/>
      <c r="C996" s="5" t="n"/>
    </row>
    <row r="997">
      <c r="A997" s="3" t="n"/>
      <c r="B997" s="4" t="n"/>
      <c r="C997" s="3" t="n"/>
    </row>
    <row r="998">
      <c r="A998" s="5" t="n"/>
      <c r="B998" s="6" t="n"/>
      <c r="C998" s="5" t="n"/>
    </row>
    <row r="999">
      <c r="A999" s="3" t="n"/>
      <c r="B999" s="4" t="n"/>
      <c r="C999" s="3" t="n"/>
    </row>
    <row r="1000">
      <c r="A1000" s="5" t="n"/>
      <c r="B1000" s="6" t="n"/>
      <c r="C1000" s="5" t="n"/>
    </row>
    <row r="1001">
      <c r="A1001" s="3" t="n"/>
      <c r="B1001" s="4" t="n"/>
      <c r="C1001" s="3" t="n"/>
    </row>
    <row r="1002">
      <c r="A1002" s="5" t="n"/>
      <c r="B1002" s="6" t="n"/>
      <c r="C1002" s="5" t="n"/>
    </row>
  </sheetData>
  <mergeCells count="1">
    <mergeCell ref="A1:C1"/>
  </mergeCells>
  <conditionalFormatting sqref="A3:A1002">
    <cfRule type="expression" priority="1" dxfId="0">
      <formula>AND(A3&lt;&gt;"",COUNTIF($A$3:$A$1002,A3)&gt;1)</formula>
    </cfRule>
  </conditionalFormatting>
  <conditionalFormatting sqref="C3:C1002">
    <cfRule type="expression" priority="2" dxfId="0">
      <formula>AND(C3&lt;&gt;"",COUNTIF($C$3:$C$1002,C3)&gt;1)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34" customWidth="1" min="4" max="4"/>
    <col width="13" customWidth="1" min="5" max="5"/>
    <col width="15" customWidth="1" min="6" max="6"/>
    <col width="9" customWidth="1" min="7" max="7"/>
    <col width="34" customWidth="1" min="8" max="8"/>
    <col width="18" customWidth="1" min="9" max="9"/>
    <col hidden="1" width="6" customWidth="1" min="10" max="10"/>
  </cols>
  <sheetData>
    <row r="1" ht="30" customHeight="1">
      <c r="A1" s="1" t="inlineStr">
        <is>
          <t>BASE DE APLICAÇÕES — POSIÇÃO ATUAL</t>
        </is>
      </c>
    </row>
    <row r="2" ht="30" customHeight="1">
      <c r="A2" s="2" t="inlineStr">
        <is>
          <t>Penumper</t>
        </is>
      </c>
      <c r="B2" s="2" t="inlineStr">
        <is>
          <t>Mês
(AAAAMM)</t>
        </is>
      </c>
      <c r="C2" s="2" t="inlineStr">
        <is>
          <t>Produto</t>
        </is>
      </c>
      <c r="D2" s="2" t="inlineStr">
        <is>
          <t>Subproduto</t>
        </is>
      </c>
      <c r="E2" s="2" t="inlineStr">
        <is>
          <t>Vencimento</t>
        </is>
      </c>
      <c r="F2" s="2" t="inlineStr">
        <is>
          <t>Saldo Ponta</t>
        </is>
      </c>
      <c r="G2" s="2" t="inlineStr">
        <is>
          <t>Idade</t>
        </is>
      </c>
      <c r="H2" s="2" t="inlineStr">
        <is>
          <t>Nome
(automático)</t>
        </is>
      </c>
      <c r="I2" s="2" t="inlineStr">
        <is>
          <t>CPF
(automático)</t>
        </is>
      </c>
      <c r="J2" s="2" t="inlineStr">
        <is>
          <t>rk</t>
        </is>
      </c>
    </row>
    <row r="3">
      <c r="A3" s="3" t="n"/>
      <c r="B3" s="7" t="n"/>
      <c r="C3" s="4" t="n"/>
      <c r="D3" s="4" t="n"/>
      <c r="E3" s="8" t="n"/>
      <c r="F3" s="9" t="n"/>
      <c r="G3" s="7" t="n"/>
      <c r="H3" s="10">
        <f>IF($A3="","",IFERROR(VLOOKUP($A3,Clientes!$A$3:$C$1002,2,0),"NÃO CADASTRADO"))</f>
        <v/>
      </c>
      <c r="I3" s="11">
        <f>IF($A3="","",IFERROR(VLOOKUP($A3,Clientes!$A$3:$C$1002,3,0),"NÃO CADASTRADO"))</f>
        <v/>
      </c>
      <c r="J3" s="7">
        <f>IF($A3="","",IF($A3='Carteira do Cliente'!$B$4,COUNTIF($A$3:$A3,'Carteira do Cliente'!$B$4),""))</f>
        <v/>
      </c>
    </row>
    <row r="4">
      <c r="A4" s="5" t="n"/>
      <c r="B4" s="12" t="n"/>
      <c r="C4" s="6" t="n"/>
      <c r="D4" s="6" t="n"/>
      <c r="E4" s="13" t="n"/>
      <c r="F4" s="14" t="n"/>
      <c r="G4" s="12" t="n"/>
      <c r="H4" s="15">
        <f>IF($A4="","",IFERROR(VLOOKUP($A4,Clientes!$A$3:$C$1002,2,0),"NÃO CADASTRADO"))</f>
        <v/>
      </c>
      <c r="I4" s="16">
        <f>IF($A4="","",IFERROR(VLOOKUP($A4,Clientes!$A$3:$C$1002,3,0),"NÃO CADASTRADO"))</f>
        <v/>
      </c>
      <c r="J4" s="12">
        <f>IF($A4="","",IF($A4='Carteira do Cliente'!$B$4,COUNTIF($A$3:$A4,'Carteira do Cliente'!$B$4),""))</f>
        <v/>
      </c>
    </row>
    <row r="5">
      <c r="A5" s="3" t="n"/>
      <c r="B5" s="7" t="n"/>
      <c r="C5" s="4" t="n"/>
      <c r="D5" s="4" t="n"/>
      <c r="E5" s="8" t="n"/>
      <c r="F5" s="9" t="n"/>
      <c r="G5" s="7" t="n"/>
      <c r="H5" s="10">
        <f>IF($A5="","",IFERROR(VLOOKUP($A5,Clientes!$A$3:$C$1002,2,0),"NÃO CADASTRADO"))</f>
        <v/>
      </c>
      <c r="I5" s="11">
        <f>IF($A5="","",IFERROR(VLOOKUP($A5,Clientes!$A$3:$C$1002,3,0),"NÃO CADASTRADO"))</f>
        <v/>
      </c>
      <c r="J5" s="7">
        <f>IF($A5="","",IF($A5='Carteira do Cliente'!$B$4,COUNTIF($A$3:$A5,'Carteira do Cliente'!$B$4),""))</f>
        <v/>
      </c>
    </row>
    <row r="6">
      <c r="A6" s="5" t="n"/>
      <c r="B6" s="12" t="n"/>
      <c r="C6" s="6" t="n"/>
      <c r="D6" s="6" t="n"/>
      <c r="E6" s="13" t="n"/>
      <c r="F6" s="14" t="n"/>
      <c r="G6" s="12" t="n"/>
      <c r="H6" s="15">
        <f>IF($A6="","",IFERROR(VLOOKUP($A6,Clientes!$A$3:$C$1002,2,0),"NÃO CADASTRADO"))</f>
        <v/>
      </c>
      <c r="I6" s="16">
        <f>IF($A6="","",IFERROR(VLOOKUP($A6,Clientes!$A$3:$C$1002,3,0),"NÃO CADASTRADO"))</f>
        <v/>
      </c>
      <c r="J6" s="12">
        <f>IF($A6="","",IF($A6='Carteira do Cliente'!$B$4,COUNTIF($A$3:$A6,'Carteira do Cliente'!$B$4),""))</f>
        <v/>
      </c>
    </row>
    <row r="7">
      <c r="A7" s="3" t="n"/>
      <c r="B7" s="7" t="n"/>
      <c r="C7" s="4" t="n"/>
      <c r="D7" s="4" t="n"/>
      <c r="E7" s="8" t="n"/>
      <c r="F7" s="9" t="n"/>
      <c r="G7" s="7" t="n"/>
      <c r="H7" s="10">
        <f>IF($A7="","",IFERROR(VLOOKUP($A7,Clientes!$A$3:$C$1002,2,0),"NÃO CADASTRADO"))</f>
        <v/>
      </c>
      <c r="I7" s="11">
        <f>IF($A7="","",IFERROR(VLOOKUP($A7,Clientes!$A$3:$C$1002,3,0),"NÃO CADASTRADO"))</f>
        <v/>
      </c>
      <c r="J7" s="7">
        <f>IF($A7="","",IF($A7='Carteira do Cliente'!$B$4,COUNTIF($A$3:$A7,'Carteira do Cliente'!$B$4),""))</f>
        <v/>
      </c>
    </row>
    <row r="8">
      <c r="A8" s="5" t="n"/>
      <c r="B8" s="12" t="n"/>
      <c r="C8" s="6" t="n"/>
      <c r="D8" s="6" t="n"/>
      <c r="E8" s="13" t="n"/>
      <c r="F8" s="14" t="n"/>
      <c r="G8" s="12" t="n"/>
      <c r="H8" s="15">
        <f>IF($A8="","",IFERROR(VLOOKUP($A8,Clientes!$A$3:$C$1002,2,0),"NÃO CADASTRADO"))</f>
        <v/>
      </c>
      <c r="I8" s="16">
        <f>IF($A8="","",IFERROR(VLOOKUP($A8,Clientes!$A$3:$C$1002,3,0),"NÃO CADASTRADO"))</f>
        <v/>
      </c>
      <c r="J8" s="12">
        <f>IF($A8="","",IF($A8='Carteira do Cliente'!$B$4,COUNTIF($A$3:$A8,'Carteira do Cliente'!$B$4),""))</f>
        <v/>
      </c>
    </row>
    <row r="9">
      <c r="A9" s="3" t="n"/>
      <c r="B9" s="7" t="n"/>
      <c r="C9" s="4" t="n"/>
      <c r="D9" s="4" t="n"/>
      <c r="E9" s="8" t="n"/>
      <c r="F9" s="9" t="n"/>
      <c r="G9" s="7" t="n"/>
      <c r="H9" s="10">
        <f>IF($A9="","",IFERROR(VLOOKUP($A9,Clientes!$A$3:$C$1002,2,0),"NÃO CADASTRADO"))</f>
        <v/>
      </c>
      <c r="I9" s="11">
        <f>IF($A9="","",IFERROR(VLOOKUP($A9,Clientes!$A$3:$C$1002,3,0),"NÃO CADASTRADO"))</f>
        <v/>
      </c>
      <c r="J9" s="7">
        <f>IF($A9="","",IF($A9='Carteira do Cliente'!$B$4,COUNTIF($A$3:$A9,'Carteira do Cliente'!$B$4),""))</f>
        <v/>
      </c>
    </row>
    <row r="10">
      <c r="A10" s="5" t="n"/>
      <c r="B10" s="12" t="n"/>
      <c r="C10" s="6" t="n"/>
      <c r="D10" s="6" t="n"/>
      <c r="E10" s="13" t="n"/>
      <c r="F10" s="14" t="n"/>
      <c r="G10" s="12" t="n"/>
      <c r="H10" s="15">
        <f>IF($A10="","",IFERROR(VLOOKUP($A10,Clientes!$A$3:$C$1002,2,0),"NÃO CADASTRADO"))</f>
        <v/>
      </c>
      <c r="I10" s="16">
        <f>IF($A10="","",IFERROR(VLOOKUP($A10,Clientes!$A$3:$C$1002,3,0),"NÃO CADASTRADO"))</f>
        <v/>
      </c>
      <c r="J10" s="12">
        <f>IF($A10="","",IF($A10='Carteira do Cliente'!$B$4,COUNTIF($A$3:$A10,'Carteira do Cliente'!$B$4),""))</f>
        <v/>
      </c>
    </row>
    <row r="11">
      <c r="A11" s="3" t="n"/>
      <c r="B11" s="7" t="n"/>
      <c r="C11" s="4" t="n"/>
      <c r="D11" s="4" t="n"/>
      <c r="E11" s="8" t="n"/>
      <c r="F11" s="9" t="n"/>
      <c r="G11" s="7" t="n"/>
      <c r="H11" s="10">
        <f>IF($A11="","",IFERROR(VLOOKUP($A11,Clientes!$A$3:$C$1002,2,0),"NÃO CADASTRADO"))</f>
        <v/>
      </c>
      <c r="I11" s="11">
        <f>IF($A11="","",IFERROR(VLOOKUP($A11,Clientes!$A$3:$C$1002,3,0),"NÃO CADASTRADO"))</f>
        <v/>
      </c>
      <c r="J11" s="7">
        <f>IF($A11="","",IF($A11='Carteira do Cliente'!$B$4,COUNTIF($A$3:$A11,'Carteira do Cliente'!$B$4),""))</f>
        <v/>
      </c>
    </row>
    <row r="12">
      <c r="A12" s="5" t="n"/>
      <c r="B12" s="12" t="n"/>
      <c r="C12" s="6" t="n"/>
      <c r="D12" s="6" t="n"/>
      <c r="E12" s="13" t="n"/>
      <c r="F12" s="14" t="n"/>
      <c r="G12" s="12" t="n"/>
      <c r="H12" s="15">
        <f>IF($A12="","",IFERROR(VLOOKUP($A12,Clientes!$A$3:$C$1002,2,0),"NÃO CADASTRADO"))</f>
        <v/>
      </c>
      <c r="I12" s="16">
        <f>IF($A12="","",IFERROR(VLOOKUP($A12,Clientes!$A$3:$C$1002,3,0),"NÃO CADASTRADO"))</f>
        <v/>
      </c>
      <c r="J12" s="12">
        <f>IF($A12="","",IF($A12='Carteira do Cliente'!$B$4,COUNTIF($A$3:$A12,'Carteira do Cliente'!$B$4),""))</f>
        <v/>
      </c>
    </row>
    <row r="13">
      <c r="A13" s="3" t="n"/>
      <c r="B13" s="7" t="n"/>
      <c r="C13" s="4" t="n"/>
      <c r="D13" s="4" t="n"/>
      <c r="E13" s="8" t="n"/>
      <c r="F13" s="9" t="n"/>
      <c r="G13" s="7" t="n"/>
      <c r="H13" s="10">
        <f>IF($A13="","",IFERROR(VLOOKUP($A13,Clientes!$A$3:$C$1002,2,0),"NÃO CADASTRADO"))</f>
        <v/>
      </c>
      <c r="I13" s="11">
        <f>IF($A13="","",IFERROR(VLOOKUP($A13,Clientes!$A$3:$C$1002,3,0),"NÃO CADASTRADO"))</f>
        <v/>
      </c>
      <c r="J13" s="7">
        <f>IF($A13="","",IF($A13='Carteira do Cliente'!$B$4,COUNTIF($A$3:$A13,'Carteira do Cliente'!$B$4),""))</f>
        <v/>
      </c>
    </row>
    <row r="14">
      <c r="A14" s="5" t="n"/>
      <c r="B14" s="12" t="n"/>
      <c r="C14" s="6" t="n"/>
      <c r="D14" s="6" t="n"/>
      <c r="E14" s="13" t="n"/>
      <c r="F14" s="14" t="n"/>
      <c r="G14" s="12" t="n"/>
      <c r="H14" s="15">
        <f>IF($A14="","",IFERROR(VLOOKUP($A14,Clientes!$A$3:$C$1002,2,0),"NÃO CADASTRADO"))</f>
        <v/>
      </c>
      <c r="I14" s="16">
        <f>IF($A14="","",IFERROR(VLOOKUP($A14,Clientes!$A$3:$C$1002,3,0),"NÃO CADASTRADO"))</f>
        <v/>
      </c>
      <c r="J14" s="12">
        <f>IF($A14="","",IF($A14='Carteira do Cliente'!$B$4,COUNTIF($A$3:$A14,'Carteira do Cliente'!$B$4),""))</f>
        <v/>
      </c>
    </row>
    <row r="15">
      <c r="A15" s="3" t="n"/>
      <c r="B15" s="7" t="n"/>
      <c r="C15" s="4" t="n"/>
      <c r="D15" s="4" t="n"/>
      <c r="E15" s="8" t="n"/>
      <c r="F15" s="9" t="n"/>
      <c r="G15" s="7" t="n"/>
      <c r="H15" s="10">
        <f>IF($A15="","",IFERROR(VLOOKUP($A15,Clientes!$A$3:$C$1002,2,0),"NÃO CADASTRADO"))</f>
        <v/>
      </c>
      <c r="I15" s="11">
        <f>IF($A15="","",IFERROR(VLOOKUP($A15,Clientes!$A$3:$C$1002,3,0),"NÃO CADASTRADO"))</f>
        <v/>
      </c>
      <c r="J15" s="7">
        <f>IF($A15="","",IF($A15='Carteira do Cliente'!$B$4,COUNTIF($A$3:$A15,'Carteira do Cliente'!$B$4),""))</f>
        <v/>
      </c>
    </row>
    <row r="16">
      <c r="A16" s="5" t="n"/>
      <c r="B16" s="12" t="n"/>
      <c r="C16" s="6" t="n"/>
      <c r="D16" s="6" t="n"/>
      <c r="E16" s="13" t="n"/>
      <c r="F16" s="14" t="n"/>
      <c r="G16" s="12" t="n"/>
      <c r="H16" s="15">
        <f>IF($A16="","",IFERROR(VLOOKUP($A16,Clientes!$A$3:$C$1002,2,0),"NÃO CADASTRADO"))</f>
        <v/>
      </c>
      <c r="I16" s="16">
        <f>IF($A16="","",IFERROR(VLOOKUP($A16,Clientes!$A$3:$C$1002,3,0),"NÃO CADASTRADO"))</f>
        <v/>
      </c>
      <c r="J16" s="12">
        <f>IF($A16="","",IF($A16='Carteira do Cliente'!$B$4,COUNTIF($A$3:$A16,'Carteira do Cliente'!$B$4),""))</f>
        <v/>
      </c>
    </row>
    <row r="17">
      <c r="A17" s="3" t="n"/>
      <c r="B17" s="7" t="n"/>
      <c r="C17" s="4" t="n"/>
      <c r="D17" s="4" t="n"/>
      <c r="E17" s="8" t="n"/>
      <c r="F17" s="9" t="n"/>
      <c r="G17" s="7" t="n"/>
      <c r="H17" s="10">
        <f>IF($A17="","",IFERROR(VLOOKUP($A17,Clientes!$A$3:$C$1002,2,0),"NÃO CADASTRADO"))</f>
        <v/>
      </c>
      <c r="I17" s="11">
        <f>IF($A17="","",IFERROR(VLOOKUP($A17,Clientes!$A$3:$C$1002,3,0),"NÃO CADASTRADO"))</f>
        <v/>
      </c>
      <c r="J17" s="7">
        <f>IF($A17="","",IF($A17='Carteira do Cliente'!$B$4,COUNTIF($A$3:$A17,'Carteira do Cliente'!$B$4),""))</f>
        <v/>
      </c>
    </row>
    <row r="18">
      <c r="A18" s="5" t="n"/>
      <c r="B18" s="12" t="n"/>
      <c r="C18" s="6" t="n"/>
      <c r="D18" s="6" t="n"/>
      <c r="E18" s="13" t="n"/>
      <c r="F18" s="14" t="n"/>
      <c r="G18" s="12" t="n"/>
      <c r="H18" s="15">
        <f>IF($A18="","",IFERROR(VLOOKUP($A18,Clientes!$A$3:$C$1002,2,0),"NÃO CADASTRADO"))</f>
        <v/>
      </c>
      <c r="I18" s="16">
        <f>IF($A18="","",IFERROR(VLOOKUP($A18,Clientes!$A$3:$C$1002,3,0),"NÃO CADASTRADO"))</f>
        <v/>
      </c>
      <c r="J18" s="12">
        <f>IF($A18="","",IF($A18='Carteira do Cliente'!$B$4,COUNTIF($A$3:$A18,'Carteira do Cliente'!$B$4),""))</f>
        <v/>
      </c>
    </row>
    <row r="19">
      <c r="A19" s="3" t="n"/>
      <c r="B19" s="7" t="n"/>
      <c r="C19" s="4" t="n"/>
      <c r="D19" s="4" t="n"/>
      <c r="E19" s="8" t="n"/>
      <c r="F19" s="9" t="n"/>
      <c r="G19" s="7" t="n"/>
      <c r="H19" s="10">
        <f>IF($A19="","",IFERROR(VLOOKUP($A19,Clientes!$A$3:$C$1002,2,0),"NÃO CADASTRADO"))</f>
        <v/>
      </c>
      <c r="I19" s="11">
        <f>IF($A19="","",IFERROR(VLOOKUP($A19,Clientes!$A$3:$C$1002,3,0),"NÃO CADASTRADO"))</f>
        <v/>
      </c>
      <c r="J19" s="7">
        <f>IF($A19="","",IF($A19='Carteira do Cliente'!$B$4,COUNTIF($A$3:$A19,'Carteira do Cliente'!$B$4),""))</f>
        <v/>
      </c>
    </row>
    <row r="20">
      <c r="A20" s="5" t="n"/>
      <c r="B20" s="12" t="n"/>
      <c r="C20" s="6" t="n"/>
      <c r="D20" s="6" t="n"/>
      <c r="E20" s="13" t="n"/>
      <c r="F20" s="14" t="n"/>
      <c r="G20" s="12" t="n"/>
      <c r="H20" s="15">
        <f>IF($A20="","",IFERROR(VLOOKUP($A20,Clientes!$A$3:$C$1002,2,0),"NÃO CADASTRADO"))</f>
        <v/>
      </c>
      <c r="I20" s="16">
        <f>IF($A20="","",IFERROR(VLOOKUP($A20,Clientes!$A$3:$C$1002,3,0),"NÃO CADASTRADO"))</f>
        <v/>
      </c>
      <c r="J20" s="12">
        <f>IF($A20="","",IF($A20='Carteira do Cliente'!$B$4,COUNTIF($A$3:$A20,'Carteira do Cliente'!$B$4),""))</f>
        <v/>
      </c>
    </row>
    <row r="21">
      <c r="A21" s="3" t="n"/>
      <c r="B21" s="7" t="n"/>
      <c r="C21" s="4" t="n"/>
      <c r="D21" s="4" t="n"/>
      <c r="E21" s="8" t="n"/>
      <c r="F21" s="9" t="n"/>
      <c r="G21" s="7" t="n"/>
      <c r="H21" s="10">
        <f>IF($A21="","",IFERROR(VLOOKUP($A21,Clientes!$A$3:$C$1002,2,0),"NÃO CADASTRADO"))</f>
        <v/>
      </c>
      <c r="I21" s="11">
        <f>IF($A21="","",IFERROR(VLOOKUP($A21,Clientes!$A$3:$C$1002,3,0),"NÃO CADASTRADO"))</f>
        <v/>
      </c>
      <c r="J21" s="7">
        <f>IF($A21="","",IF($A21='Carteira do Cliente'!$B$4,COUNTIF($A$3:$A21,'Carteira do Cliente'!$B$4),""))</f>
        <v/>
      </c>
    </row>
    <row r="22">
      <c r="A22" s="5" t="n"/>
      <c r="B22" s="12" t="n"/>
      <c r="C22" s="6" t="n"/>
      <c r="D22" s="6" t="n"/>
      <c r="E22" s="13" t="n"/>
      <c r="F22" s="14" t="n"/>
      <c r="G22" s="12" t="n"/>
      <c r="H22" s="15">
        <f>IF($A22="","",IFERROR(VLOOKUP($A22,Clientes!$A$3:$C$1002,2,0),"NÃO CADASTRADO"))</f>
        <v/>
      </c>
      <c r="I22" s="16">
        <f>IF($A22="","",IFERROR(VLOOKUP($A22,Clientes!$A$3:$C$1002,3,0),"NÃO CADASTRADO"))</f>
        <v/>
      </c>
      <c r="J22" s="12">
        <f>IF($A22="","",IF($A22='Carteira do Cliente'!$B$4,COUNTIF($A$3:$A22,'Carteira do Cliente'!$B$4),""))</f>
        <v/>
      </c>
    </row>
    <row r="23">
      <c r="A23" s="3" t="n"/>
      <c r="B23" s="7" t="n"/>
      <c r="C23" s="4" t="n"/>
      <c r="D23" s="4" t="n"/>
      <c r="E23" s="8" t="n"/>
      <c r="F23" s="9" t="n"/>
      <c r="G23" s="7" t="n"/>
      <c r="H23" s="10">
        <f>IF($A23="","",IFERROR(VLOOKUP($A23,Clientes!$A$3:$C$1002,2,0),"NÃO CADASTRADO"))</f>
        <v/>
      </c>
      <c r="I23" s="11">
        <f>IF($A23="","",IFERROR(VLOOKUP($A23,Clientes!$A$3:$C$1002,3,0),"NÃO CADASTRADO"))</f>
        <v/>
      </c>
      <c r="J23" s="7">
        <f>IF($A23="","",IF($A23='Carteira do Cliente'!$B$4,COUNTIF($A$3:$A23,'Carteira do Cliente'!$B$4),""))</f>
        <v/>
      </c>
    </row>
    <row r="24">
      <c r="A24" s="5" t="n"/>
      <c r="B24" s="12" t="n"/>
      <c r="C24" s="6" t="n"/>
      <c r="D24" s="6" t="n"/>
      <c r="E24" s="13" t="n"/>
      <c r="F24" s="14" t="n"/>
      <c r="G24" s="12" t="n"/>
      <c r="H24" s="15">
        <f>IF($A24="","",IFERROR(VLOOKUP($A24,Clientes!$A$3:$C$1002,2,0),"NÃO CADASTRADO"))</f>
        <v/>
      </c>
      <c r="I24" s="16">
        <f>IF($A24="","",IFERROR(VLOOKUP($A24,Clientes!$A$3:$C$1002,3,0),"NÃO CADASTRADO"))</f>
        <v/>
      </c>
      <c r="J24" s="12">
        <f>IF($A24="","",IF($A24='Carteira do Cliente'!$B$4,COUNTIF($A$3:$A24,'Carteira do Cliente'!$B$4),""))</f>
        <v/>
      </c>
    </row>
    <row r="25">
      <c r="A25" s="3" t="n"/>
      <c r="B25" s="7" t="n"/>
      <c r="C25" s="4" t="n"/>
      <c r="D25" s="4" t="n"/>
      <c r="E25" s="8" t="n"/>
      <c r="F25" s="9" t="n"/>
      <c r="G25" s="7" t="n"/>
      <c r="H25" s="10">
        <f>IF($A25="","",IFERROR(VLOOKUP($A25,Clientes!$A$3:$C$1002,2,0),"NÃO CADASTRADO"))</f>
        <v/>
      </c>
      <c r="I25" s="11">
        <f>IF($A25="","",IFERROR(VLOOKUP($A25,Clientes!$A$3:$C$1002,3,0),"NÃO CADASTRADO"))</f>
        <v/>
      </c>
      <c r="J25" s="7">
        <f>IF($A25="","",IF($A25='Carteira do Cliente'!$B$4,COUNTIF($A$3:$A25,'Carteira do Cliente'!$B$4),""))</f>
        <v/>
      </c>
    </row>
    <row r="26">
      <c r="A26" s="5" t="n"/>
      <c r="B26" s="12" t="n"/>
      <c r="C26" s="6" t="n"/>
      <c r="D26" s="6" t="n"/>
      <c r="E26" s="13" t="n"/>
      <c r="F26" s="14" t="n"/>
      <c r="G26" s="12" t="n"/>
      <c r="H26" s="15">
        <f>IF($A26="","",IFERROR(VLOOKUP($A26,Clientes!$A$3:$C$1002,2,0),"NÃO CADASTRADO"))</f>
        <v/>
      </c>
      <c r="I26" s="16">
        <f>IF($A26="","",IFERROR(VLOOKUP($A26,Clientes!$A$3:$C$1002,3,0),"NÃO CADASTRADO"))</f>
        <v/>
      </c>
      <c r="J26" s="12">
        <f>IF($A26="","",IF($A26='Carteira do Cliente'!$B$4,COUNTIF($A$3:$A26,'Carteira do Cliente'!$B$4),""))</f>
        <v/>
      </c>
    </row>
    <row r="27">
      <c r="A27" s="3" t="n"/>
      <c r="B27" s="7" t="n"/>
      <c r="C27" s="4" t="n"/>
      <c r="D27" s="4" t="n"/>
      <c r="E27" s="8" t="n"/>
      <c r="F27" s="9" t="n"/>
      <c r="G27" s="7" t="n"/>
      <c r="H27" s="10">
        <f>IF($A27="","",IFERROR(VLOOKUP($A27,Clientes!$A$3:$C$1002,2,0),"NÃO CADASTRADO"))</f>
        <v/>
      </c>
      <c r="I27" s="11">
        <f>IF($A27="","",IFERROR(VLOOKUP($A27,Clientes!$A$3:$C$1002,3,0),"NÃO CADASTRADO"))</f>
        <v/>
      </c>
      <c r="J27" s="7">
        <f>IF($A27="","",IF($A27='Carteira do Cliente'!$B$4,COUNTIF($A$3:$A27,'Carteira do Cliente'!$B$4),""))</f>
        <v/>
      </c>
    </row>
    <row r="28">
      <c r="A28" s="5" t="n"/>
      <c r="B28" s="12" t="n"/>
      <c r="C28" s="6" t="n"/>
      <c r="D28" s="6" t="n"/>
      <c r="E28" s="13" t="n"/>
      <c r="F28" s="14" t="n"/>
      <c r="G28" s="12" t="n"/>
      <c r="H28" s="15">
        <f>IF($A28="","",IFERROR(VLOOKUP($A28,Clientes!$A$3:$C$1002,2,0),"NÃO CADASTRADO"))</f>
        <v/>
      </c>
      <c r="I28" s="16">
        <f>IF($A28="","",IFERROR(VLOOKUP($A28,Clientes!$A$3:$C$1002,3,0),"NÃO CADASTRADO"))</f>
        <v/>
      </c>
      <c r="J28" s="12">
        <f>IF($A28="","",IF($A28='Carteira do Cliente'!$B$4,COUNTIF($A$3:$A28,'Carteira do Cliente'!$B$4),""))</f>
        <v/>
      </c>
    </row>
    <row r="29">
      <c r="A29" s="3" t="n"/>
      <c r="B29" s="7" t="n"/>
      <c r="C29" s="4" t="n"/>
      <c r="D29" s="4" t="n"/>
      <c r="E29" s="8" t="n"/>
      <c r="F29" s="9" t="n"/>
      <c r="G29" s="7" t="n"/>
      <c r="H29" s="10">
        <f>IF($A29="","",IFERROR(VLOOKUP($A29,Clientes!$A$3:$C$1002,2,0),"NÃO CADASTRADO"))</f>
        <v/>
      </c>
      <c r="I29" s="11">
        <f>IF($A29="","",IFERROR(VLOOKUP($A29,Clientes!$A$3:$C$1002,3,0),"NÃO CADASTRADO"))</f>
        <v/>
      </c>
      <c r="J29" s="7">
        <f>IF($A29="","",IF($A29='Carteira do Cliente'!$B$4,COUNTIF($A$3:$A29,'Carteira do Cliente'!$B$4),""))</f>
        <v/>
      </c>
    </row>
    <row r="30">
      <c r="A30" s="5" t="n"/>
      <c r="B30" s="12" t="n"/>
      <c r="C30" s="6" t="n"/>
      <c r="D30" s="6" t="n"/>
      <c r="E30" s="13" t="n"/>
      <c r="F30" s="14" t="n"/>
      <c r="G30" s="12" t="n"/>
      <c r="H30" s="15">
        <f>IF($A30="","",IFERROR(VLOOKUP($A30,Clientes!$A$3:$C$1002,2,0),"NÃO CADASTRADO"))</f>
        <v/>
      </c>
      <c r="I30" s="16">
        <f>IF($A30="","",IFERROR(VLOOKUP($A30,Clientes!$A$3:$C$1002,3,0),"NÃO CADASTRADO"))</f>
        <v/>
      </c>
      <c r="J30" s="12">
        <f>IF($A30="","",IF($A30='Carteira do Cliente'!$B$4,COUNTIF($A$3:$A30,'Carteira do Cliente'!$B$4),""))</f>
        <v/>
      </c>
    </row>
    <row r="31">
      <c r="A31" s="3" t="n"/>
      <c r="B31" s="7" t="n"/>
      <c r="C31" s="4" t="n"/>
      <c r="D31" s="4" t="n"/>
      <c r="E31" s="8" t="n"/>
      <c r="F31" s="9" t="n"/>
      <c r="G31" s="7" t="n"/>
      <c r="H31" s="10">
        <f>IF($A31="","",IFERROR(VLOOKUP($A31,Clientes!$A$3:$C$1002,2,0),"NÃO CADASTRADO"))</f>
        <v/>
      </c>
      <c r="I31" s="11">
        <f>IF($A31="","",IFERROR(VLOOKUP($A31,Clientes!$A$3:$C$1002,3,0),"NÃO CADASTRADO"))</f>
        <v/>
      </c>
      <c r="J31" s="7">
        <f>IF($A31="","",IF($A31='Carteira do Cliente'!$B$4,COUNTIF($A$3:$A31,'Carteira do Cliente'!$B$4),""))</f>
        <v/>
      </c>
    </row>
    <row r="32">
      <c r="A32" s="5" t="n"/>
      <c r="B32" s="12" t="n"/>
      <c r="C32" s="6" t="n"/>
      <c r="D32" s="6" t="n"/>
      <c r="E32" s="13" t="n"/>
      <c r="F32" s="14" t="n"/>
      <c r="G32" s="12" t="n"/>
      <c r="H32" s="15">
        <f>IF($A32="","",IFERROR(VLOOKUP($A32,Clientes!$A$3:$C$1002,2,0),"NÃO CADASTRADO"))</f>
        <v/>
      </c>
      <c r="I32" s="16">
        <f>IF($A32="","",IFERROR(VLOOKUP($A32,Clientes!$A$3:$C$1002,3,0),"NÃO CADASTRADO"))</f>
        <v/>
      </c>
      <c r="J32" s="12">
        <f>IF($A32="","",IF($A32='Carteira do Cliente'!$B$4,COUNTIF($A$3:$A32,'Carteira do Cliente'!$B$4),""))</f>
        <v/>
      </c>
    </row>
    <row r="33">
      <c r="A33" s="3" t="n"/>
      <c r="B33" s="7" t="n"/>
      <c r="C33" s="4" t="n"/>
      <c r="D33" s="4" t="n"/>
      <c r="E33" s="8" t="n"/>
      <c r="F33" s="9" t="n"/>
      <c r="G33" s="7" t="n"/>
      <c r="H33" s="10">
        <f>IF($A33="","",IFERROR(VLOOKUP($A33,Clientes!$A$3:$C$1002,2,0),"NÃO CADASTRADO"))</f>
        <v/>
      </c>
      <c r="I33" s="11">
        <f>IF($A33="","",IFERROR(VLOOKUP($A33,Clientes!$A$3:$C$1002,3,0),"NÃO CADASTRADO"))</f>
        <v/>
      </c>
      <c r="J33" s="7">
        <f>IF($A33="","",IF($A33='Carteira do Cliente'!$B$4,COUNTIF($A$3:$A33,'Carteira do Cliente'!$B$4),""))</f>
        <v/>
      </c>
    </row>
    <row r="34">
      <c r="A34" s="5" t="n"/>
      <c r="B34" s="12" t="n"/>
      <c r="C34" s="6" t="n"/>
      <c r="D34" s="6" t="n"/>
      <c r="E34" s="13" t="n"/>
      <c r="F34" s="14" t="n"/>
      <c r="G34" s="12" t="n"/>
      <c r="H34" s="15">
        <f>IF($A34="","",IFERROR(VLOOKUP($A34,Clientes!$A$3:$C$1002,2,0),"NÃO CADASTRADO"))</f>
        <v/>
      </c>
      <c r="I34" s="16">
        <f>IF($A34="","",IFERROR(VLOOKUP($A34,Clientes!$A$3:$C$1002,3,0),"NÃO CADASTRADO"))</f>
        <v/>
      </c>
      <c r="J34" s="12">
        <f>IF($A34="","",IF($A34='Carteira do Cliente'!$B$4,COUNTIF($A$3:$A34,'Carteira do Cliente'!$B$4),""))</f>
        <v/>
      </c>
    </row>
    <row r="35">
      <c r="A35" s="3" t="n"/>
      <c r="B35" s="7" t="n"/>
      <c r="C35" s="4" t="n"/>
      <c r="D35" s="4" t="n"/>
      <c r="E35" s="8" t="n"/>
      <c r="F35" s="9" t="n"/>
      <c r="G35" s="7" t="n"/>
      <c r="H35" s="10">
        <f>IF($A35="","",IFERROR(VLOOKUP($A35,Clientes!$A$3:$C$1002,2,0),"NÃO CADASTRADO"))</f>
        <v/>
      </c>
      <c r="I35" s="11">
        <f>IF($A35="","",IFERROR(VLOOKUP($A35,Clientes!$A$3:$C$1002,3,0),"NÃO CADASTRADO"))</f>
        <v/>
      </c>
      <c r="J35" s="7">
        <f>IF($A35="","",IF($A35='Carteira do Cliente'!$B$4,COUNTIF($A$3:$A35,'Carteira do Cliente'!$B$4),""))</f>
        <v/>
      </c>
    </row>
    <row r="36">
      <c r="A36" s="5" t="n"/>
      <c r="B36" s="12" t="n"/>
      <c r="C36" s="6" t="n"/>
      <c r="D36" s="6" t="n"/>
      <c r="E36" s="13" t="n"/>
      <c r="F36" s="14" t="n"/>
      <c r="G36" s="12" t="n"/>
      <c r="H36" s="15">
        <f>IF($A36="","",IFERROR(VLOOKUP($A36,Clientes!$A$3:$C$1002,2,0),"NÃO CADASTRADO"))</f>
        <v/>
      </c>
      <c r="I36" s="16">
        <f>IF($A36="","",IFERROR(VLOOKUP($A36,Clientes!$A$3:$C$1002,3,0),"NÃO CADASTRADO"))</f>
        <v/>
      </c>
      <c r="J36" s="12">
        <f>IF($A36="","",IF($A36='Carteira do Cliente'!$B$4,COUNTIF($A$3:$A36,'Carteira do Cliente'!$B$4),""))</f>
        <v/>
      </c>
    </row>
    <row r="37">
      <c r="A37" s="3" t="n"/>
      <c r="B37" s="7" t="n"/>
      <c r="C37" s="4" t="n"/>
      <c r="D37" s="4" t="n"/>
      <c r="E37" s="8" t="n"/>
      <c r="F37" s="9" t="n"/>
      <c r="G37" s="7" t="n"/>
      <c r="H37" s="10">
        <f>IF($A37="","",IFERROR(VLOOKUP($A37,Clientes!$A$3:$C$1002,2,0),"NÃO CADASTRADO"))</f>
        <v/>
      </c>
      <c r="I37" s="11">
        <f>IF($A37="","",IFERROR(VLOOKUP($A37,Clientes!$A$3:$C$1002,3,0),"NÃO CADASTRADO"))</f>
        <v/>
      </c>
      <c r="J37" s="7">
        <f>IF($A37="","",IF($A37='Carteira do Cliente'!$B$4,COUNTIF($A$3:$A37,'Carteira do Cliente'!$B$4),""))</f>
        <v/>
      </c>
    </row>
    <row r="38">
      <c r="A38" s="5" t="n"/>
      <c r="B38" s="12" t="n"/>
      <c r="C38" s="6" t="n"/>
      <c r="D38" s="6" t="n"/>
      <c r="E38" s="13" t="n"/>
      <c r="F38" s="14" t="n"/>
      <c r="G38" s="12" t="n"/>
      <c r="H38" s="15">
        <f>IF($A38="","",IFERROR(VLOOKUP($A38,Clientes!$A$3:$C$1002,2,0),"NÃO CADASTRADO"))</f>
        <v/>
      </c>
      <c r="I38" s="16">
        <f>IF($A38="","",IFERROR(VLOOKUP($A38,Clientes!$A$3:$C$1002,3,0),"NÃO CADASTRADO"))</f>
        <v/>
      </c>
      <c r="J38" s="12">
        <f>IF($A38="","",IF($A38='Carteira do Cliente'!$B$4,COUNTIF($A$3:$A38,'Carteira do Cliente'!$B$4),""))</f>
        <v/>
      </c>
    </row>
    <row r="39">
      <c r="A39" s="3" t="n"/>
      <c r="B39" s="7" t="n"/>
      <c r="C39" s="4" t="n"/>
      <c r="D39" s="4" t="n"/>
      <c r="E39" s="8" t="n"/>
      <c r="F39" s="9" t="n"/>
      <c r="G39" s="7" t="n"/>
      <c r="H39" s="10">
        <f>IF($A39="","",IFERROR(VLOOKUP($A39,Clientes!$A$3:$C$1002,2,0),"NÃO CADASTRADO"))</f>
        <v/>
      </c>
      <c r="I39" s="11">
        <f>IF($A39="","",IFERROR(VLOOKUP($A39,Clientes!$A$3:$C$1002,3,0),"NÃO CADASTRADO"))</f>
        <v/>
      </c>
      <c r="J39" s="7">
        <f>IF($A39="","",IF($A39='Carteira do Cliente'!$B$4,COUNTIF($A$3:$A39,'Carteira do Cliente'!$B$4),""))</f>
        <v/>
      </c>
    </row>
    <row r="40">
      <c r="A40" s="5" t="n"/>
      <c r="B40" s="12" t="n"/>
      <c r="C40" s="6" t="n"/>
      <c r="D40" s="6" t="n"/>
      <c r="E40" s="13" t="n"/>
      <c r="F40" s="14" t="n"/>
      <c r="G40" s="12" t="n"/>
      <c r="H40" s="15">
        <f>IF($A40="","",IFERROR(VLOOKUP($A40,Clientes!$A$3:$C$1002,2,0),"NÃO CADASTRADO"))</f>
        <v/>
      </c>
      <c r="I40" s="16">
        <f>IF($A40="","",IFERROR(VLOOKUP($A40,Clientes!$A$3:$C$1002,3,0),"NÃO CADASTRADO"))</f>
        <v/>
      </c>
      <c r="J40" s="12">
        <f>IF($A40="","",IF($A40='Carteira do Cliente'!$B$4,COUNTIF($A$3:$A40,'Carteira do Cliente'!$B$4),""))</f>
        <v/>
      </c>
    </row>
    <row r="41">
      <c r="A41" s="3" t="n"/>
      <c r="B41" s="7" t="n"/>
      <c r="C41" s="4" t="n"/>
      <c r="D41" s="4" t="n"/>
      <c r="E41" s="8" t="n"/>
      <c r="F41" s="9" t="n"/>
      <c r="G41" s="7" t="n"/>
      <c r="H41" s="10">
        <f>IF($A41="","",IFERROR(VLOOKUP($A41,Clientes!$A$3:$C$1002,2,0),"NÃO CADASTRADO"))</f>
        <v/>
      </c>
      <c r="I41" s="11">
        <f>IF($A41="","",IFERROR(VLOOKUP($A41,Clientes!$A$3:$C$1002,3,0),"NÃO CADASTRADO"))</f>
        <v/>
      </c>
      <c r="J41" s="7">
        <f>IF($A41="","",IF($A41='Carteira do Cliente'!$B$4,COUNTIF($A$3:$A41,'Carteira do Cliente'!$B$4),""))</f>
        <v/>
      </c>
    </row>
    <row r="42">
      <c r="A42" s="5" t="n"/>
      <c r="B42" s="12" t="n"/>
      <c r="C42" s="6" t="n"/>
      <c r="D42" s="6" t="n"/>
      <c r="E42" s="13" t="n"/>
      <c r="F42" s="14" t="n"/>
      <c r="G42" s="12" t="n"/>
      <c r="H42" s="15">
        <f>IF($A42="","",IFERROR(VLOOKUP($A42,Clientes!$A$3:$C$1002,2,0),"NÃO CADASTRADO"))</f>
        <v/>
      </c>
      <c r="I42" s="16">
        <f>IF($A42="","",IFERROR(VLOOKUP($A42,Clientes!$A$3:$C$1002,3,0),"NÃO CADASTRADO"))</f>
        <v/>
      </c>
      <c r="J42" s="12">
        <f>IF($A42="","",IF($A42='Carteira do Cliente'!$B$4,COUNTIF($A$3:$A42,'Carteira do Cliente'!$B$4),""))</f>
        <v/>
      </c>
    </row>
    <row r="43">
      <c r="A43" s="3" t="n"/>
      <c r="B43" s="7" t="n"/>
      <c r="C43" s="4" t="n"/>
      <c r="D43" s="4" t="n"/>
      <c r="E43" s="8" t="n"/>
      <c r="F43" s="9" t="n"/>
      <c r="G43" s="7" t="n"/>
      <c r="H43" s="10">
        <f>IF($A43="","",IFERROR(VLOOKUP($A43,Clientes!$A$3:$C$1002,2,0),"NÃO CADASTRADO"))</f>
        <v/>
      </c>
      <c r="I43" s="11">
        <f>IF($A43="","",IFERROR(VLOOKUP($A43,Clientes!$A$3:$C$1002,3,0),"NÃO CADASTRADO"))</f>
        <v/>
      </c>
      <c r="J43" s="7">
        <f>IF($A43="","",IF($A43='Carteira do Cliente'!$B$4,COUNTIF($A$3:$A43,'Carteira do Cliente'!$B$4),""))</f>
        <v/>
      </c>
    </row>
    <row r="44">
      <c r="A44" s="5" t="n"/>
      <c r="B44" s="12" t="n"/>
      <c r="C44" s="6" t="n"/>
      <c r="D44" s="6" t="n"/>
      <c r="E44" s="13" t="n"/>
      <c r="F44" s="14" t="n"/>
      <c r="G44" s="12" t="n"/>
      <c r="H44" s="15">
        <f>IF($A44="","",IFERROR(VLOOKUP($A44,Clientes!$A$3:$C$1002,2,0),"NÃO CADASTRADO"))</f>
        <v/>
      </c>
      <c r="I44" s="16">
        <f>IF($A44="","",IFERROR(VLOOKUP($A44,Clientes!$A$3:$C$1002,3,0),"NÃO CADASTRADO"))</f>
        <v/>
      </c>
      <c r="J44" s="12">
        <f>IF($A44="","",IF($A44='Carteira do Cliente'!$B$4,COUNTIF($A$3:$A44,'Carteira do Cliente'!$B$4),""))</f>
        <v/>
      </c>
    </row>
    <row r="45">
      <c r="A45" s="3" t="n"/>
      <c r="B45" s="7" t="n"/>
      <c r="C45" s="4" t="n"/>
      <c r="D45" s="4" t="n"/>
      <c r="E45" s="8" t="n"/>
      <c r="F45" s="9" t="n"/>
      <c r="G45" s="7" t="n"/>
      <c r="H45" s="10">
        <f>IF($A45="","",IFERROR(VLOOKUP($A45,Clientes!$A$3:$C$1002,2,0),"NÃO CADASTRADO"))</f>
        <v/>
      </c>
      <c r="I45" s="11">
        <f>IF($A45="","",IFERROR(VLOOKUP($A45,Clientes!$A$3:$C$1002,3,0),"NÃO CADASTRADO"))</f>
        <v/>
      </c>
      <c r="J45" s="7">
        <f>IF($A45="","",IF($A45='Carteira do Cliente'!$B$4,COUNTIF($A$3:$A45,'Carteira do Cliente'!$B$4),""))</f>
        <v/>
      </c>
    </row>
    <row r="46">
      <c r="A46" s="5" t="n"/>
      <c r="B46" s="12" t="n"/>
      <c r="C46" s="6" t="n"/>
      <c r="D46" s="6" t="n"/>
      <c r="E46" s="13" t="n"/>
      <c r="F46" s="14" t="n"/>
      <c r="G46" s="12" t="n"/>
      <c r="H46" s="15">
        <f>IF($A46="","",IFERROR(VLOOKUP($A46,Clientes!$A$3:$C$1002,2,0),"NÃO CADASTRADO"))</f>
        <v/>
      </c>
      <c r="I46" s="16">
        <f>IF($A46="","",IFERROR(VLOOKUP($A46,Clientes!$A$3:$C$1002,3,0),"NÃO CADASTRADO"))</f>
        <v/>
      </c>
      <c r="J46" s="12">
        <f>IF($A46="","",IF($A46='Carteira do Cliente'!$B$4,COUNTIF($A$3:$A46,'Carteira do Cliente'!$B$4),""))</f>
        <v/>
      </c>
    </row>
    <row r="47">
      <c r="A47" s="3" t="n"/>
      <c r="B47" s="7" t="n"/>
      <c r="C47" s="4" t="n"/>
      <c r="D47" s="4" t="n"/>
      <c r="E47" s="8" t="n"/>
      <c r="F47" s="9" t="n"/>
      <c r="G47" s="7" t="n"/>
      <c r="H47" s="10">
        <f>IF($A47="","",IFERROR(VLOOKUP($A47,Clientes!$A$3:$C$1002,2,0),"NÃO CADASTRADO"))</f>
        <v/>
      </c>
      <c r="I47" s="11">
        <f>IF($A47="","",IFERROR(VLOOKUP($A47,Clientes!$A$3:$C$1002,3,0),"NÃO CADASTRADO"))</f>
        <v/>
      </c>
      <c r="J47" s="7">
        <f>IF($A47="","",IF($A47='Carteira do Cliente'!$B$4,COUNTIF($A$3:$A47,'Carteira do Cliente'!$B$4),""))</f>
        <v/>
      </c>
    </row>
    <row r="48">
      <c r="A48" s="5" t="n"/>
      <c r="B48" s="12" t="n"/>
      <c r="C48" s="6" t="n"/>
      <c r="D48" s="6" t="n"/>
      <c r="E48" s="13" t="n"/>
      <c r="F48" s="14" t="n"/>
      <c r="G48" s="12" t="n"/>
      <c r="H48" s="15">
        <f>IF($A48="","",IFERROR(VLOOKUP($A48,Clientes!$A$3:$C$1002,2,0),"NÃO CADASTRADO"))</f>
        <v/>
      </c>
      <c r="I48" s="16">
        <f>IF($A48="","",IFERROR(VLOOKUP($A48,Clientes!$A$3:$C$1002,3,0),"NÃO CADASTRADO"))</f>
        <v/>
      </c>
      <c r="J48" s="12">
        <f>IF($A48="","",IF($A48='Carteira do Cliente'!$B$4,COUNTIF($A$3:$A48,'Carteira do Cliente'!$B$4),""))</f>
        <v/>
      </c>
    </row>
    <row r="49">
      <c r="A49" s="3" t="n"/>
      <c r="B49" s="7" t="n"/>
      <c r="C49" s="4" t="n"/>
      <c r="D49" s="4" t="n"/>
      <c r="E49" s="8" t="n"/>
      <c r="F49" s="9" t="n"/>
      <c r="G49" s="7" t="n"/>
      <c r="H49" s="10">
        <f>IF($A49="","",IFERROR(VLOOKUP($A49,Clientes!$A$3:$C$1002,2,0),"NÃO CADASTRADO"))</f>
        <v/>
      </c>
      <c r="I49" s="11">
        <f>IF($A49="","",IFERROR(VLOOKUP($A49,Clientes!$A$3:$C$1002,3,0),"NÃO CADASTRADO"))</f>
        <v/>
      </c>
      <c r="J49" s="7">
        <f>IF($A49="","",IF($A49='Carteira do Cliente'!$B$4,COUNTIF($A$3:$A49,'Carteira do Cliente'!$B$4),""))</f>
        <v/>
      </c>
    </row>
    <row r="50">
      <c r="A50" s="5" t="n"/>
      <c r="B50" s="12" t="n"/>
      <c r="C50" s="6" t="n"/>
      <c r="D50" s="6" t="n"/>
      <c r="E50" s="13" t="n"/>
      <c r="F50" s="14" t="n"/>
      <c r="G50" s="12" t="n"/>
      <c r="H50" s="15">
        <f>IF($A50="","",IFERROR(VLOOKUP($A50,Clientes!$A$3:$C$1002,2,0),"NÃO CADASTRADO"))</f>
        <v/>
      </c>
      <c r="I50" s="16">
        <f>IF($A50="","",IFERROR(VLOOKUP($A50,Clientes!$A$3:$C$1002,3,0),"NÃO CADASTRADO"))</f>
        <v/>
      </c>
      <c r="J50" s="12">
        <f>IF($A50="","",IF($A50='Carteira do Cliente'!$B$4,COUNTIF($A$3:$A50,'Carteira do Cliente'!$B$4),""))</f>
        <v/>
      </c>
    </row>
    <row r="51">
      <c r="A51" s="3" t="n"/>
      <c r="B51" s="7" t="n"/>
      <c r="C51" s="4" t="n"/>
      <c r="D51" s="4" t="n"/>
      <c r="E51" s="8" t="n"/>
      <c r="F51" s="9" t="n"/>
      <c r="G51" s="7" t="n"/>
      <c r="H51" s="10">
        <f>IF($A51="","",IFERROR(VLOOKUP($A51,Clientes!$A$3:$C$1002,2,0),"NÃO CADASTRADO"))</f>
        <v/>
      </c>
      <c r="I51" s="11">
        <f>IF($A51="","",IFERROR(VLOOKUP($A51,Clientes!$A$3:$C$1002,3,0),"NÃO CADASTRADO"))</f>
        <v/>
      </c>
      <c r="J51" s="7">
        <f>IF($A51="","",IF($A51='Carteira do Cliente'!$B$4,COUNTIF($A$3:$A51,'Carteira do Cliente'!$B$4),""))</f>
        <v/>
      </c>
    </row>
    <row r="52">
      <c r="A52" s="5" t="n"/>
      <c r="B52" s="12" t="n"/>
      <c r="C52" s="6" t="n"/>
      <c r="D52" s="6" t="n"/>
      <c r="E52" s="13" t="n"/>
      <c r="F52" s="14" t="n"/>
      <c r="G52" s="12" t="n"/>
      <c r="H52" s="15">
        <f>IF($A52="","",IFERROR(VLOOKUP($A52,Clientes!$A$3:$C$1002,2,0),"NÃO CADASTRADO"))</f>
        <v/>
      </c>
      <c r="I52" s="16">
        <f>IF($A52="","",IFERROR(VLOOKUP($A52,Clientes!$A$3:$C$1002,3,0),"NÃO CADASTRADO"))</f>
        <v/>
      </c>
      <c r="J52" s="12">
        <f>IF($A52="","",IF($A52='Carteira do Cliente'!$B$4,COUNTIF($A$3:$A52,'Carteira do Cliente'!$B$4),""))</f>
        <v/>
      </c>
    </row>
    <row r="53">
      <c r="A53" s="3" t="n"/>
      <c r="B53" s="7" t="n"/>
      <c r="C53" s="4" t="n"/>
      <c r="D53" s="4" t="n"/>
      <c r="E53" s="8" t="n"/>
      <c r="F53" s="9" t="n"/>
      <c r="G53" s="7" t="n"/>
      <c r="H53" s="10">
        <f>IF($A53="","",IFERROR(VLOOKUP($A53,Clientes!$A$3:$C$1002,2,0),"NÃO CADASTRADO"))</f>
        <v/>
      </c>
      <c r="I53" s="11">
        <f>IF($A53="","",IFERROR(VLOOKUP($A53,Clientes!$A$3:$C$1002,3,0),"NÃO CADASTRADO"))</f>
        <v/>
      </c>
      <c r="J53" s="7">
        <f>IF($A53="","",IF($A53='Carteira do Cliente'!$B$4,COUNTIF($A$3:$A53,'Carteira do Cliente'!$B$4),""))</f>
        <v/>
      </c>
    </row>
    <row r="54">
      <c r="A54" s="5" t="n"/>
      <c r="B54" s="12" t="n"/>
      <c r="C54" s="6" t="n"/>
      <c r="D54" s="6" t="n"/>
      <c r="E54" s="13" t="n"/>
      <c r="F54" s="14" t="n"/>
      <c r="G54" s="12" t="n"/>
      <c r="H54" s="15">
        <f>IF($A54="","",IFERROR(VLOOKUP($A54,Clientes!$A$3:$C$1002,2,0),"NÃO CADASTRADO"))</f>
        <v/>
      </c>
      <c r="I54" s="16">
        <f>IF($A54="","",IFERROR(VLOOKUP($A54,Clientes!$A$3:$C$1002,3,0),"NÃO CADASTRADO"))</f>
        <v/>
      </c>
      <c r="J54" s="12">
        <f>IF($A54="","",IF($A54='Carteira do Cliente'!$B$4,COUNTIF($A$3:$A54,'Carteira do Cliente'!$B$4),""))</f>
        <v/>
      </c>
    </row>
    <row r="55">
      <c r="A55" s="3" t="n"/>
      <c r="B55" s="7" t="n"/>
      <c r="C55" s="4" t="n"/>
      <c r="D55" s="4" t="n"/>
      <c r="E55" s="8" t="n"/>
      <c r="F55" s="9" t="n"/>
      <c r="G55" s="7" t="n"/>
      <c r="H55" s="10">
        <f>IF($A55="","",IFERROR(VLOOKUP($A55,Clientes!$A$3:$C$1002,2,0),"NÃO CADASTRADO"))</f>
        <v/>
      </c>
      <c r="I55" s="11">
        <f>IF($A55="","",IFERROR(VLOOKUP($A55,Clientes!$A$3:$C$1002,3,0),"NÃO CADASTRADO"))</f>
        <v/>
      </c>
      <c r="J55" s="7">
        <f>IF($A55="","",IF($A55='Carteira do Cliente'!$B$4,COUNTIF($A$3:$A55,'Carteira do Cliente'!$B$4),""))</f>
        <v/>
      </c>
    </row>
    <row r="56">
      <c r="A56" s="5" t="n"/>
      <c r="B56" s="12" t="n"/>
      <c r="C56" s="6" t="n"/>
      <c r="D56" s="6" t="n"/>
      <c r="E56" s="13" t="n"/>
      <c r="F56" s="14" t="n"/>
      <c r="G56" s="12" t="n"/>
      <c r="H56" s="15">
        <f>IF($A56="","",IFERROR(VLOOKUP($A56,Clientes!$A$3:$C$1002,2,0),"NÃO CADASTRADO"))</f>
        <v/>
      </c>
      <c r="I56" s="16">
        <f>IF($A56="","",IFERROR(VLOOKUP($A56,Clientes!$A$3:$C$1002,3,0),"NÃO CADASTRADO"))</f>
        <v/>
      </c>
      <c r="J56" s="12">
        <f>IF($A56="","",IF($A56='Carteira do Cliente'!$B$4,COUNTIF($A$3:$A56,'Carteira do Cliente'!$B$4),""))</f>
        <v/>
      </c>
    </row>
    <row r="57">
      <c r="A57" s="3" t="n"/>
      <c r="B57" s="7" t="n"/>
      <c r="C57" s="4" t="n"/>
      <c r="D57" s="4" t="n"/>
      <c r="E57" s="8" t="n"/>
      <c r="F57" s="9" t="n"/>
      <c r="G57" s="7" t="n"/>
      <c r="H57" s="10">
        <f>IF($A57="","",IFERROR(VLOOKUP($A57,Clientes!$A$3:$C$1002,2,0),"NÃO CADASTRADO"))</f>
        <v/>
      </c>
      <c r="I57" s="11">
        <f>IF($A57="","",IFERROR(VLOOKUP($A57,Clientes!$A$3:$C$1002,3,0),"NÃO CADASTRADO"))</f>
        <v/>
      </c>
      <c r="J57" s="7">
        <f>IF($A57="","",IF($A57='Carteira do Cliente'!$B$4,COUNTIF($A$3:$A57,'Carteira do Cliente'!$B$4),""))</f>
        <v/>
      </c>
    </row>
    <row r="58">
      <c r="A58" s="5" t="n"/>
      <c r="B58" s="12" t="n"/>
      <c r="C58" s="6" t="n"/>
      <c r="D58" s="6" t="n"/>
      <c r="E58" s="13" t="n"/>
      <c r="F58" s="14" t="n"/>
      <c r="G58" s="12" t="n"/>
      <c r="H58" s="15">
        <f>IF($A58="","",IFERROR(VLOOKUP($A58,Clientes!$A$3:$C$1002,2,0),"NÃO CADASTRADO"))</f>
        <v/>
      </c>
      <c r="I58" s="16">
        <f>IF($A58="","",IFERROR(VLOOKUP($A58,Clientes!$A$3:$C$1002,3,0),"NÃO CADASTRADO"))</f>
        <v/>
      </c>
      <c r="J58" s="12">
        <f>IF($A58="","",IF($A58='Carteira do Cliente'!$B$4,COUNTIF($A$3:$A58,'Carteira do Cliente'!$B$4),""))</f>
        <v/>
      </c>
    </row>
    <row r="59">
      <c r="A59" s="3" t="n"/>
      <c r="B59" s="7" t="n"/>
      <c r="C59" s="4" t="n"/>
      <c r="D59" s="4" t="n"/>
      <c r="E59" s="8" t="n"/>
      <c r="F59" s="9" t="n"/>
      <c r="G59" s="7" t="n"/>
      <c r="H59" s="10">
        <f>IF($A59="","",IFERROR(VLOOKUP($A59,Clientes!$A$3:$C$1002,2,0),"NÃO CADASTRADO"))</f>
        <v/>
      </c>
      <c r="I59" s="11">
        <f>IF($A59="","",IFERROR(VLOOKUP($A59,Clientes!$A$3:$C$1002,3,0),"NÃO CADASTRADO"))</f>
        <v/>
      </c>
      <c r="J59" s="7">
        <f>IF($A59="","",IF($A59='Carteira do Cliente'!$B$4,COUNTIF($A$3:$A59,'Carteira do Cliente'!$B$4),""))</f>
        <v/>
      </c>
    </row>
    <row r="60">
      <c r="A60" s="5" t="n"/>
      <c r="B60" s="12" t="n"/>
      <c r="C60" s="6" t="n"/>
      <c r="D60" s="6" t="n"/>
      <c r="E60" s="13" t="n"/>
      <c r="F60" s="14" t="n"/>
      <c r="G60" s="12" t="n"/>
      <c r="H60" s="15">
        <f>IF($A60="","",IFERROR(VLOOKUP($A60,Clientes!$A$3:$C$1002,2,0),"NÃO CADASTRADO"))</f>
        <v/>
      </c>
      <c r="I60" s="16">
        <f>IF($A60="","",IFERROR(VLOOKUP($A60,Clientes!$A$3:$C$1002,3,0),"NÃO CADASTRADO"))</f>
        <v/>
      </c>
      <c r="J60" s="12">
        <f>IF($A60="","",IF($A60='Carteira do Cliente'!$B$4,COUNTIF($A$3:$A60,'Carteira do Cliente'!$B$4),""))</f>
        <v/>
      </c>
    </row>
    <row r="61">
      <c r="A61" s="3" t="n"/>
      <c r="B61" s="7" t="n"/>
      <c r="C61" s="4" t="n"/>
      <c r="D61" s="4" t="n"/>
      <c r="E61" s="8" t="n"/>
      <c r="F61" s="9" t="n"/>
      <c r="G61" s="7" t="n"/>
      <c r="H61" s="10">
        <f>IF($A61="","",IFERROR(VLOOKUP($A61,Clientes!$A$3:$C$1002,2,0),"NÃO CADASTRADO"))</f>
        <v/>
      </c>
      <c r="I61" s="11">
        <f>IF($A61="","",IFERROR(VLOOKUP($A61,Clientes!$A$3:$C$1002,3,0),"NÃO CADASTRADO"))</f>
        <v/>
      </c>
      <c r="J61" s="7">
        <f>IF($A61="","",IF($A61='Carteira do Cliente'!$B$4,COUNTIF($A$3:$A61,'Carteira do Cliente'!$B$4),""))</f>
        <v/>
      </c>
    </row>
    <row r="62">
      <c r="A62" s="5" t="n"/>
      <c r="B62" s="12" t="n"/>
      <c r="C62" s="6" t="n"/>
      <c r="D62" s="6" t="n"/>
      <c r="E62" s="13" t="n"/>
      <c r="F62" s="14" t="n"/>
      <c r="G62" s="12" t="n"/>
      <c r="H62" s="15">
        <f>IF($A62="","",IFERROR(VLOOKUP($A62,Clientes!$A$3:$C$1002,2,0),"NÃO CADASTRADO"))</f>
        <v/>
      </c>
      <c r="I62" s="16">
        <f>IF($A62="","",IFERROR(VLOOKUP($A62,Clientes!$A$3:$C$1002,3,0),"NÃO CADASTRADO"))</f>
        <v/>
      </c>
      <c r="J62" s="12">
        <f>IF($A62="","",IF($A62='Carteira do Cliente'!$B$4,COUNTIF($A$3:$A62,'Carteira do Cliente'!$B$4),""))</f>
        <v/>
      </c>
    </row>
    <row r="63">
      <c r="A63" s="3" t="n"/>
      <c r="B63" s="7" t="n"/>
      <c r="C63" s="4" t="n"/>
      <c r="D63" s="4" t="n"/>
      <c r="E63" s="8" t="n"/>
      <c r="F63" s="9" t="n"/>
      <c r="G63" s="7" t="n"/>
      <c r="H63" s="10">
        <f>IF($A63="","",IFERROR(VLOOKUP($A63,Clientes!$A$3:$C$1002,2,0),"NÃO CADASTRADO"))</f>
        <v/>
      </c>
      <c r="I63" s="11">
        <f>IF($A63="","",IFERROR(VLOOKUP($A63,Clientes!$A$3:$C$1002,3,0),"NÃO CADASTRADO"))</f>
        <v/>
      </c>
      <c r="J63" s="7">
        <f>IF($A63="","",IF($A63='Carteira do Cliente'!$B$4,COUNTIF($A$3:$A63,'Carteira do Cliente'!$B$4),""))</f>
        <v/>
      </c>
    </row>
    <row r="64">
      <c r="A64" s="5" t="n"/>
      <c r="B64" s="12" t="n"/>
      <c r="C64" s="6" t="n"/>
      <c r="D64" s="6" t="n"/>
      <c r="E64" s="13" t="n"/>
      <c r="F64" s="14" t="n"/>
      <c r="G64" s="12" t="n"/>
      <c r="H64" s="15">
        <f>IF($A64="","",IFERROR(VLOOKUP($A64,Clientes!$A$3:$C$1002,2,0),"NÃO CADASTRADO"))</f>
        <v/>
      </c>
      <c r="I64" s="16">
        <f>IF($A64="","",IFERROR(VLOOKUP($A64,Clientes!$A$3:$C$1002,3,0),"NÃO CADASTRADO"))</f>
        <v/>
      </c>
      <c r="J64" s="12">
        <f>IF($A64="","",IF($A64='Carteira do Cliente'!$B$4,COUNTIF($A$3:$A64,'Carteira do Cliente'!$B$4),""))</f>
        <v/>
      </c>
    </row>
    <row r="65">
      <c r="A65" s="3" t="n"/>
      <c r="B65" s="7" t="n"/>
      <c r="C65" s="4" t="n"/>
      <c r="D65" s="4" t="n"/>
      <c r="E65" s="8" t="n"/>
      <c r="F65" s="9" t="n"/>
      <c r="G65" s="7" t="n"/>
      <c r="H65" s="10">
        <f>IF($A65="","",IFERROR(VLOOKUP($A65,Clientes!$A$3:$C$1002,2,0),"NÃO CADASTRADO"))</f>
        <v/>
      </c>
      <c r="I65" s="11">
        <f>IF($A65="","",IFERROR(VLOOKUP($A65,Clientes!$A$3:$C$1002,3,0),"NÃO CADASTRADO"))</f>
        <v/>
      </c>
      <c r="J65" s="7">
        <f>IF($A65="","",IF($A65='Carteira do Cliente'!$B$4,COUNTIF($A$3:$A65,'Carteira do Cliente'!$B$4),""))</f>
        <v/>
      </c>
    </row>
    <row r="66">
      <c r="A66" s="5" t="n"/>
      <c r="B66" s="12" t="n"/>
      <c r="C66" s="6" t="n"/>
      <c r="D66" s="6" t="n"/>
      <c r="E66" s="13" t="n"/>
      <c r="F66" s="14" t="n"/>
      <c r="G66" s="12" t="n"/>
      <c r="H66" s="15">
        <f>IF($A66="","",IFERROR(VLOOKUP($A66,Clientes!$A$3:$C$1002,2,0),"NÃO CADASTRADO"))</f>
        <v/>
      </c>
      <c r="I66" s="16">
        <f>IF($A66="","",IFERROR(VLOOKUP($A66,Clientes!$A$3:$C$1002,3,0),"NÃO CADASTRADO"))</f>
        <v/>
      </c>
      <c r="J66" s="12">
        <f>IF($A66="","",IF($A66='Carteira do Cliente'!$B$4,COUNTIF($A$3:$A66,'Carteira do Cliente'!$B$4),""))</f>
        <v/>
      </c>
    </row>
    <row r="67">
      <c r="A67" s="3" t="n"/>
      <c r="B67" s="7" t="n"/>
      <c r="C67" s="4" t="n"/>
      <c r="D67" s="4" t="n"/>
      <c r="E67" s="8" t="n"/>
      <c r="F67" s="9" t="n"/>
      <c r="G67" s="7" t="n"/>
      <c r="H67" s="10">
        <f>IF($A67="","",IFERROR(VLOOKUP($A67,Clientes!$A$3:$C$1002,2,0),"NÃO CADASTRADO"))</f>
        <v/>
      </c>
      <c r="I67" s="11">
        <f>IF($A67="","",IFERROR(VLOOKUP($A67,Clientes!$A$3:$C$1002,3,0),"NÃO CADASTRADO"))</f>
        <v/>
      </c>
      <c r="J67" s="7">
        <f>IF($A67="","",IF($A67='Carteira do Cliente'!$B$4,COUNTIF($A$3:$A67,'Carteira do Cliente'!$B$4),""))</f>
        <v/>
      </c>
    </row>
    <row r="68">
      <c r="A68" s="5" t="n"/>
      <c r="B68" s="12" t="n"/>
      <c r="C68" s="6" t="n"/>
      <c r="D68" s="6" t="n"/>
      <c r="E68" s="13" t="n"/>
      <c r="F68" s="14" t="n"/>
      <c r="G68" s="12" t="n"/>
      <c r="H68" s="15">
        <f>IF($A68="","",IFERROR(VLOOKUP($A68,Clientes!$A$3:$C$1002,2,0),"NÃO CADASTRADO"))</f>
        <v/>
      </c>
      <c r="I68" s="16">
        <f>IF($A68="","",IFERROR(VLOOKUP($A68,Clientes!$A$3:$C$1002,3,0),"NÃO CADASTRADO"))</f>
        <v/>
      </c>
      <c r="J68" s="12">
        <f>IF($A68="","",IF($A68='Carteira do Cliente'!$B$4,COUNTIF($A$3:$A68,'Carteira do Cliente'!$B$4),""))</f>
        <v/>
      </c>
    </row>
    <row r="69">
      <c r="A69" s="3" t="n"/>
      <c r="B69" s="7" t="n"/>
      <c r="C69" s="4" t="n"/>
      <c r="D69" s="4" t="n"/>
      <c r="E69" s="8" t="n"/>
      <c r="F69" s="9" t="n"/>
      <c r="G69" s="7" t="n"/>
      <c r="H69" s="10">
        <f>IF($A69="","",IFERROR(VLOOKUP($A69,Clientes!$A$3:$C$1002,2,0),"NÃO CADASTRADO"))</f>
        <v/>
      </c>
      <c r="I69" s="11">
        <f>IF($A69="","",IFERROR(VLOOKUP($A69,Clientes!$A$3:$C$1002,3,0),"NÃO CADASTRADO"))</f>
        <v/>
      </c>
      <c r="J69" s="7">
        <f>IF($A69="","",IF($A69='Carteira do Cliente'!$B$4,COUNTIF($A$3:$A69,'Carteira do Cliente'!$B$4),""))</f>
        <v/>
      </c>
    </row>
    <row r="70">
      <c r="A70" s="5" t="n"/>
      <c r="B70" s="12" t="n"/>
      <c r="C70" s="6" t="n"/>
      <c r="D70" s="6" t="n"/>
      <c r="E70" s="13" t="n"/>
      <c r="F70" s="14" t="n"/>
      <c r="G70" s="12" t="n"/>
      <c r="H70" s="15">
        <f>IF($A70="","",IFERROR(VLOOKUP($A70,Clientes!$A$3:$C$1002,2,0),"NÃO CADASTRADO"))</f>
        <v/>
      </c>
      <c r="I70" s="16">
        <f>IF($A70="","",IFERROR(VLOOKUP($A70,Clientes!$A$3:$C$1002,3,0),"NÃO CADASTRADO"))</f>
        <v/>
      </c>
      <c r="J70" s="12">
        <f>IF($A70="","",IF($A70='Carteira do Cliente'!$B$4,COUNTIF($A$3:$A70,'Carteira do Cliente'!$B$4),""))</f>
        <v/>
      </c>
    </row>
    <row r="71">
      <c r="A71" s="3" t="n"/>
      <c r="B71" s="7" t="n"/>
      <c r="C71" s="4" t="n"/>
      <c r="D71" s="4" t="n"/>
      <c r="E71" s="8" t="n"/>
      <c r="F71" s="9" t="n"/>
      <c r="G71" s="7" t="n"/>
      <c r="H71" s="10">
        <f>IF($A71="","",IFERROR(VLOOKUP($A71,Clientes!$A$3:$C$1002,2,0),"NÃO CADASTRADO"))</f>
        <v/>
      </c>
      <c r="I71" s="11">
        <f>IF($A71="","",IFERROR(VLOOKUP($A71,Clientes!$A$3:$C$1002,3,0),"NÃO CADASTRADO"))</f>
        <v/>
      </c>
      <c r="J71" s="7">
        <f>IF($A71="","",IF($A71='Carteira do Cliente'!$B$4,COUNTIF($A$3:$A71,'Carteira do Cliente'!$B$4),""))</f>
        <v/>
      </c>
    </row>
    <row r="72">
      <c r="A72" s="5" t="n"/>
      <c r="B72" s="12" t="n"/>
      <c r="C72" s="6" t="n"/>
      <c r="D72" s="6" t="n"/>
      <c r="E72" s="13" t="n"/>
      <c r="F72" s="14" t="n"/>
      <c r="G72" s="12" t="n"/>
      <c r="H72" s="15">
        <f>IF($A72="","",IFERROR(VLOOKUP($A72,Clientes!$A$3:$C$1002,2,0),"NÃO CADASTRADO"))</f>
        <v/>
      </c>
      <c r="I72" s="16">
        <f>IF($A72="","",IFERROR(VLOOKUP($A72,Clientes!$A$3:$C$1002,3,0),"NÃO CADASTRADO"))</f>
        <v/>
      </c>
      <c r="J72" s="12">
        <f>IF($A72="","",IF($A72='Carteira do Cliente'!$B$4,COUNTIF($A$3:$A72,'Carteira do Cliente'!$B$4),""))</f>
        <v/>
      </c>
    </row>
    <row r="73">
      <c r="A73" s="3" t="n"/>
      <c r="B73" s="7" t="n"/>
      <c r="C73" s="4" t="n"/>
      <c r="D73" s="4" t="n"/>
      <c r="E73" s="8" t="n"/>
      <c r="F73" s="9" t="n"/>
      <c r="G73" s="7" t="n"/>
      <c r="H73" s="10">
        <f>IF($A73="","",IFERROR(VLOOKUP($A73,Clientes!$A$3:$C$1002,2,0),"NÃO CADASTRADO"))</f>
        <v/>
      </c>
      <c r="I73" s="11">
        <f>IF($A73="","",IFERROR(VLOOKUP($A73,Clientes!$A$3:$C$1002,3,0),"NÃO CADASTRADO"))</f>
        <v/>
      </c>
      <c r="J73" s="7">
        <f>IF($A73="","",IF($A73='Carteira do Cliente'!$B$4,COUNTIF($A$3:$A73,'Carteira do Cliente'!$B$4),""))</f>
        <v/>
      </c>
    </row>
    <row r="74">
      <c r="A74" s="5" t="n"/>
      <c r="B74" s="12" t="n"/>
      <c r="C74" s="6" t="n"/>
      <c r="D74" s="6" t="n"/>
      <c r="E74" s="13" t="n"/>
      <c r="F74" s="14" t="n"/>
      <c r="G74" s="12" t="n"/>
      <c r="H74" s="15">
        <f>IF($A74="","",IFERROR(VLOOKUP($A74,Clientes!$A$3:$C$1002,2,0),"NÃO CADASTRADO"))</f>
        <v/>
      </c>
      <c r="I74" s="16">
        <f>IF($A74="","",IFERROR(VLOOKUP($A74,Clientes!$A$3:$C$1002,3,0),"NÃO CADASTRADO"))</f>
        <v/>
      </c>
      <c r="J74" s="12">
        <f>IF($A74="","",IF($A74='Carteira do Cliente'!$B$4,COUNTIF($A$3:$A74,'Carteira do Cliente'!$B$4),""))</f>
        <v/>
      </c>
    </row>
    <row r="75">
      <c r="A75" s="3" t="n"/>
      <c r="B75" s="7" t="n"/>
      <c r="C75" s="4" t="n"/>
      <c r="D75" s="4" t="n"/>
      <c r="E75" s="8" t="n"/>
      <c r="F75" s="9" t="n"/>
      <c r="G75" s="7" t="n"/>
      <c r="H75" s="10">
        <f>IF($A75="","",IFERROR(VLOOKUP($A75,Clientes!$A$3:$C$1002,2,0),"NÃO CADASTRADO"))</f>
        <v/>
      </c>
      <c r="I75" s="11">
        <f>IF($A75="","",IFERROR(VLOOKUP($A75,Clientes!$A$3:$C$1002,3,0),"NÃO CADASTRADO"))</f>
        <v/>
      </c>
      <c r="J75" s="7">
        <f>IF($A75="","",IF($A75='Carteira do Cliente'!$B$4,COUNTIF($A$3:$A75,'Carteira do Cliente'!$B$4),""))</f>
        <v/>
      </c>
    </row>
    <row r="76">
      <c r="A76" s="5" t="n"/>
      <c r="B76" s="12" t="n"/>
      <c r="C76" s="6" t="n"/>
      <c r="D76" s="6" t="n"/>
      <c r="E76" s="13" t="n"/>
      <c r="F76" s="14" t="n"/>
      <c r="G76" s="12" t="n"/>
      <c r="H76" s="15">
        <f>IF($A76="","",IFERROR(VLOOKUP($A76,Clientes!$A$3:$C$1002,2,0),"NÃO CADASTRADO"))</f>
        <v/>
      </c>
      <c r="I76" s="16">
        <f>IF($A76="","",IFERROR(VLOOKUP($A76,Clientes!$A$3:$C$1002,3,0),"NÃO CADASTRADO"))</f>
        <v/>
      </c>
      <c r="J76" s="12">
        <f>IF($A76="","",IF($A76='Carteira do Cliente'!$B$4,COUNTIF($A$3:$A76,'Carteira do Cliente'!$B$4),""))</f>
        <v/>
      </c>
    </row>
    <row r="77">
      <c r="A77" s="3" t="n"/>
      <c r="B77" s="7" t="n"/>
      <c r="C77" s="4" t="n"/>
      <c r="D77" s="4" t="n"/>
      <c r="E77" s="8" t="n"/>
      <c r="F77" s="9" t="n"/>
      <c r="G77" s="7" t="n"/>
      <c r="H77" s="10">
        <f>IF($A77="","",IFERROR(VLOOKUP($A77,Clientes!$A$3:$C$1002,2,0),"NÃO CADASTRADO"))</f>
        <v/>
      </c>
      <c r="I77" s="11">
        <f>IF($A77="","",IFERROR(VLOOKUP($A77,Clientes!$A$3:$C$1002,3,0),"NÃO CADASTRADO"))</f>
        <v/>
      </c>
      <c r="J77" s="7">
        <f>IF($A77="","",IF($A77='Carteira do Cliente'!$B$4,COUNTIF($A$3:$A77,'Carteira do Cliente'!$B$4),""))</f>
        <v/>
      </c>
    </row>
    <row r="78">
      <c r="A78" s="5" t="n"/>
      <c r="B78" s="12" t="n"/>
      <c r="C78" s="6" t="n"/>
      <c r="D78" s="6" t="n"/>
      <c r="E78" s="13" t="n"/>
      <c r="F78" s="14" t="n"/>
      <c r="G78" s="12" t="n"/>
      <c r="H78" s="15">
        <f>IF($A78="","",IFERROR(VLOOKUP($A78,Clientes!$A$3:$C$1002,2,0),"NÃO CADASTRADO"))</f>
        <v/>
      </c>
      <c r="I78" s="16">
        <f>IF($A78="","",IFERROR(VLOOKUP($A78,Clientes!$A$3:$C$1002,3,0),"NÃO CADASTRADO"))</f>
        <v/>
      </c>
      <c r="J78" s="12">
        <f>IF($A78="","",IF($A78='Carteira do Cliente'!$B$4,COUNTIF($A$3:$A78,'Carteira do Cliente'!$B$4),""))</f>
        <v/>
      </c>
    </row>
    <row r="79">
      <c r="A79" s="3" t="n"/>
      <c r="B79" s="7" t="n"/>
      <c r="C79" s="4" t="n"/>
      <c r="D79" s="4" t="n"/>
      <c r="E79" s="8" t="n"/>
      <c r="F79" s="9" t="n"/>
      <c r="G79" s="7" t="n"/>
      <c r="H79" s="10">
        <f>IF($A79="","",IFERROR(VLOOKUP($A79,Clientes!$A$3:$C$1002,2,0),"NÃO CADASTRADO"))</f>
        <v/>
      </c>
      <c r="I79" s="11">
        <f>IF($A79="","",IFERROR(VLOOKUP($A79,Clientes!$A$3:$C$1002,3,0),"NÃO CADASTRADO"))</f>
        <v/>
      </c>
      <c r="J79" s="7">
        <f>IF($A79="","",IF($A79='Carteira do Cliente'!$B$4,COUNTIF($A$3:$A79,'Carteira do Cliente'!$B$4),""))</f>
        <v/>
      </c>
    </row>
    <row r="80">
      <c r="A80" s="5" t="n"/>
      <c r="B80" s="12" t="n"/>
      <c r="C80" s="6" t="n"/>
      <c r="D80" s="6" t="n"/>
      <c r="E80" s="13" t="n"/>
      <c r="F80" s="14" t="n"/>
      <c r="G80" s="12" t="n"/>
      <c r="H80" s="15">
        <f>IF($A80="","",IFERROR(VLOOKUP($A80,Clientes!$A$3:$C$1002,2,0),"NÃO CADASTRADO"))</f>
        <v/>
      </c>
      <c r="I80" s="16">
        <f>IF($A80="","",IFERROR(VLOOKUP($A80,Clientes!$A$3:$C$1002,3,0),"NÃO CADASTRADO"))</f>
        <v/>
      </c>
      <c r="J80" s="12">
        <f>IF($A80="","",IF($A80='Carteira do Cliente'!$B$4,COUNTIF($A$3:$A80,'Carteira do Cliente'!$B$4),""))</f>
        <v/>
      </c>
    </row>
    <row r="81">
      <c r="A81" s="3" t="n"/>
      <c r="B81" s="7" t="n"/>
      <c r="C81" s="4" t="n"/>
      <c r="D81" s="4" t="n"/>
      <c r="E81" s="8" t="n"/>
      <c r="F81" s="9" t="n"/>
      <c r="G81" s="7" t="n"/>
      <c r="H81" s="10">
        <f>IF($A81="","",IFERROR(VLOOKUP($A81,Clientes!$A$3:$C$1002,2,0),"NÃO CADASTRADO"))</f>
        <v/>
      </c>
      <c r="I81" s="11">
        <f>IF($A81="","",IFERROR(VLOOKUP($A81,Clientes!$A$3:$C$1002,3,0),"NÃO CADASTRADO"))</f>
        <v/>
      </c>
      <c r="J81" s="7">
        <f>IF($A81="","",IF($A81='Carteira do Cliente'!$B$4,COUNTIF($A$3:$A81,'Carteira do Cliente'!$B$4),""))</f>
        <v/>
      </c>
    </row>
    <row r="82">
      <c r="A82" s="5" t="n"/>
      <c r="B82" s="12" t="n"/>
      <c r="C82" s="6" t="n"/>
      <c r="D82" s="6" t="n"/>
      <c r="E82" s="13" t="n"/>
      <c r="F82" s="14" t="n"/>
      <c r="G82" s="12" t="n"/>
      <c r="H82" s="15">
        <f>IF($A82="","",IFERROR(VLOOKUP($A82,Clientes!$A$3:$C$1002,2,0),"NÃO CADASTRADO"))</f>
        <v/>
      </c>
      <c r="I82" s="16">
        <f>IF($A82="","",IFERROR(VLOOKUP($A82,Clientes!$A$3:$C$1002,3,0),"NÃO CADASTRADO"))</f>
        <v/>
      </c>
      <c r="J82" s="12">
        <f>IF($A82="","",IF($A82='Carteira do Cliente'!$B$4,COUNTIF($A$3:$A82,'Carteira do Cliente'!$B$4),""))</f>
        <v/>
      </c>
    </row>
    <row r="83">
      <c r="A83" s="3" t="n"/>
      <c r="B83" s="7" t="n"/>
      <c r="C83" s="4" t="n"/>
      <c r="D83" s="4" t="n"/>
      <c r="E83" s="8" t="n"/>
      <c r="F83" s="9" t="n"/>
      <c r="G83" s="7" t="n"/>
      <c r="H83" s="10">
        <f>IF($A83="","",IFERROR(VLOOKUP($A83,Clientes!$A$3:$C$1002,2,0),"NÃO CADASTRADO"))</f>
        <v/>
      </c>
      <c r="I83" s="11">
        <f>IF($A83="","",IFERROR(VLOOKUP($A83,Clientes!$A$3:$C$1002,3,0),"NÃO CADASTRADO"))</f>
        <v/>
      </c>
      <c r="J83" s="7">
        <f>IF($A83="","",IF($A83='Carteira do Cliente'!$B$4,COUNTIF($A$3:$A83,'Carteira do Cliente'!$B$4),""))</f>
        <v/>
      </c>
    </row>
    <row r="84">
      <c r="A84" s="5" t="n"/>
      <c r="B84" s="12" t="n"/>
      <c r="C84" s="6" t="n"/>
      <c r="D84" s="6" t="n"/>
      <c r="E84" s="13" t="n"/>
      <c r="F84" s="14" t="n"/>
      <c r="G84" s="12" t="n"/>
      <c r="H84" s="15">
        <f>IF($A84="","",IFERROR(VLOOKUP($A84,Clientes!$A$3:$C$1002,2,0),"NÃO CADASTRADO"))</f>
        <v/>
      </c>
      <c r="I84" s="16">
        <f>IF($A84="","",IFERROR(VLOOKUP($A84,Clientes!$A$3:$C$1002,3,0),"NÃO CADASTRADO"))</f>
        <v/>
      </c>
      <c r="J84" s="12">
        <f>IF($A84="","",IF($A84='Carteira do Cliente'!$B$4,COUNTIF($A$3:$A84,'Carteira do Cliente'!$B$4),""))</f>
        <v/>
      </c>
    </row>
    <row r="85">
      <c r="A85" s="3" t="n"/>
      <c r="B85" s="7" t="n"/>
      <c r="C85" s="4" t="n"/>
      <c r="D85" s="4" t="n"/>
      <c r="E85" s="8" t="n"/>
      <c r="F85" s="9" t="n"/>
      <c r="G85" s="7" t="n"/>
      <c r="H85" s="10">
        <f>IF($A85="","",IFERROR(VLOOKUP($A85,Clientes!$A$3:$C$1002,2,0),"NÃO CADASTRADO"))</f>
        <v/>
      </c>
      <c r="I85" s="11">
        <f>IF($A85="","",IFERROR(VLOOKUP($A85,Clientes!$A$3:$C$1002,3,0),"NÃO CADASTRADO"))</f>
        <v/>
      </c>
      <c r="J85" s="7">
        <f>IF($A85="","",IF($A85='Carteira do Cliente'!$B$4,COUNTIF($A$3:$A85,'Carteira do Cliente'!$B$4),""))</f>
        <v/>
      </c>
    </row>
    <row r="86">
      <c r="A86" s="5" t="n"/>
      <c r="B86" s="12" t="n"/>
      <c r="C86" s="6" t="n"/>
      <c r="D86" s="6" t="n"/>
      <c r="E86" s="13" t="n"/>
      <c r="F86" s="14" t="n"/>
      <c r="G86" s="12" t="n"/>
      <c r="H86" s="15">
        <f>IF($A86="","",IFERROR(VLOOKUP($A86,Clientes!$A$3:$C$1002,2,0),"NÃO CADASTRADO"))</f>
        <v/>
      </c>
      <c r="I86" s="16">
        <f>IF($A86="","",IFERROR(VLOOKUP($A86,Clientes!$A$3:$C$1002,3,0),"NÃO CADASTRADO"))</f>
        <v/>
      </c>
      <c r="J86" s="12">
        <f>IF($A86="","",IF($A86='Carteira do Cliente'!$B$4,COUNTIF($A$3:$A86,'Carteira do Cliente'!$B$4),""))</f>
        <v/>
      </c>
    </row>
    <row r="87">
      <c r="A87" s="3" t="n"/>
      <c r="B87" s="7" t="n"/>
      <c r="C87" s="4" t="n"/>
      <c r="D87" s="4" t="n"/>
      <c r="E87" s="8" t="n"/>
      <c r="F87" s="9" t="n"/>
      <c r="G87" s="7" t="n"/>
      <c r="H87" s="10">
        <f>IF($A87="","",IFERROR(VLOOKUP($A87,Clientes!$A$3:$C$1002,2,0),"NÃO CADASTRADO"))</f>
        <v/>
      </c>
      <c r="I87" s="11">
        <f>IF($A87="","",IFERROR(VLOOKUP($A87,Clientes!$A$3:$C$1002,3,0),"NÃO CADASTRADO"))</f>
        <v/>
      </c>
      <c r="J87" s="7">
        <f>IF($A87="","",IF($A87='Carteira do Cliente'!$B$4,COUNTIF($A$3:$A87,'Carteira do Cliente'!$B$4),""))</f>
        <v/>
      </c>
    </row>
    <row r="88">
      <c r="A88" s="5" t="n"/>
      <c r="B88" s="12" t="n"/>
      <c r="C88" s="6" t="n"/>
      <c r="D88" s="6" t="n"/>
      <c r="E88" s="13" t="n"/>
      <c r="F88" s="14" t="n"/>
      <c r="G88" s="12" t="n"/>
      <c r="H88" s="15">
        <f>IF($A88="","",IFERROR(VLOOKUP($A88,Clientes!$A$3:$C$1002,2,0),"NÃO CADASTRADO"))</f>
        <v/>
      </c>
      <c r="I88" s="16">
        <f>IF($A88="","",IFERROR(VLOOKUP($A88,Clientes!$A$3:$C$1002,3,0),"NÃO CADASTRADO"))</f>
        <v/>
      </c>
      <c r="J88" s="12">
        <f>IF($A88="","",IF($A88='Carteira do Cliente'!$B$4,COUNTIF($A$3:$A88,'Carteira do Cliente'!$B$4),""))</f>
        <v/>
      </c>
    </row>
    <row r="89">
      <c r="A89" s="3" t="n"/>
      <c r="B89" s="7" t="n"/>
      <c r="C89" s="4" t="n"/>
      <c r="D89" s="4" t="n"/>
      <c r="E89" s="8" t="n"/>
      <c r="F89" s="9" t="n"/>
      <c r="G89" s="7" t="n"/>
      <c r="H89" s="10">
        <f>IF($A89="","",IFERROR(VLOOKUP($A89,Clientes!$A$3:$C$1002,2,0),"NÃO CADASTRADO"))</f>
        <v/>
      </c>
      <c r="I89" s="11">
        <f>IF($A89="","",IFERROR(VLOOKUP($A89,Clientes!$A$3:$C$1002,3,0),"NÃO CADASTRADO"))</f>
        <v/>
      </c>
      <c r="J89" s="7">
        <f>IF($A89="","",IF($A89='Carteira do Cliente'!$B$4,COUNTIF($A$3:$A89,'Carteira do Cliente'!$B$4),""))</f>
        <v/>
      </c>
    </row>
    <row r="90">
      <c r="A90" s="5" t="n"/>
      <c r="B90" s="12" t="n"/>
      <c r="C90" s="6" t="n"/>
      <c r="D90" s="6" t="n"/>
      <c r="E90" s="13" t="n"/>
      <c r="F90" s="14" t="n"/>
      <c r="G90" s="12" t="n"/>
      <c r="H90" s="15">
        <f>IF($A90="","",IFERROR(VLOOKUP($A90,Clientes!$A$3:$C$1002,2,0),"NÃO CADASTRADO"))</f>
        <v/>
      </c>
      <c r="I90" s="16">
        <f>IF($A90="","",IFERROR(VLOOKUP($A90,Clientes!$A$3:$C$1002,3,0),"NÃO CADASTRADO"))</f>
        <v/>
      </c>
      <c r="J90" s="12">
        <f>IF($A90="","",IF($A90='Carteira do Cliente'!$B$4,COUNTIF($A$3:$A90,'Carteira do Cliente'!$B$4),""))</f>
        <v/>
      </c>
    </row>
    <row r="91">
      <c r="A91" s="3" t="n"/>
      <c r="B91" s="7" t="n"/>
      <c r="C91" s="4" t="n"/>
      <c r="D91" s="4" t="n"/>
      <c r="E91" s="8" t="n"/>
      <c r="F91" s="9" t="n"/>
      <c r="G91" s="7" t="n"/>
      <c r="H91" s="10">
        <f>IF($A91="","",IFERROR(VLOOKUP($A91,Clientes!$A$3:$C$1002,2,0),"NÃO CADASTRADO"))</f>
        <v/>
      </c>
      <c r="I91" s="11">
        <f>IF($A91="","",IFERROR(VLOOKUP($A91,Clientes!$A$3:$C$1002,3,0),"NÃO CADASTRADO"))</f>
        <v/>
      </c>
      <c r="J91" s="7">
        <f>IF($A91="","",IF($A91='Carteira do Cliente'!$B$4,COUNTIF($A$3:$A91,'Carteira do Cliente'!$B$4),""))</f>
        <v/>
      </c>
    </row>
    <row r="92">
      <c r="A92" s="5" t="n"/>
      <c r="B92" s="12" t="n"/>
      <c r="C92" s="6" t="n"/>
      <c r="D92" s="6" t="n"/>
      <c r="E92" s="13" t="n"/>
      <c r="F92" s="14" t="n"/>
      <c r="G92" s="12" t="n"/>
      <c r="H92" s="15">
        <f>IF($A92="","",IFERROR(VLOOKUP($A92,Clientes!$A$3:$C$1002,2,0),"NÃO CADASTRADO"))</f>
        <v/>
      </c>
      <c r="I92" s="16">
        <f>IF($A92="","",IFERROR(VLOOKUP($A92,Clientes!$A$3:$C$1002,3,0),"NÃO CADASTRADO"))</f>
        <v/>
      </c>
      <c r="J92" s="12">
        <f>IF($A92="","",IF($A92='Carteira do Cliente'!$B$4,COUNTIF($A$3:$A92,'Carteira do Cliente'!$B$4),""))</f>
        <v/>
      </c>
    </row>
    <row r="93">
      <c r="A93" s="3" t="n"/>
      <c r="B93" s="7" t="n"/>
      <c r="C93" s="4" t="n"/>
      <c r="D93" s="4" t="n"/>
      <c r="E93" s="8" t="n"/>
      <c r="F93" s="9" t="n"/>
      <c r="G93" s="7" t="n"/>
      <c r="H93" s="10">
        <f>IF($A93="","",IFERROR(VLOOKUP($A93,Clientes!$A$3:$C$1002,2,0),"NÃO CADASTRADO"))</f>
        <v/>
      </c>
      <c r="I93" s="11">
        <f>IF($A93="","",IFERROR(VLOOKUP($A93,Clientes!$A$3:$C$1002,3,0),"NÃO CADASTRADO"))</f>
        <v/>
      </c>
      <c r="J93" s="7">
        <f>IF($A93="","",IF($A93='Carteira do Cliente'!$B$4,COUNTIF($A$3:$A93,'Carteira do Cliente'!$B$4),""))</f>
        <v/>
      </c>
    </row>
    <row r="94">
      <c r="A94" s="5" t="n"/>
      <c r="B94" s="12" t="n"/>
      <c r="C94" s="6" t="n"/>
      <c r="D94" s="6" t="n"/>
      <c r="E94" s="13" t="n"/>
      <c r="F94" s="14" t="n"/>
      <c r="G94" s="12" t="n"/>
      <c r="H94" s="15">
        <f>IF($A94="","",IFERROR(VLOOKUP($A94,Clientes!$A$3:$C$1002,2,0),"NÃO CADASTRADO"))</f>
        <v/>
      </c>
      <c r="I94" s="16">
        <f>IF($A94="","",IFERROR(VLOOKUP($A94,Clientes!$A$3:$C$1002,3,0),"NÃO CADASTRADO"))</f>
        <v/>
      </c>
      <c r="J94" s="12">
        <f>IF($A94="","",IF($A94='Carteira do Cliente'!$B$4,COUNTIF($A$3:$A94,'Carteira do Cliente'!$B$4),""))</f>
        <v/>
      </c>
    </row>
    <row r="95">
      <c r="A95" s="3" t="n"/>
      <c r="B95" s="7" t="n"/>
      <c r="C95" s="4" t="n"/>
      <c r="D95" s="4" t="n"/>
      <c r="E95" s="8" t="n"/>
      <c r="F95" s="9" t="n"/>
      <c r="G95" s="7" t="n"/>
      <c r="H95" s="10">
        <f>IF($A95="","",IFERROR(VLOOKUP($A95,Clientes!$A$3:$C$1002,2,0),"NÃO CADASTRADO"))</f>
        <v/>
      </c>
      <c r="I95" s="11">
        <f>IF($A95="","",IFERROR(VLOOKUP($A95,Clientes!$A$3:$C$1002,3,0),"NÃO CADASTRADO"))</f>
        <v/>
      </c>
      <c r="J95" s="7">
        <f>IF($A95="","",IF($A95='Carteira do Cliente'!$B$4,COUNTIF($A$3:$A95,'Carteira do Cliente'!$B$4),""))</f>
        <v/>
      </c>
    </row>
    <row r="96">
      <c r="A96" s="5" t="n"/>
      <c r="B96" s="12" t="n"/>
      <c r="C96" s="6" t="n"/>
      <c r="D96" s="6" t="n"/>
      <c r="E96" s="13" t="n"/>
      <c r="F96" s="14" t="n"/>
      <c r="G96" s="12" t="n"/>
      <c r="H96" s="15">
        <f>IF($A96="","",IFERROR(VLOOKUP($A96,Clientes!$A$3:$C$1002,2,0),"NÃO CADASTRADO"))</f>
        <v/>
      </c>
      <c r="I96" s="16">
        <f>IF($A96="","",IFERROR(VLOOKUP($A96,Clientes!$A$3:$C$1002,3,0),"NÃO CADASTRADO"))</f>
        <v/>
      </c>
      <c r="J96" s="12">
        <f>IF($A96="","",IF($A96='Carteira do Cliente'!$B$4,COUNTIF($A$3:$A96,'Carteira do Cliente'!$B$4),""))</f>
        <v/>
      </c>
    </row>
    <row r="97">
      <c r="A97" s="3" t="n"/>
      <c r="B97" s="7" t="n"/>
      <c r="C97" s="4" t="n"/>
      <c r="D97" s="4" t="n"/>
      <c r="E97" s="8" t="n"/>
      <c r="F97" s="9" t="n"/>
      <c r="G97" s="7" t="n"/>
      <c r="H97" s="10">
        <f>IF($A97="","",IFERROR(VLOOKUP($A97,Clientes!$A$3:$C$1002,2,0),"NÃO CADASTRADO"))</f>
        <v/>
      </c>
      <c r="I97" s="11">
        <f>IF($A97="","",IFERROR(VLOOKUP($A97,Clientes!$A$3:$C$1002,3,0),"NÃO CADASTRADO"))</f>
        <v/>
      </c>
      <c r="J97" s="7">
        <f>IF($A97="","",IF($A97='Carteira do Cliente'!$B$4,COUNTIF($A$3:$A97,'Carteira do Cliente'!$B$4),""))</f>
        <v/>
      </c>
    </row>
    <row r="98">
      <c r="A98" s="5" t="n"/>
      <c r="B98" s="12" t="n"/>
      <c r="C98" s="6" t="n"/>
      <c r="D98" s="6" t="n"/>
      <c r="E98" s="13" t="n"/>
      <c r="F98" s="14" t="n"/>
      <c r="G98" s="12" t="n"/>
      <c r="H98" s="15">
        <f>IF($A98="","",IFERROR(VLOOKUP($A98,Clientes!$A$3:$C$1002,2,0),"NÃO CADASTRADO"))</f>
        <v/>
      </c>
      <c r="I98" s="16">
        <f>IF($A98="","",IFERROR(VLOOKUP($A98,Clientes!$A$3:$C$1002,3,0),"NÃO CADASTRADO"))</f>
        <v/>
      </c>
      <c r="J98" s="12">
        <f>IF($A98="","",IF($A98='Carteira do Cliente'!$B$4,COUNTIF($A$3:$A98,'Carteira do Cliente'!$B$4),""))</f>
        <v/>
      </c>
    </row>
    <row r="99">
      <c r="A99" s="3" t="n"/>
      <c r="B99" s="7" t="n"/>
      <c r="C99" s="4" t="n"/>
      <c r="D99" s="4" t="n"/>
      <c r="E99" s="8" t="n"/>
      <c r="F99" s="9" t="n"/>
      <c r="G99" s="7" t="n"/>
      <c r="H99" s="10">
        <f>IF($A99="","",IFERROR(VLOOKUP($A99,Clientes!$A$3:$C$1002,2,0),"NÃO CADASTRADO"))</f>
        <v/>
      </c>
      <c r="I99" s="11">
        <f>IF($A99="","",IFERROR(VLOOKUP($A99,Clientes!$A$3:$C$1002,3,0),"NÃO CADASTRADO"))</f>
        <v/>
      </c>
      <c r="J99" s="7">
        <f>IF($A99="","",IF($A99='Carteira do Cliente'!$B$4,COUNTIF($A$3:$A99,'Carteira do Cliente'!$B$4),""))</f>
        <v/>
      </c>
    </row>
    <row r="100">
      <c r="A100" s="5" t="n"/>
      <c r="B100" s="12" t="n"/>
      <c r="C100" s="6" t="n"/>
      <c r="D100" s="6" t="n"/>
      <c r="E100" s="13" t="n"/>
      <c r="F100" s="14" t="n"/>
      <c r="G100" s="12" t="n"/>
      <c r="H100" s="15">
        <f>IF($A100="","",IFERROR(VLOOKUP($A100,Clientes!$A$3:$C$1002,2,0),"NÃO CADASTRADO"))</f>
        <v/>
      </c>
      <c r="I100" s="16">
        <f>IF($A100="","",IFERROR(VLOOKUP($A100,Clientes!$A$3:$C$1002,3,0),"NÃO CADASTRADO"))</f>
        <v/>
      </c>
      <c r="J100" s="12">
        <f>IF($A100="","",IF($A100='Carteira do Cliente'!$B$4,COUNTIF($A$3:$A100,'Carteira do Cliente'!$B$4),""))</f>
        <v/>
      </c>
    </row>
    <row r="101">
      <c r="A101" s="3" t="n"/>
      <c r="B101" s="7" t="n"/>
      <c r="C101" s="4" t="n"/>
      <c r="D101" s="4" t="n"/>
      <c r="E101" s="8" t="n"/>
      <c r="F101" s="9" t="n"/>
      <c r="G101" s="7" t="n"/>
      <c r="H101" s="10">
        <f>IF($A101="","",IFERROR(VLOOKUP($A101,Clientes!$A$3:$C$1002,2,0),"NÃO CADASTRADO"))</f>
        <v/>
      </c>
      <c r="I101" s="11">
        <f>IF($A101="","",IFERROR(VLOOKUP($A101,Clientes!$A$3:$C$1002,3,0),"NÃO CADASTRADO"))</f>
        <v/>
      </c>
      <c r="J101" s="7">
        <f>IF($A101="","",IF($A101='Carteira do Cliente'!$B$4,COUNTIF($A$3:$A101,'Carteira do Cliente'!$B$4),""))</f>
        <v/>
      </c>
    </row>
    <row r="102">
      <c r="A102" s="5" t="n"/>
      <c r="B102" s="12" t="n"/>
      <c r="C102" s="6" t="n"/>
      <c r="D102" s="6" t="n"/>
      <c r="E102" s="13" t="n"/>
      <c r="F102" s="14" t="n"/>
      <c r="G102" s="12" t="n"/>
      <c r="H102" s="15">
        <f>IF($A102="","",IFERROR(VLOOKUP($A102,Clientes!$A$3:$C$1002,2,0),"NÃO CADASTRADO"))</f>
        <v/>
      </c>
      <c r="I102" s="16">
        <f>IF($A102="","",IFERROR(VLOOKUP($A102,Clientes!$A$3:$C$1002,3,0),"NÃO CADASTRADO"))</f>
        <v/>
      </c>
      <c r="J102" s="12">
        <f>IF($A102="","",IF($A102='Carteira do Cliente'!$B$4,COUNTIF($A$3:$A102,'Carteira do Cliente'!$B$4),""))</f>
        <v/>
      </c>
    </row>
    <row r="103">
      <c r="A103" s="3" t="n"/>
      <c r="B103" s="7" t="n"/>
      <c r="C103" s="4" t="n"/>
      <c r="D103" s="4" t="n"/>
      <c r="E103" s="8" t="n"/>
      <c r="F103" s="9" t="n"/>
      <c r="G103" s="7" t="n"/>
      <c r="H103" s="10">
        <f>IF($A103="","",IFERROR(VLOOKUP($A103,Clientes!$A$3:$C$1002,2,0),"NÃO CADASTRADO"))</f>
        <v/>
      </c>
      <c r="I103" s="11">
        <f>IF($A103="","",IFERROR(VLOOKUP($A103,Clientes!$A$3:$C$1002,3,0),"NÃO CADASTRADO"))</f>
        <v/>
      </c>
      <c r="J103" s="7">
        <f>IF($A103="","",IF($A103='Carteira do Cliente'!$B$4,COUNTIF($A$3:$A103,'Carteira do Cliente'!$B$4),""))</f>
        <v/>
      </c>
    </row>
    <row r="104">
      <c r="A104" s="5" t="n"/>
      <c r="B104" s="12" t="n"/>
      <c r="C104" s="6" t="n"/>
      <c r="D104" s="6" t="n"/>
      <c r="E104" s="13" t="n"/>
      <c r="F104" s="14" t="n"/>
      <c r="G104" s="12" t="n"/>
      <c r="H104" s="15">
        <f>IF($A104="","",IFERROR(VLOOKUP($A104,Clientes!$A$3:$C$1002,2,0),"NÃO CADASTRADO"))</f>
        <v/>
      </c>
      <c r="I104" s="16">
        <f>IF($A104="","",IFERROR(VLOOKUP($A104,Clientes!$A$3:$C$1002,3,0),"NÃO CADASTRADO"))</f>
        <v/>
      </c>
      <c r="J104" s="12">
        <f>IF($A104="","",IF($A104='Carteira do Cliente'!$B$4,COUNTIF($A$3:$A104,'Carteira do Cliente'!$B$4),""))</f>
        <v/>
      </c>
    </row>
    <row r="105">
      <c r="A105" s="3" t="n"/>
      <c r="B105" s="7" t="n"/>
      <c r="C105" s="4" t="n"/>
      <c r="D105" s="4" t="n"/>
      <c r="E105" s="8" t="n"/>
      <c r="F105" s="9" t="n"/>
      <c r="G105" s="7" t="n"/>
      <c r="H105" s="10">
        <f>IF($A105="","",IFERROR(VLOOKUP($A105,Clientes!$A$3:$C$1002,2,0),"NÃO CADASTRADO"))</f>
        <v/>
      </c>
      <c r="I105" s="11">
        <f>IF($A105="","",IFERROR(VLOOKUP($A105,Clientes!$A$3:$C$1002,3,0),"NÃO CADASTRADO"))</f>
        <v/>
      </c>
      <c r="J105" s="7">
        <f>IF($A105="","",IF($A105='Carteira do Cliente'!$B$4,COUNTIF($A$3:$A105,'Carteira do Cliente'!$B$4),""))</f>
        <v/>
      </c>
    </row>
    <row r="106">
      <c r="A106" s="5" t="n"/>
      <c r="B106" s="12" t="n"/>
      <c r="C106" s="6" t="n"/>
      <c r="D106" s="6" t="n"/>
      <c r="E106" s="13" t="n"/>
      <c r="F106" s="14" t="n"/>
      <c r="G106" s="12" t="n"/>
      <c r="H106" s="15">
        <f>IF($A106="","",IFERROR(VLOOKUP($A106,Clientes!$A$3:$C$1002,2,0),"NÃO CADASTRADO"))</f>
        <v/>
      </c>
      <c r="I106" s="16">
        <f>IF($A106="","",IFERROR(VLOOKUP($A106,Clientes!$A$3:$C$1002,3,0),"NÃO CADASTRADO"))</f>
        <v/>
      </c>
      <c r="J106" s="12">
        <f>IF($A106="","",IF($A106='Carteira do Cliente'!$B$4,COUNTIF($A$3:$A106,'Carteira do Cliente'!$B$4),""))</f>
        <v/>
      </c>
    </row>
    <row r="107">
      <c r="A107" s="3" t="n"/>
      <c r="B107" s="7" t="n"/>
      <c r="C107" s="4" t="n"/>
      <c r="D107" s="4" t="n"/>
      <c r="E107" s="8" t="n"/>
      <c r="F107" s="9" t="n"/>
      <c r="G107" s="7" t="n"/>
      <c r="H107" s="10">
        <f>IF($A107="","",IFERROR(VLOOKUP($A107,Clientes!$A$3:$C$1002,2,0),"NÃO CADASTRADO"))</f>
        <v/>
      </c>
      <c r="I107" s="11">
        <f>IF($A107="","",IFERROR(VLOOKUP($A107,Clientes!$A$3:$C$1002,3,0),"NÃO CADASTRADO"))</f>
        <v/>
      </c>
      <c r="J107" s="7">
        <f>IF($A107="","",IF($A107='Carteira do Cliente'!$B$4,COUNTIF($A$3:$A107,'Carteira do Cliente'!$B$4),""))</f>
        <v/>
      </c>
    </row>
    <row r="108">
      <c r="A108" s="5" t="n"/>
      <c r="B108" s="12" t="n"/>
      <c r="C108" s="6" t="n"/>
      <c r="D108" s="6" t="n"/>
      <c r="E108" s="13" t="n"/>
      <c r="F108" s="14" t="n"/>
      <c r="G108" s="12" t="n"/>
      <c r="H108" s="15">
        <f>IF($A108="","",IFERROR(VLOOKUP($A108,Clientes!$A$3:$C$1002,2,0),"NÃO CADASTRADO"))</f>
        <v/>
      </c>
      <c r="I108" s="16">
        <f>IF($A108="","",IFERROR(VLOOKUP($A108,Clientes!$A$3:$C$1002,3,0),"NÃO CADASTRADO"))</f>
        <v/>
      </c>
      <c r="J108" s="12">
        <f>IF($A108="","",IF($A108='Carteira do Cliente'!$B$4,COUNTIF($A$3:$A108,'Carteira do Cliente'!$B$4),""))</f>
        <v/>
      </c>
    </row>
    <row r="109">
      <c r="A109" s="3" t="n"/>
      <c r="B109" s="7" t="n"/>
      <c r="C109" s="4" t="n"/>
      <c r="D109" s="4" t="n"/>
      <c r="E109" s="8" t="n"/>
      <c r="F109" s="9" t="n"/>
      <c r="G109" s="7" t="n"/>
      <c r="H109" s="10">
        <f>IF($A109="","",IFERROR(VLOOKUP($A109,Clientes!$A$3:$C$1002,2,0),"NÃO CADASTRADO"))</f>
        <v/>
      </c>
      <c r="I109" s="11">
        <f>IF($A109="","",IFERROR(VLOOKUP($A109,Clientes!$A$3:$C$1002,3,0),"NÃO CADASTRADO"))</f>
        <v/>
      </c>
      <c r="J109" s="7">
        <f>IF($A109="","",IF($A109='Carteira do Cliente'!$B$4,COUNTIF($A$3:$A109,'Carteira do Cliente'!$B$4),""))</f>
        <v/>
      </c>
    </row>
    <row r="110">
      <c r="A110" s="5" t="n"/>
      <c r="B110" s="12" t="n"/>
      <c r="C110" s="6" t="n"/>
      <c r="D110" s="6" t="n"/>
      <c r="E110" s="13" t="n"/>
      <c r="F110" s="14" t="n"/>
      <c r="G110" s="12" t="n"/>
      <c r="H110" s="15">
        <f>IF($A110="","",IFERROR(VLOOKUP($A110,Clientes!$A$3:$C$1002,2,0),"NÃO CADASTRADO"))</f>
        <v/>
      </c>
      <c r="I110" s="16">
        <f>IF($A110="","",IFERROR(VLOOKUP($A110,Clientes!$A$3:$C$1002,3,0),"NÃO CADASTRADO"))</f>
        <v/>
      </c>
      <c r="J110" s="12">
        <f>IF($A110="","",IF($A110='Carteira do Cliente'!$B$4,COUNTIF($A$3:$A110,'Carteira do Cliente'!$B$4),""))</f>
        <v/>
      </c>
    </row>
    <row r="111">
      <c r="A111" s="3" t="n"/>
      <c r="B111" s="7" t="n"/>
      <c r="C111" s="4" t="n"/>
      <c r="D111" s="4" t="n"/>
      <c r="E111" s="8" t="n"/>
      <c r="F111" s="9" t="n"/>
      <c r="G111" s="7" t="n"/>
      <c r="H111" s="10">
        <f>IF($A111="","",IFERROR(VLOOKUP($A111,Clientes!$A$3:$C$1002,2,0),"NÃO CADASTRADO"))</f>
        <v/>
      </c>
      <c r="I111" s="11">
        <f>IF($A111="","",IFERROR(VLOOKUP($A111,Clientes!$A$3:$C$1002,3,0),"NÃO CADASTRADO"))</f>
        <v/>
      </c>
      <c r="J111" s="7">
        <f>IF($A111="","",IF($A111='Carteira do Cliente'!$B$4,COUNTIF($A$3:$A111,'Carteira do Cliente'!$B$4),""))</f>
        <v/>
      </c>
    </row>
    <row r="112">
      <c r="A112" s="5" t="n"/>
      <c r="B112" s="12" t="n"/>
      <c r="C112" s="6" t="n"/>
      <c r="D112" s="6" t="n"/>
      <c r="E112" s="13" t="n"/>
      <c r="F112" s="14" t="n"/>
      <c r="G112" s="12" t="n"/>
      <c r="H112" s="15">
        <f>IF($A112="","",IFERROR(VLOOKUP($A112,Clientes!$A$3:$C$1002,2,0),"NÃO CADASTRADO"))</f>
        <v/>
      </c>
      <c r="I112" s="16">
        <f>IF($A112="","",IFERROR(VLOOKUP($A112,Clientes!$A$3:$C$1002,3,0),"NÃO CADASTRADO"))</f>
        <v/>
      </c>
      <c r="J112" s="12">
        <f>IF($A112="","",IF($A112='Carteira do Cliente'!$B$4,COUNTIF($A$3:$A112,'Carteira do Cliente'!$B$4),""))</f>
        <v/>
      </c>
    </row>
    <row r="113">
      <c r="A113" s="3" t="n"/>
      <c r="B113" s="7" t="n"/>
      <c r="C113" s="4" t="n"/>
      <c r="D113" s="4" t="n"/>
      <c r="E113" s="8" t="n"/>
      <c r="F113" s="9" t="n"/>
      <c r="G113" s="7" t="n"/>
      <c r="H113" s="10">
        <f>IF($A113="","",IFERROR(VLOOKUP($A113,Clientes!$A$3:$C$1002,2,0),"NÃO CADASTRADO"))</f>
        <v/>
      </c>
      <c r="I113" s="11">
        <f>IF($A113="","",IFERROR(VLOOKUP($A113,Clientes!$A$3:$C$1002,3,0),"NÃO CADASTRADO"))</f>
        <v/>
      </c>
      <c r="J113" s="7">
        <f>IF($A113="","",IF($A113='Carteira do Cliente'!$B$4,COUNTIF($A$3:$A113,'Carteira do Cliente'!$B$4),""))</f>
        <v/>
      </c>
    </row>
    <row r="114">
      <c r="A114" s="5" t="n"/>
      <c r="B114" s="12" t="n"/>
      <c r="C114" s="6" t="n"/>
      <c r="D114" s="6" t="n"/>
      <c r="E114" s="13" t="n"/>
      <c r="F114" s="14" t="n"/>
      <c r="G114" s="12" t="n"/>
      <c r="H114" s="15">
        <f>IF($A114="","",IFERROR(VLOOKUP($A114,Clientes!$A$3:$C$1002,2,0),"NÃO CADASTRADO"))</f>
        <v/>
      </c>
      <c r="I114" s="16">
        <f>IF($A114="","",IFERROR(VLOOKUP($A114,Clientes!$A$3:$C$1002,3,0),"NÃO CADASTRADO"))</f>
        <v/>
      </c>
      <c r="J114" s="12">
        <f>IF($A114="","",IF($A114='Carteira do Cliente'!$B$4,COUNTIF($A$3:$A114,'Carteira do Cliente'!$B$4),""))</f>
        <v/>
      </c>
    </row>
    <row r="115">
      <c r="A115" s="3" t="n"/>
      <c r="B115" s="7" t="n"/>
      <c r="C115" s="4" t="n"/>
      <c r="D115" s="4" t="n"/>
      <c r="E115" s="8" t="n"/>
      <c r="F115" s="9" t="n"/>
      <c r="G115" s="7" t="n"/>
      <c r="H115" s="10">
        <f>IF($A115="","",IFERROR(VLOOKUP($A115,Clientes!$A$3:$C$1002,2,0),"NÃO CADASTRADO"))</f>
        <v/>
      </c>
      <c r="I115" s="11">
        <f>IF($A115="","",IFERROR(VLOOKUP($A115,Clientes!$A$3:$C$1002,3,0),"NÃO CADASTRADO"))</f>
        <v/>
      </c>
      <c r="J115" s="7">
        <f>IF($A115="","",IF($A115='Carteira do Cliente'!$B$4,COUNTIF($A$3:$A115,'Carteira do Cliente'!$B$4),""))</f>
        <v/>
      </c>
    </row>
    <row r="116">
      <c r="A116" s="5" t="n"/>
      <c r="B116" s="12" t="n"/>
      <c r="C116" s="6" t="n"/>
      <c r="D116" s="6" t="n"/>
      <c r="E116" s="13" t="n"/>
      <c r="F116" s="14" t="n"/>
      <c r="G116" s="12" t="n"/>
      <c r="H116" s="15">
        <f>IF($A116="","",IFERROR(VLOOKUP($A116,Clientes!$A$3:$C$1002,2,0),"NÃO CADASTRADO"))</f>
        <v/>
      </c>
      <c r="I116" s="16">
        <f>IF($A116="","",IFERROR(VLOOKUP($A116,Clientes!$A$3:$C$1002,3,0),"NÃO CADASTRADO"))</f>
        <v/>
      </c>
      <c r="J116" s="12">
        <f>IF($A116="","",IF($A116='Carteira do Cliente'!$B$4,COUNTIF($A$3:$A116,'Carteira do Cliente'!$B$4),""))</f>
        <v/>
      </c>
    </row>
    <row r="117">
      <c r="A117" s="3" t="n"/>
      <c r="B117" s="7" t="n"/>
      <c r="C117" s="4" t="n"/>
      <c r="D117" s="4" t="n"/>
      <c r="E117" s="8" t="n"/>
      <c r="F117" s="9" t="n"/>
      <c r="G117" s="7" t="n"/>
      <c r="H117" s="10">
        <f>IF($A117="","",IFERROR(VLOOKUP($A117,Clientes!$A$3:$C$1002,2,0),"NÃO CADASTRADO"))</f>
        <v/>
      </c>
      <c r="I117" s="11">
        <f>IF($A117="","",IFERROR(VLOOKUP($A117,Clientes!$A$3:$C$1002,3,0),"NÃO CADASTRADO"))</f>
        <v/>
      </c>
      <c r="J117" s="7">
        <f>IF($A117="","",IF($A117='Carteira do Cliente'!$B$4,COUNTIF($A$3:$A117,'Carteira do Cliente'!$B$4),""))</f>
        <v/>
      </c>
    </row>
    <row r="118">
      <c r="A118" s="5" t="n"/>
      <c r="B118" s="12" t="n"/>
      <c r="C118" s="6" t="n"/>
      <c r="D118" s="6" t="n"/>
      <c r="E118" s="13" t="n"/>
      <c r="F118" s="14" t="n"/>
      <c r="G118" s="12" t="n"/>
      <c r="H118" s="15">
        <f>IF($A118="","",IFERROR(VLOOKUP($A118,Clientes!$A$3:$C$1002,2,0),"NÃO CADASTRADO"))</f>
        <v/>
      </c>
      <c r="I118" s="16">
        <f>IF($A118="","",IFERROR(VLOOKUP($A118,Clientes!$A$3:$C$1002,3,0),"NÃO CADASTRADO"))</f>
        <v/>
      </c>
      <c r="J118" s="12">
        <f>IF($A118="","",IF($A118='Carteira do Cliente'!$B$4,COUNTIF($A$3:$A118,'Carteira do Cliente'!$B$4),""))</f>
        <v/>
      </c>
    </row>
    <row r="119">
      <c r="A119" s="3" t="n"/>
      <c r="B119" s="7" t="n"/>
      <c r="C119" s="4" t="n"/>
      <c r="D119" s="4" t="n"/>
      <c r="E119" s="8" t="n"/>
      <c r="F119" s="9" t="n"/>
      <c r="G119" s="7" t="n"/>
      <c r="H119" s="10">
        <f>IF($A119="","",IFERROR(VLOOKUP($A119,Clientes!$A$3:$C$1002,2,0),"NÃO CADASTRADO"))</f>
        <v/>
      </c>
      <c r="I119" s="11">
        <f>IF($A119="","",IFERROR(VLOOKUP($A119,Clientes!$A$3:$C$1002,3,0),"NÃO CADASTRADO"))</f>
        <v/>
      </c>
      <c r="J119" s="7">
        <f>IF($A119="","",IF($A119='Carteira do Cliente'!$B$4,COUNTIF($A$3:$A119,'Carteira do Cliente'!$B$4),""))</f>
        <v/>
      </c>
    </row>
    <row r="120">
      <c r="A120" s="5" t="n"/>
      <c r="B120" s="12" t="n"/>
      <c r="C120" s="6" t="n"/>
      <c r="D120" s="6" t="n"/>
      <c r="E120" s="13" t="n"/>
      <c r="F120" s="14" t="n"/>
      <c r="G120" s="12" t="n"/>
      <c r="H120" s="15">
        <f>IF($A120="","",IFERROR(VLOOKUP($A120,Clientes!$A$3:$C$1002,2,0),"NÃO CADASTRADO"))</f>
        <v/>
      </c>
      <c r="I120" s="16">
        <f>IF($A120="","",IFERROR(VLOOKUP($A120,Clientes!$A$3:$C$1002,3,0),"NÃO CADASTRADO"))</f>
        <v/>
      </c>
      <c r="J120" s="12">
        <f>IF($A120="","",IF($A120='Carteira do Cliente'!$B$4,COUNTIF($A$3:$A120,'Carteira do Cliente'!$B$4),""))</f>
        <v/>
      </c>
    </row>
    <row r="121">
      <c r="A121" s="3" t="n"/>
      <c r="B121" s="7" t="n"/>
      <c r="C121" s="4" t="n"/>
      <c r="D121" s="4" t="n"/>
      <c r="E121" s="8" t="n"/>
      <c r="F121" s="9" t="n"/>
      <c r="G121" s="7" t="n"/>
      <c r="H121" s="10">
        <f>IF($A121="","",IFERROR(VLOOKUP($A121,Clientes!$A$3:$C$1002,2,0),"NÃO CADASTRADO"))</f>
        <v/>
      </c>
      <c r="I121" s="11">
        <f>IF($A121="","",IFERROR(VLOOKUP($A121,Clientes!$A$3:$C$1002,3,0),"NÃO CADASTRADO"))</f>
        <v/>
      </c>
      <c r="J121" s="7">
        <f>IF($A121="","",IF($A121='Carteira do Cliente'!$B$4,COUNTIF($A$3:$A121,'Carteira do Cliente'!$B$4),""))</f>
        <v/>
      </c>
    </row>
    <row r="122">
      <c r="A122" s="5" t="n"/>
      <c r="B122" s="12" t="n"/>
      <c r="C122" s="6" t="n"/>
      <c r="D122" s="6" t="n"/>
      <c r="E122" s="13" t="n"/>
      <c r="F122" s="14" t="n"/>
      <c r="G122" s="12" t="n"/>
      <c r="H122" s="15">
        <f>IF($A122="","",IFERROR(VLOOKUP($A122,Clientes!$A$3:$C$1002,2,0),"NÃO CADASTRADO"))</f>
        <v/>
      </c>
      <c r="I122" s="16">
        <f>IF($A122="","",IFERROR(VLOOKUP($A122,Clientes!$A$3:$C$1002,3,0),"NÃO CADASTRADO"))</f>
        <v/>
      </c>
      <c r="J122" s="12">
        <f>IF($A122="","",IF($A122='Carteira do Cliente'!$B$4,COUNTIF($A$3:$A122,'Carteira do Cliente'!$B$4),""))</f>
        <v/>
      </c>
    </row>
    <row r="123">
      <c r="A123" s="3" t="n"/>
      <c r="B123" s="7" t="n"/>
      <c r="C123" s="4" t="n"/>
      <c r="D123" s="4" t="n"/>
      <c r="E123" s="8" t="n"/>
      <c r="F123" s="9" t="n"/>
      <c r="G123" s="7" t="n"/>
      <c r="H123" s="10">
        <f>IF($A123="","",IFERROR(VLOOKUP($A123,Clientes!$A$3:$C$1002,2,0),"NÃO CADASTRADO"))</f>
        <v/>
      </c>
      <c r="I123" s="11">
        <f>IF($A123="","",IFERROR(VLOOKUP($A123,Clientes!$A$3:$C$1002,3,0),"NÃO CADASTRADO"))</f>
        <v/>
      </c>
      <c r="J123" s="7">
        <f>IF($A123="","",IF($A123='Carteira do Cliente'!$B$4,COUNTIF($A$3:$A123,'Carteira do Cliente'!$B$4),""))</f>
        <v/>
      </c>
    </row>
    <row r="124">
      <c r="A124" s="5" t="n"/>
      <c r="B124" s="12" t="n"/>
      <c r="C124" s="6" t="n"/>
      <c r="D124" s="6" t="n"/>
      <c r="E124" s="13" t="n"/>
      <c r="F124" s="14" t="n"/>
      <c r="G124" s="12" t="n"/>
      <c r="H124" s="15">
        <f>IF($A124="","",IFERROR(VLOOKUP($A124,Clientes!$A$3:$C$1002,2,0),"NÃO CADASTRADO"))</f>
        <v/>
      </c>
      <c r="I124" s="16">
        <f>IF($A124="","",IFERROR(VLOOKUP($A124,Clientes!$A$3:$C$1002,3,0),"NÃO CADASTRADO"))</f>
        <v/>
      </c>
      <c r="J124" s="12">
        <f>IF($A124="","",IF($A124='Carteira do Cliente'!$B$4,COUNTIF($A$3:$A124,'Carteira do Cliente'!$B$4),""))</f>
        <v/>
      </c>
    </row>
    <row r="125">
      <c r="A125" s="3" t="n"/>
      <c r="B125" s="7" t="n"/>
      <c r="C125" s="4" t="n"/>
      <c r="D125" s="4" t="n"/>
      <c r="E125" s="8" t="n"/>
      <c r="F125" s="9" t="n"/>
      <c r="G125" s="7" t="n"/>
      <c r="H125" s="10">
        <f>IF($A125="","",IFERROR(VLOOKUP($A125,Clientes!$A$3:$C$1002,2,0),"NÃO CADASTRADO"))</f>
        <v/>
      </c>
      <c r="I125" s="11">
        <f>IF($A125="","",IFERROR(VLOOKUP($A125,Clientes!$A$3:$C$1002,3,0),"NÃO CADASTRADO"))</f>
        <v/>
      </c>
      <c r="J125" s="7">
        <f>IF($A125="","",IF($A125='Carteira do Cliente'!$B$4,COUNTIF($A$3:$A125,'Carteira do Cliente'!$B$4),""))</f>
        <v/>
      </c>
    </row>
    <row r="126">
      <c r="A126" s="5" t="n"/>
      <c r="B126" s="12" t="n"/>
      <c r="C126" s="6" t="n"/>
      <c r="D126" s="6" t="n"/>
      <c r="E126" s="13" t="n"/>
      <c r="F126" s="14" t="n"/>
      <c r="G126" s="12" t="n"/>
      <c r="H126" s="15">
        <f>IF($A126="","",IFERROR(VLOOKUP($A126,Clientes!$A$3:$C$1002,2,0),"NÃO CADASTRADO"))</f>
        <v/>
      </c>
      <c r="I126" s="16">
        <f>IF($A126="","",IFERROR(VLOOKUP($A126,Clientes!$A$3:$C$1002,3,0),"NÃO CADASTRADO"))</f>
        <v/>
      </c>
      <c r="J126" s="12">
        <f>IF($A126="","",IF($A126='Carteira do Cliente'!$B$4,COUNTIF($A$3:$A126,'Carteira do Cliente'!$B$4),""))</f>
        <v/>
      </c>
    </row>
    <row r="127">
      <c r="A127" s="3" t="n"/>
      <c r="B127" s="7" t="n"/>
      <c r="C127" s="4" t="n"/>
      <c r="D127" s="4" t="n"/>
      <c r="E127" s="8" t="n"/>
      <c r="F127" s="9" t="n"/>
      <c r="G127" s="7" t="n"/>
      <c r="H127" s="10">
        <f>IF($A127="","",IFERROR(VLOOKUP($A127,Clientes!$A$3:$C$1002,2,0),"NÃO CADASTRADO"))</f>
        <v/>
      </c>
      <c r="I127" s="11">
        <f>IF($A127="","",IFERROR(VLOOKUP($A127,Clientes!$A$3:$C$1002,3,0),"NÃO CADASTRADO"))</f>
        <v/>
      </c>
      <c r="J127" s="7">
        <f>IF($A127="","",IF($A127='Carteira do Cliente'!$B$4,COUNTIF($A$3:$A127,'Carteira do Cliente'!$B$4),""))</f>
        <v/>
      </c>
    </row>
    <row r="128">
      <c r="A128" s="5" t="n"/>
      <c r="B128" s="12" t="n"/>
      <c r="C128" s="6" t="n"/>
      <c r="D128" s="6" t="n"/>
      <c r="E128" s="13" t="n"/>
      <c r="F128" s="14" t="n"/>
      <c r="G128" s="12" t="n"/>
      <c r="H128" s="15">
        <f>IF($A128="","",IFERROR(VLOOKUP($A128,Clientes!$A$3:$C$1002,2,0),"NÃO CADASTRADO"))</f>
        <v/>
      </c>
      <c r="I128" s="16">
        <f>IF($A128="","",IFERROR(VLOOKUP($A128,Clientes!$A$3:$C$1002,3,0),"NÃO CADASTRADO"))</f>
        <v/>
      </c>
      <c r="J128" s="12">
        <f>IF($A128="","",IF($A128='Carteira do Cliente'!$B$4,COUNTIF($A$3:$A128,'Carteira do Cliente'!$B$4),""))</f>
        <v/>
      </c>
    </row>
    <row r="129">
      <c r="A129" s="3" t="n"/>
      <c r="B129" s="7" t="n"/>
      <c r="C129" s="4" t="n"/>
      <c r="D129" s="4" t="n"/>
      <c r="E129" s="8" t="n"/>
      <c r="F129" s="9" t="n"/>
      <c r="G129" s="7" t="n"/>
      <c r="H129" s="10">
        <f>IF($A129="","",IFERROR(VLOOKUP($A129,Clientes!$A$3:$C$1002,2,0),"NÃO CADASTRADO"))</f>
        <v/>
      </c>
      <c r="I129" s="11">
        <f>IF($A129="","",IFERROR(VLOOKUP($A129,Clientes!$A$3:$C$1002,3,0),"NÃO CADASTRADO"))</f>
        <v/>
      </c>
      <c r="J129" s="7">
        <f>IF($A129="","",IF($A129='Carteira do Cliente'!$B$4,COUNTIF($A$3:$A129,'Carteira do Cliente'!$B$4),""))</f>
        <v/>
      </c>
    </row>
    <row r="130">
      <c r="A130" s="5" t="n"/>
      <c r="B130" s="12" t="n"/>
      <c r="C130" s="6" t="n"/>
      <c r="D130" s="6" t="n"/>
      <c r="E130" s="13" t="n"/>
      <c r="F130" s="14" t="n"/>
      <c r="G130" s="12" t="n"/>
      <c r="H130" s="15">
        <f>IF($A130="","",IFERROR(VLOOKUP($A130,Clientes!$A$3:$C$1002,2,0),"NÃO CADASTRADO"))</f>
        <v/>
      </c>
      <c r="I130" s="16">
        <f>IF($A130="","",IFERROR(VLOOKUP($A130,Clientes!$A$3:$C$1002,3,0),"NÃO CADASTRADO"))</f>
        <v/>
      </c>
      <c r="J130" s="12">
        <f>IF($A130="","",IF($A130='Carteira do Cliente'!$B$4,COUNTIF($A$3:$A130,'Carteira do Cliente'!$B$4),""))</f>
        <v/>
      </c>
    </row>
    <row r="131">
      <c r="A131" s="3" t="n"/>
      <c r="B131" s="7" t="n"/>
      <c r="C131" s="4" t="n"/>
      <c r="D131" s="4" t="n"/>
      <c r="E131" s="8" t="n"/>
      <c r="F131" s="9" t="n"/>
      <c r="G131" s="7" t="n"/>
      <c r="H131" s="10">
        <f>IF($A131="","",IFERROR(VLOOKUP($A131,Clientes!$A$3:$C$1002,2,0),"NÃO CADASTRADO"))</f>
        <v/>
      </c>
      <c r="I131" s="11">
        <f>IF($A131="","",IFERROR(VLOOKUP($A131,Clientes!$A$3:$C$1002,3,0),"NÃO CADASTRADO"))</f>
        <v/>
      </c>
      <c r="J131" s="7">
        <f>IF($A131="","",IF($A131='Carteira do Cliente'!$B$4,COUNTIF($A$3:$A131,'Carteira do Cliente'!$B$4),""))</f>
        <v/>
      </c>
    </row>
    <row r="132">
      <c r="A132" s="5" t="n"/>
      <c r="B132" s="12" t="n"/>
      <c r="C132" s="6" t="n"/>
      <c r="D132" s="6" t="n"/>
      <c r="E132" s="13" t="n"/>
      <c r="F132" s="14" t="n"/>
      <c r="G132" s="12" t="n"/>
      <c r="H132" s="15">
        <f>IF($A132="","",IFERROR(VLOOKUP($A132,Clientes!$A$3:$C$1002,2,0),"NÃO CADASTRADO"))</f>
        <v/>
      </c>
      <c r="I132" s="16">
        <f>IF($A132="","",IFERROR(VLOOKUP($A132,Clientes!$A$3:$C$1002,3,0),"NÃO CADASTRADO"))</f>
        <v/>
      </c>
      <c r="J132" s="12">
        <f>IF($A132="","",IF($A132='Carteira do Cliente'!$B$4,COUNTIF($A$3:$A132,'Carteira do Cliente'!$B$4),""))</f>
        <v/>
      </c>
    </row>
    <row r="133">
      <c r="A133" s="3" t="n"/>
      <c r="B133" s="7" t="n"/>
      <c r="C133" s="4" t="n"/>
      <c r="D133" s="4" t="n"/>
      <c r="E133" s="8" t="n"/>
      <c r="F133" s="9" t="n"/>
      <c r="G133" s="7" t="n"/>
      <c r="H133" s="10">
        <f>IF($A133="","",IFERROR(VLOOKUP($A133,Clientes!$A$3:$C$1002,2,0),"NÃO CADASTRADO"))</f>
        <v/>
      </c>
      <c r="I133" s="11">
        <f>IF($A133="","",IFERROR(VLOOKUP($A133,Clientes!$A$3:$C$1002,3,0),"NÃO CADASTRADO"))</f>
        <v/>
      </c>
      <c r="J133" s="7">
        <f>IF($A133="","",IF($A133='Carteira do Cliente'!$B$4,COUNTIF($A$3:$A133,'Carteira do Cliente'!$B$4),""))</f>
        <v/>
      </c>
    </row>
    <row r="134">
      <c r="A134" s="5" t="n"/>
      <c r="B134" s="12" t="n"/>
      <c r="C134" s="6" t="n"/>
      <c r="D134" s="6" t="n"/>
      <c r="E134" s="13" t="n"/>
      <c r="F134" s="14" t="n"/>
      <c r="G134" s="12" t="n"/>
      <c r="H134" s="15">
        <f>IF($A134="","",IFERROR(VLOOKUP($A134,Clientes!$A$3:$C$1002,2,0),"NÃO CADASTRADO"))</f>
        <v/>
      </c>
      <c r="I134" s="16">
        <f>IF($A134="","",IFERROR(VLOOKUP($A134,Clientes!$A$3:$C$1002,3,0),"NÃO CADASTRADO"))</f>
        <v/>
      </c>
      <c r="J134" s="12">
        <f>IF($A134="","",IF($A134='Carteira do Cliente'!$B$4,COUNTIF($A$3:$A134,'Carteira do Cliente'!$B$4),""))</f>
        <v/>
      </c>
    </row>
    <row r="135">
      <c r="A135" s="3" t="n"/>
      <c r="B135" s="7" t="n"/>
      <c r="C135" s="4" t="n"/>
      <c r="D135" s="4" t="n"/>
      <c r="E135" s="8" t="n"/>
      <c r="F135" s="9" t="n"/>
      <c r="G135" s="7" t="n"/>
      <c r="H135" s="10">
        <f>IF($A135="","",IFERROR(VLOOKUP($A135,Clientes!$A$3:$C$1002,2,0),"NÃO CADASTRADO"))</f>
        <v/>
      </c>
      <c r="I135" s="11">
        <f>IF($A135="","",IFERROR(VLOOKUP($A135,Clientes!$A$3:$C$1002,3,0),"NÃO CADASTRADO"))</f>
        <v/>
      </c>
      <c r="J135" s="7">
        <f>IF($A135="","",IF($A135='Carteira do Cliente'!$B$4,COUNTIF($A$3:$A135,'Carteira do Cliente'!$B$4),""))</f>
        <v/>
      </c>
    </row>
    <row r="136">
      <c r="A136" s="5" t="n"/>
      <c r="B136" s="12" t="n"/>
      <c r="C136" s="6" t="n"/>
      <c r="D136" s="6" t="n"/>
      <c r="E136" s="13" t="n"/>
      <c r="F136" s="14" t="n"/>
      <c r="G136" s="12" t="n"/>
      <c r="H136" s="15">
        <f>IF($A136="","",IFERROR(VLOOKUP($A136,Clientes!$A$3:$C$1002,2,0),"NÃO CADASTRADO"))</f>
        <v/>
      </c>
      <c r="I136" s="16">
        <f>IF($A136="","",IFERROR(VLOOKUP($A136,Clientes!$A$3:$C$1002,3,0),"NÃO CADASTRADO"))</f>
        <v/>
      </c>
      <c r="J136" s="12">
        <f>IF($A136="","",IF($A136='Carteira do Cliente'!$B$4,COUNTIF($A$3:$A136,'Carteira do Cliente'!$B$4),""))</f>
        <v/>
      </c>
    </row>
    <row r="137">
      <c r="A137" s="3" t="n"/>
      <c r="B137" s="7" t="n"/>
      <c r="C137" s="4" t="n"/>
      <c r="D137" s="4" t="n"/>
      <c r="E137" s="8" t="n"/>
      <c r="F137" s="9" t="n"/>
      <c r="G137" s="7" t="n"/>
      <c r="H137" s="10">
        <f>IF($A137="","",IFERROR(VLOOKUP($A137,Clientes!$A$3:$C$1002,2,0),"NÃO CADASTRADO"))</f>
        <v/>
      </c>
      <c r="I137" s="11">
        <f>IF($A137="","",IFERROR(VLOOKUP($A137,Clientes!$A$3:$C$1002,3,0),"NÃO CADASTRADO"))</f>
        <v/>
      </c>
      <c r="J137" s="7">
        <f>IF($A137="","",IF($A137='Carteira do Cliente'!$B$4,COUNTIF($A$3:$A137,'Carteira do Cliente'!$B$4),""))</f>
        <v/>
      </c>
    </row>
    <row r="138">
      <c r="A138" s="5" t="n"/>
      <c r="B138" s="12" t="n"/>
      <c r="C138" s="6" t="n"/>
      <c r="D138" s="6" t="n"/>
      <c r="E138" s="13" t="n"/>
      <c r="F138" s="14" t="n"/>
      <c r="G138" s="12" t="n"/>
      <c r="H138" s="15">
        <f>IF($A138="","",IFERROR(VLOOKUP($A138,Clientes!$A$3:$C$1002,2,0),"NÃO CADASTRADO"))</f>
        <v/>
      </c>
      <c r="I138" s="16">
        <f>IF($A138="","",IFERROR(VLOOKUP($A138,Clientes!$A$3:$C$1002,3,0),"NÃO CADASTRADO"))</f>
        <v/>
      </c>
      <c r="J138" s="12">
        <f>IF($A138="","",IF($A138='Carteira do Cliente'!$B$4,COUNTIF($A$3:$A138,'Carteira do Cliente'!$B$4),""))</f>
        <v/>
      </c>
    </row>
    <row r="139">
      <c r="A139" s="3" t="n"/>
      <c r="B139" s="7" t="n"/>
      <c r="C139" s="4" t="n"/>
      <c r="D139" s="4" t="n"/>
      <c r="E139" s="8" t="n"/>
      <c r="F139" s="9" t="n"/>
      <c r="G139" s="7" t="n"/>
      <c r="H139" s="10">
        <f>IF($A139="","",IFERROR(VLOOKUP($A139,Clientes!$A$3:$C$1002,2,0),"NÃO CADASTRADO"))</f>
        <v/>
      </c>
      <c r="I139" s="11">
        <f>IF($A139="","",IFERROR(VLOOKUP($A139,Clientes!$A$3:$C$1002,3,0),"NÃO CADASTRADO"))</f>
        <v/>
      </c>
      <c r="J139" s="7">
        <f>IF($A139="","",IF($A139='Carteira do Cliente'!$B$4,COUNTIF($A$3:$A139,'Carteira do Cliente'!$B$4),""))</f>
        <v/>
      </c>
    </row>
    <row r="140">
      <c r="A140" s="5" t="n"/>
      <c r="B140" s="12" t="n"/>
      <c r="C140" s="6" t="n"/>
      <c r="D140" s="6" t="n"/>
      <c r="E140" s="13" t="n"/>
      <c r="F140" s="14" t="n"/>
      <c r="G140" s="12" t="n"/>
      <c r="H140" s="15">
        <f>IF($A140="","",IFERROR(VLOOKUP($A140,Clientes!$A$3:$C$1002,2,0),"NÃO CADASTRADO"))</f>
        <v/>
      </c>
      <c r="I140" s="16">
        <f>IF($A140="","",IFERROR(VLOOKUP($A140,Clientes!$A$3:$C$1002,3,0),"NÃO CADASTRADO"))</f>
        <v/>
      </c>
      <c r="J140" s="12">
        <f>IF($A140="","",IF($A140='Carteira do Cliente'!$B$4,COUNTIF($A$3:$A140,'Carteira do Cliente'!$B$4),""))</f>
        <v/>
      </c>
    </row>
    <row r="141">
      <c r="A141" s="3" t="n"/>
      <c r="B141" s="7" t="n"/>
      <c r="C141" s="4" t="n"/>
      <c r="D141" s="4" t="n"/>
      <c r="E141" s="8" t="n"/>
      <c r="F141" s="9" t="n"/>
      <c r="G141" s="7" t="n"/>
      <c r="H141" s="10">
        <f>IF($A141="","",IFERROR(VLOOKUP($A141,Clientes!$A$3:$C$1002,2,0),"NÃO CADASTRADO"))</f>
        <v/>
      </c>
      <c r="I141" s="11">
        <f>IF($A141="","",IFERROR(VLOOKUP($A141,Clientes!$A$3:$C$1002,3,0),"NÃO CADASTRADO"))</f>
        <v/>
      </c>
      <c r="J141" s="7">
        <f>IF($A141="","",IF($A141='Carteira do Cliente'!$B$4,COUNTIF($A$3:$A141,'Carteira do Cliente'!$B$4),""))</f>
        <v/>
      </c>
    </row>
    <row r="142">
      <c r="A142" s="5" t="n"/>
      <c r="B142" s="12" t="n"/>
      <c r="C142" s="6" t="n"/>
      <c r="D142" s="6" t="n"/>
      <c r="E142" s="13" t="n"/>
      <c r="F142" s="14" t="n"/>
      <c r="G142" s="12" t="n"/>
      <c r="H142" s="15">
        <f>IF($A142="","",IFERROR(VLOOKUP($A142,Clientes!$A$3:$C$1002,2,0),"NÃO CADASTRADO"))</f>
        <v/>
      </c>
      <c r="I142" s="16">
        <f>IF($A142="","",IFERROR(VLOOKUP($A142,Clientes!$A$3:$C$1002,3,0),"NÃO CADASTRADO"))</f>
        <v/>
      </c>
      <c r="J142" s="12">
        <f>IF($A142="","",IF($A142='Carteira do Cliente'!$B$4,COUNTIF($A$3:$A142,'Carteira do Cliente'!$B$4),""))</f>
        <v/>
      </c>
    </row>
    <row r="143">
      <c r="A143" s="3" t="n"/>
      <c r="B143" s="7" t="n"/>
      <c r="C143" s="4" t="n"/>
      <c r="D143" s="4" t="n"/>
      <c r="E143" s="8" t="n"/>
      <c r="F143" s="9" t="n"/>
      <c r="G143" s="7" t="n"/>
      <c r="H143" s="10">
        <f>IF($A143="","",IFERROR(VLOOKUP($A143,Clientes!$A$3:$C$1002,2,0),"NÃO CADASTRADO"))</f>
        <v/>
      </c>
      <c r="I143" s="11">
        <f>IF($A143="","",IFERROR(VLOOKUP($A143,Clientes!$A$3:$C$1002,3,0),"NÃO CADASTRADO"))</f>
        <v/>
      </c>
      <c r="J143" s="7">
        <f>IF($A143="","",IF($A143='Carteira do Cliente'!$B$4,COUNTIF($A$3:$A143,'Carteira do Cliente'!$B$4),""))</f>
        <v/>
      </c>
    </row>
    <row r="144">
      <c r="A144" s="5" t="n"/>
      <c r="B144" s="12" t="n"/>
      <c r="C144" s="6" t="n"/>
      <c r="D144" s="6" t="n"/>
      <c r="E144" s="13" t="n"/>
      <c r="F144" s="14" t="n"/>
      <c r="G144" s="12" t="n"/>
      <c r="H144" s="15">
        <f>IF($A144="","",IFERROR(VLOOKUP($A144,Clientes!$A$3:$C$1002,2,0),"NÃO CADASTRADO"))</f>
        <v/>
      </c>
      <c r="I144" s="16">
        <f>IF($A144="","",IFERROR(VLOOKUP($A144,Clientes!$A$3:$C$1002,3,0),"NÃO CADASTRADO"))</f>
        <v/>
      </c>
      <c r="J144" s="12">
        <f>IF($A144="","",IF($A144='Carteira do Cliente'!$B$4,COUNTIF($A$3:$A144,'Carteira do Cliente'!$B$4),""))</f>
        <v/>
      </c>
    </row>
    <row r="145">
      <c r="A145" s="3" t="n"/>
      <c r="B145" s="7" t="n"/>
      <c r="C145" s="4" t="n"/>
      <c r="D145" s="4" t="n"/>
      <c r="E145" s="8" t="n"/>
      <c r="F145" s="9" t="n"/>
      <c r="G145" s="7" t="n"/>
      <c r="H145" s="10">
        <f>IF($A145="","",IFERROR(VLOOKUP($A145,Clientes!$A$3:$C$1002,2,0),"NÃO CADASTRADO"))</f>
        <v/>
      </c>
      <c r="I145" s="11">
        <f>IF($A145="","",IFERROR(VLOOKUP($A145,Clientes!$A$3:$C$1002,3,0),"NÃO CADASTRADO"))</f>
        <v/>
      </c>
      <c r="J145" s="7">
        <f>IF($A145="","",IF($A145='Carteira do Cliente'!$B$4,COUNTIF($A$3:$A145,'Carteira do Cliente'!$B$4),""))</f>
        <v/>
      </c>
    </row>
    <row r="146">
      <c r="A146" s="5" t="n"/>
      <c r="B146" s="12" t="n"/>
      <c r="C146" s="6" t="n"/>
      <c r="D146" s="6" t="n"/>
      <c r="E146" s="13" t="n"/>
      <c r="F146" s="14" t="n"/>
      <c r="G146" s="12" t="n"/>
      <c r="H146" s="15">
        <f>IF($A146="","",IFERROR(VLOOKUP($A146,Clientes!$A$3:$C$1002,2,0),"NÃO CADASTRADO"))</f>
        <v/>
      </c>
      <c r="I146" s="16">
        <f>IF($A146="","",IFERROR(VLOOKUP($A146,Clientes!$A$3:$C$1002,3,0),"NÃO CADASTRADO"))</f>
        <v/>
      </c>
      <c r="J146" s="12">
        <f>IF($A146="","",IF($A146='Carteira do Cliente'!$B$4,COUNTIF($A$3:$A146,'Carteira do Cliente'!$B$4),""))</f>
        <v/>
      </c>
    </row>
    <row r="147">
      <c r="A147" s="3" t="n"/>
      <c r="B147" s="7" t="n"/>
      <c r="C147" s="4" t="n"/>
      <c r="D147" s="4" t="n"/>
      <c r="E147" s="8" t="n"/>
      <c r="F147" s="9" t="n"/>
      <c r="G147" s="7" t="n"/>
      <c r="H147" s="10">
        <f>IF($A147="","",IFERROR(VLOOKUP($A147,Clientes!$A$3:$C$1002,2,0),"NÃO CADASTRADO"))</f>
        <v/>
      </c>
      <c r="I147" s="11">
        <f>IF($A147="","",IFERROR(VLOOKUP($A147,Clientes!$A$3:$C$1002,3,0),"NÃO CADASTRADO"))</f>
        <v/>
      </c>
      <c r="J147" s="7">
        <f>IF($A147="","",IF($A147='Carteira do Cliente'!$B$4,COUNTIF($A$3:$A147,'Carteira do Cliente'!$B$4),""))</f>
        <v/>
      </c>
    </row>
    <row r="148">
      <c r="A148" s="5" t="n"/>
      <c r="B148" s="12" t="n"/>
      <c r="C148" s="6" t="n"/>
      <c r="D148" s="6" t="n"/>
      <c r="E148" s="13" t="n"/>
      <c r="F148" s="14" t="n"/>
      <c r="G148" s="12" t="n"/>
      <c r="H148" s="15">
        <f>IF($A148="","",IFERROR(VLOOKUP($A148,Clientes!$A$3:$C$1002,2,0),"NÃO CADASTRADO"))</f>
        <v/>
      </c>
      <c r="I148" s="16">
        <f>IF($A148="","",IFERROR(VLOOKUP($A148,Clientes!$A$3:$C$1002,3,0),"NÃO CADASTRADO"))</f>
        <v/>
      </c>
      <c r="J148" s="12">
        <f>IF($A148="","",IF($A148='Carteira do Cliente'!$B$4,COUNTIF($A$3:$A148,'Carteira do Cliente'!$B$4),""))</f>
        <v/>
      </c>
    </row>
    <row r="149">
      <c r="A149" s="3" t="n"/>
      <c r="B149" s="7" t="n"/>
      <c r="C149" s="4" t="n"/>
      <c r="D149" s="4" t="n"/>
      <c r="E149" s="8" t="n"/>
      <c r="F149" s="9" t="n"/>
      <c r="G149" s="7" t="n"/>
      <c r="H149" s="10">
        <f>IF($A149="","",IFERROR(VLOOKUP($A149,Clientes!$A$3:$C$1002,2,0),"NÃO CADASTRADO"))</f>
        <v/>
      </c>
      <c r="I149" s="11">
        <f>IF($A149="","",IFERROR(VLOOKUP($A149,Clientes!$A$3:$C$1002,3,0),"NÃO CADASTRADO"))</f>
        <v/>
      </c>
      <c r="J149" s="7">
        <f>IF($A149="","",IF($A149='Carteira do Cliente'!$B$4,COUNTIF($A$3:$A149,'Carteira do Cliente'!$B$4),""))</f>
        <v/>
      </c>
    </row>
    <row r="150">
      <c r="A150" s="5" t="n"/>
      <c r="B150" s="12" t="n"/>
      <c r="C150" s="6" t="n"/>
      <c r="D150" s="6" t="n"/>
      <c r="E150" s="13" t="n"/>
      <c r="F150" s="14" t="n"/>
      <c r="G150" s="12" t="n"/>
      <c r="H150" s="15">
        <f>IF($A150="","",IFERROR(VLOOKUP($A150,Clientes!$A$3:$C$1002,2,0),"NÃO CADASTRADO"))</f>
        <v/>
      </c>
      <c r="I150" s="16">
        <f>IF($A150="","",IFERROR(VLOOKUP($A150,Clientes!$A$3:$C$1002,3,0),"NÃO CADASTRADO"))</f>
        <v/>
      </c>
      <c r="J150" s="12">
        <f>IF($A150="","",IF($A150='Carteira do Cliente'!$B$4,COUNTIF($A$3:$A150,'Carteira do Cliente'!$B$4),""))</f>
        <v/>
      </c>
    </row>
    <row r="151">
      <c r="A151" s="3" t="n"/>
      <c r="B151" s="7" t="n"/>
      <c r="C151" s="4" t="n"/>
      <c r="D151" s="4" t="n"/>
      <c r="E151" s="8" t="n"/>
      <c r="F151" s="9" t="n"/>
      <c r="G151" s="7" t="n"/>
      <c r="H151" s="10">
        <f>IF($A151="","",IFERROR(VLOOKUP($A151,Clientes!$A$3:$C$1002,2,0),"NÃO CADASTRADO"))</f>
        <v/>
      </c>
      <c r="I151" s="11">
        <f>IF($A151="","",IFERROR(VLOOKUP($A151,Clientes!$A$3:$C$1002,3,0),"NÃO CADASTRADO"))</f>
        <v/>
      </c>
      <c r="J151" s="7">
        <f>IF($A151="","",IF($A151='Carteira do Cliente'!$B$4,COUNTIF($A$3:$A151,'Carteira do Cliente'!$B$4),""))</f>
        <v/>
      </c>
    </row>
    <row r="152">
      <c r="A152" s="5" t="n"/>
      <c r="B152" s="12" t="n"/>
      <c r="C152" s="6" t="n"/>
      <c r="D152" s="6" t="n"/>
      <c r="E152" s="13" t="n"/>
      <c r="F152" s="14" t="n"/>
      <c r="G152" s="12" t="n"/>
      <c r="H152" s="15">
        <f>IF($A152="","",IFERROR(VLOOKUP($A152,Clientes!$A$3:$C$1002,2,0),"NÃO CADASTRADO"))</f>
        <v/>
      </c>
      <c r="I152" s="16">
        <f>IF($A152="","",IFERROR(VLOOKUP($A152,Clientes!$A$3:$C$1002,3,0),"NÃO CADASTRADO"))</f>
        <v/>
      </c>
      <c r="J152" s="12">
        <f>IF($A152="","",IF($A152='Carteira do Cliente'!$B$4,COUNTIF($A$3:$A152,'Carteira do Cliente'!$B$4),""))</f>
        <v/>
      </c>
    </row>
    <row r="153">
      <c r="A153" s="3" t="n"/>
      <c r="B153" s="7" t="n"/>
      <c r="C153" s="4" t="n"/>
      <c r="D153" s="4" t="n"/>
      <c r="E153" s="8" t="n"/>
      <c r="F153" s="9" t="n"/>
      <c r="G153" s="7" t="n"/>
      <c r="H153" s="10">
        <f>IF($A153="","",IFERROR(VLOOKUP($A153,Clientes!$A$3:$C$1002,2,0),"NÃO CADASTRADO"))</f>
        <v/>
      </c>
      <c r="I153" s="11">
        <f>IF($A153="","",IFERROR(VLOOKUP($A153,Clientes!$A$3:$C$1002,3,0),"NÃO CADASTRADO"))</f>
        <v/>
      </c>
      <c r="J153" s="7">
        <f>IF($A153="","",IF($A153='Carteira do Cliente'!$B$4,COUNTIF($A$3:$A153,'Carteira do Cliente'!$B$4),""))</f>
        <v/>
      </c>
    </row>
    <row r="154">
      <c r="A154" s="5" t="n"/>
      <c r="B154" s="12" t="n"/>
      <c r="C154" s="6" t="n"/>
      <c r="D154" s="6" t="n"/>
      <c r="E154" s="13" t="n"/>
      <c r="F154" s="14" t="n"/>
      <c r="G154" s="12" t="n"/>
      <c r="H154" s="15">
        <f>IF($A154="","",IFERROR(VLOOKUP($A154,Clientes!$A$3:$C$1002,2,0),"NÃO CADASTRADO"))</f>
        <v/>
      </c>
      <c r="I154" s="16">
        <f>IF($A154="","",IFERROR(VLOOKUP($A154,Clientes!$A$3:$C$1002,3,0),"NÃO CADASTRADO"))</f>
        <v/>
      </c>
      <c r="J154" s="12">
        <f>IF($A154="","",IF($A154='Carteira do Cliente'!$B$4,COUNTIF($A$3:$A154,'Carteira do Cliente'!$B$4),""))</f>
        <v/>
      </c>
    </row>
    <row r="155">
      <c r="A155" s="3" t="n"/>
      <c r="B155" s="7" t="n"/>
      <c r="C155" s="4" t="n"/>
      <c r="D155" s="4" t="n"/>
      <c r="E155" s="8" t="n"/>
      <c r="F155" s="9" t="n"/>
      <c r="G155" s="7" t="n"/>
      <c r="H155" s="10">
        <f>IF($A155="","",IFERROR(VLOOKUP($A155,Clientes!$A$3:$C$1002,2,0),"NÃO CADASTRADO"))</f>
        <v/>
      </c>
      <c r="I155" s="11">
        <f>IF($A155="","",IFERROR(VLOOKUP($A155,Clientes!$A$3:$C$1002,3,0),"NÃO CADASTRADO"))</f>
        <v/>
      </c>
      <c r="J155" s="7">
        <f>IF($A155="","",IF($A155='Carteira do Cliente'!$B$4,COUNTIF($A$3:$A155,'Carteira do Cliente'!$B$4),""))</f>
        <v/>
      </c>
    </row>
    <row r="156">
      <c r="A156" s="5" t="n"/>
      <c r="B156" s="12" t="n"/>
      <c r="C156" s="6" t="n"/>
      <c r="D156" s="6" t="n"/>
      <c r="E156" s="13" t="n"/>
      <c r="F156" s="14" t="n"/>
      <c r="G156" s="12" t="n"/>
      <c r="H156" s="15">
        <f>IF($A156="","",IFERROR(VLOOKUP($A156,Clientes!$A$3:$C$1002,2,0),"NÃO CADASTRADO"))</f>
        <v/>
      </c>
      <c r="I156" s="16">
        <f>IF($A156="","",IFERROR(VLOOKUP($A156,Clientes!$A$3:$C$1002,3,0),"NÃO CADASTRADO"))</f>
        <v/>
      </c>
      <c r="J156" s="12">
        <f>IF($A156="","",IF($A156='Carteira do Cliente'!$B$4,COUNTIF($A$3:$A156,'Carteira do Cliente'!$B$4),""))</f>
        <v/>
      </c>
    </row>
    <row r="157">
      <c r="A157" s="3" t="n"/>
      <c r="B157" s="7" t="n"/>
      <c r="C157" s="4" t="n"/>
      <c r="D157" s="4" t="n"/>
      <c r="E157" s="8" t="n"/>
      <c r="F157" s="9" t="n"/>
      <c r="G157" s="7" t="n"/>
      <c r="H157" s="10">
        <f>IF($A157="","",IFERROR(VLOOKUP($A157,Clientes!$A$3:$C$1002,2,0),"NÃO CADASTRADO"))</f>
        <v/>
      </c>
      <c r="I157" s="11">
        <f>IF($A157="","",IFERROR(VLOOKUP($A157,Clientes!$A$3:$C$1002,3,0),"NÃO CADASTRADO"))</f>
        <v/>
      </c>
      <c r="J157" s="7">
        <f>IF($A157="","",IF($A157='Carteira do Cliente'!$B$4,COUNTIF($A$3:$A157,'Carteira do Cliente'!$B$4),""))</f>
        <v/>
      </c>
    </row>
    <row r="158">
      <c r="A158" s="5" t="n"/>
      <c r="B158" s="12" t="n"/>
      <c r="C158" s="6" t="n"/>
      <c r="D158" s="6" t="n"/>
      <c r="E158" s="13" t="n"/>
      <c r="F158" s="14" t="n"/>
      <c r="G158" s="12" t="n"/>
      <c r="H158" s="15">
        <f>IF($A158="","",IFERROR(VLOOKUP($A158,Clientes!$A$3:$C$1002,2,0),"NÃO CADASTRADO"))</f>
        <v/>
      </c>
      <c r="I158" s="16">
        <f>IF($A158="","",IFERROR(VLOOKUP($A158,Clientes!$A$3:$C$1002,3,0),"NÃO CADASTRADO"))</f>
        <v/>
      </c>
      <c r="J158" s="12">
        <f>IF($A158="","",IF($A158='Carteira do Cliente'!$B$4,COUNTIF($A$3:$A158,'Carteira do Cliente'!$B$4),""))</f>
        <v/>
      </c>
    </row>
    <row r="159">
      <c r="A159" s="3" t="n"/>
      <c r="B159" s="7" t="n"/>
      <c r="C159" s="4" t="n"/>
      <c r="D159" s="4" t="n"/>
      <c r="E159" s="8" t="n"/>
      <c r="F159" s="9" t="n"/>
      <c r="G159" s="7" t="n"/>
      <c r="H159" s="10">
        <f>IF($A159="","",IFERROR(VLOOKUP($A159,Clientes!$A$3:$C$1002,2,0),"NÃO CADASTRADO"))</f>
        <v/>
      </c>
      <c r="I159" s="11">
        <f>IF($A159="","",IFERROR(VLOOKUP($A159,Clientes!$A$3:$C$1002,3,0),"NÃO CADASTRADO"))</f>
        <v/>
      </c>
      <c r="J159" s="7">
        <f>IF($A159="","",IF($A159='Carteira do Cliente'!$B$4,COUNTIF($A$3:$A159,'Carteira do Cliente'!$B$4),""))</f>
        <v/>
      </c>
    </row>
    <row r="160">
      <c r="A160" s="5" t="n"/>
      <c r="B160" s="12" t="n"/>
      <c r="C160" s="6" t="n"/>
      <c r="D160" s="6" t="n"/>
      <c r="E160" s="13" t="n"/>
      <c r="F160" s="14" t="n"/>
      <c r="G160" s="12" t="n"/>
      <c r="H160" s="15">
        <f>IF($A160="","",IFERROR(VLOOKUP($A160,Clientes!$A$3:$C$1002,2,0),"NÃO CADASTRADO"))</f>
        <v/>
      </c>
      <c r="I160" s="16">
        <f>IF($A160="","",IFERROR(VLOOKUP($A160,Clientes!$A$3:$C$1002,3,0),"NÃO CADASTRADO"))</f>
        <v/>
      </c>
      <c r="J160" s="12">
        <f>IF($A160="","",IF($A160='Carteira do Cliente'!$B$4,COUNTIF($A$3:$A160,'Carteira do Cliente'!$B$4),""))</f>
        <v/>
      </c>
    </row>
    <row r="161">
      <c r="A161" s="3" t="n"/>
      <c r="B161" s="7" t="n"/>
      <c r="C161" s="4" t="n"/>
      <c r="D161" s="4" t="n"/>
      <c r="E161" s="8" t="n"/>
      <c r="F161" s="9" t="n"/>
      <c r="G161" s="7" t="n"/>
      <c r="H161" s="10">
        <f>IF($A161="","",IFERROR(VLOOKUP($A161,Clientes!$A$3:$C$1002,2,0),"NÃO CADASTRADO"))</f>
        <v/>
      </c>
      <c r="I161" s="11">
        <f>IF($A161="","",IFERROR(VLOOKUP($A161,Clientes!$A$3:$C$1002,3,0),"NÃO CADASTRADO"))</f>
        <v/>
      </c>
      <c r="J161" s="7">
        <f>IF($A161="","",IF($A161='Carteira do Cliente'!$B$4,COUNTIF($A$3:$A161,'Carteira do Cliente'!$B$4),""))</f>
        <v/>
      </c>
    </row>
    <row r="162">
      <c r="A162" s="5" t="n"/>
      <c r="B162" s="12" t="n"/>
      <c r="C162" s="6" t="n"/>
      <c r="D162" s="6" t="n"/>
      <c r="E162" s="13" t="n"/>
      <c r="F162" s="14" t="n"/>
      <c r="G162" s="12" t="n"/>
      <c r="H162" s="15">
        <f>IF($A162="","",IFERROR(VLOOKUP($A162,Clientes!$A$3:$C$1002,2,0),"NÃO CADASTRADO"))</f>
        <v/>
      </c>
      <c r="I162" s="16">
        <f>IF($A162="","",IFERROR(VLOOKUP($A162,Clientes!$A$3:$C$1002,3,0),"NÃO CADASTRADO"))</f>
        <v/>
      </c>
      <c r="J162" s="12">
        <f>IF($A162="","",IF($A162='Carteira do Cliente'!$B$4,COUNTIF($A$3:$A162,'Carteira do Cliente'!$B$4),""))</f>
        <v/>
      </c>
    </row>
    <row r="163">
      <c r="A163" s="3" t="n"/>
      <c r="B163" s="7" t="n"/>
      <c r="C163" s="4" t="n"/>
      <c r="D163" s="4" t="n"/>
      <c r="E163" s="8" t="n"/>
      <c r="F163" s="9" t="n"/>
      <c r="G163" s="7" t="n"/>
      <c r="H163" s="10">
        <f>IF($A163="","",IFERROR(VLOOKUP($A163,Clientes!$A$3:$C$1002,2,0),"NÃO CADASTRADO"))</f>
        <v/>
      </c>
      <c r="I163" s="11">
        <f>IF($A163="","",IFERROR(VLOOKUP($A163,Clientes!$A$3:$C$1002,3,0),"NÃO CADASTRADO"))</f>
        <v/>
      </c>
      <c r="J163" s="7">
        <f>IF($A163="","",IF($A163='Carteira do Cliente'!$B$4,COUNTIF($A$3:$A163,'Carteira do Cliente'!$B$4),""))</f>
        <v/>
      </c>
    </row>
    <row r="164">
      <c r="A164" s="5" t="n"/>
      <c r="B164" s="12" t="n"/>
      <c r="C164" s="6" t="n"/>
      <c r="D164" s="6" t="n"/>
      <c r="E164" s="13" t="n"/>
      <c r="F164" s="14" t="n"/>
      <c r="G164" s="12" t="n"/>
      <c r="H164" s="15">
        <f>IF($A164="","",IFERROR(VLOOKUP($A164,Clientes!$A$3:$C$1002,2,0),"NÃO CADASTRADO"))</f>
        <v/>
      </c>
      <c r="I164" s="16">
        <f>IF($A164="","",IFERROR(VLOOKUP($A164,Clientes!$A$3:$C$1002,3,0),"NÃO CADASTRADO"))</f>
        <v/>
      </c>
      <c r="J164" s="12">
        <f>IF($A164="","",IF($A164='Carteira do Cliente'!$B$4,COUNTIF($A$3:$A164,'Carteira do Cliente'!$B$4),""))</f>
        <v/>
      </c>
    </row>
    <row r="165">
      <c r="A165" s="3" t="n"/>
      <c r="B165" s="7" t="n"/>
      <c r="C165" s="4" t="n"/>
      <c r="D165" s="4" t="n"/>
      <c r="E165" s="8" t="n"/>
      <c r="F165" s="9" t="n"/>
      <c r="G165" s="7" t="n"/>
      <c r="H165" s="10">
        <f>IF($A165="","",IFERROR(VLOOKUP($A165,Clientes!$A$3:$C$1002,2,0),"NÃO CADASTRADO"))</f>
        <v/>
      </c>
      <c r="I165" s="11">
        <f>IF($A165="","",IFERROR(VLOOKUP($A165,Clientes!$A$3:$C$1002,3,0),"NÃO CADASTRADO"))</f>
        <v/>
      </c>
      <c r="J165" s="7">
        <f>IF($A165="","",IF($A165='Carteira do Cliente'!$B$4,COUNTIF($A$3:$A165,'Carteira do Cliente'!$B$4),""))</f>
        <v/>
      </c>
    </row>
    <row r="166">
      <c r="A166" s="5" t="n"/>
      <c r="B166" s="12" t="n"/>
      <c r="C166" s="6" t="n"/>
      <c r="D166" s="6" t="n"/>
      <c r="E166" s="13" t="n"/>
      <c r="F166" s="14" t="n"/>
      <c r="G166" s="12" t="n"/>
      <c r="H166" s="15">
        <f>IF($A166="","",IFERROR(VLOOKUP($A166,Clientes!$A$3:$C$1002,2,0),"NÃO CADASTRADO"))</f>
        <v/>
      </c>
      <c r="I166" s="16">
        <f>IF($A166="","",IFERROR(VLOOKUP($A166,Clientes!$A$3:$C$1002,3,0),"NÃO CADASTRADO"))</f>
        <v/>
      </c>
      <c r="J166" s="12">
        <f>IF($A166="","",IF($A166='Carteira do Cliente'!$B$4,COUNTIF($A$3:$A166,'Carteira do Cliente'!$B$4),""))</f>
        <v/>
      </c>
    </row>
    <row r="167">
      <c r="A167" s="3" t="n"/>
      <c r="B167" s="7" t="n"/>
      <c r="C167" s="4" t="n"/>
      <c r="D167" s="4" t="n"/>
      <c r="E167" s="8" t="n"/>
      <c r="F167" s="9" t="n"/>
      <c r="G167" s="7" t="n"/>
      <c r="H167" s="10">
        <f>IF($A167="","",IFERROR(VLOOKUP($A167,Clientes!$A$3:$C$1002,2,0),"NÃO CADASTRADO"))</f>
        <v/>
      </c>
      <c r="I167" s="11">
        <f>IF($A167="","",IFERROR(VLOOKUP($A167,Clientes!$A$3:$C$1002,3,0),"NÃO CADASTRADO"))</f>
        <v/>
      </c>
      <c r="J167" s="7">
        <f>IF($A167="","",IF($A167='Carteira do Cliente'!$B$4,COUNTIF($A$3:$A167,'Carteira do Cliente'!$B$4),""))</f>
        <v/>
      </c>
    </row>
    <row r="168">
      <c r="A168" s="5" t="n"/>
      <c r="B168" s="12" t="n"/>
      <c r="C168" s="6" t="n"/>
      <c r="D168" s="6" t="n"/>
      <c r="E168" s="13" t="n"/>
      <c r="F168" s="14" t="n"/>
      <c r="G168" s="12" t="n"/>
      <c r="H168" s="15">
        <f>IF($A168="","",IFERROR(VLOOKUP($A168,Clientes!$A$3:$C$1002,2,0),"NÃO CADASTRADO"))</f>
        <v/>
      </c>
      <c r="I168" s="16">
        <f>IF($A168="","",IFERROR(VLOOKUP($A168,Clientes!$A$3:$C$1002,3,0),"NÃO CADASTRADO"))</f>
        <v/>
      </c>
      <c r="J168" s="12">
        <f>IF($A168="","",IF($A168='Carteira do Cliente'!$B$4,COUNTIF($A$3:$A168,'Carteira do Cliente'!$B$4),""))</f>
        <v/>
      </c>
    </row>
    <row r="169">
      <c r="A169" s="3" t="n"/>
      <c r="B169" s="7" t="n"/>
      <c r="C169" s="4" t="n"/>
      <c r="D169" s="4" t="n"/>
      <c r="E169" s="8" t="n"/>
      <c r="F169" s="9" t="n"/>
      <c r="G169" s="7" t="n"/>
      <c r="H169" s="10">
        <f>IF($A169="","",IFERROR(VLOOKUP($A169,Clientes!$A$3:$C$1002,2,0),"NÃO CADASTRADO"))</f>
        <v/>
      </c>
      <c r="I169" s="11">
        <f>IF($A169="","",IFERROR(VLOOKUP($A169,Clientes!$A$3:$C$1002,3,0),"NÃO CADASTRADO"))</f>
        <v/>
      </c>
      <c r="J169" s="7">
        <f>IF($A169="","",IF($A169='Carteira do Cliente'!$B$4,COUNTIF($A$3:$A169,'Carteira do Cliente'!$B$4),""))</f>
        <v/>
      </c>
    </row>
    <row r="170">
      <c r="A170" s="5" t="n"/>
      <c r="B170" s="12" t="n"/>
      <c r="C170" s="6" t="n"/>
      <c r="D170" s="6" t="n"/>
      <c r="E170" s="13" t="n"/>
      <c r="F170" s="14" t="n"/>
      <c r="G170" s="12" t="n"/>
      <c r="H170" s="15">
        <f>IF($A170="","",IFERROR(VLOOKUP($A170,Clientes!$A$3:$C$1002,2,0),"NÃO CADASTRADO"))</f>
        <v/>
      </c>
      <c r="I170" s="16">
        <f>IF($A170="","",IFERROR(VLOOKUP($A170,Clientes!$A$3:$C$1002,3,0),"NÃO CADASTRADO"))</f>
        <v/>
      </c>
      <c r="J170" s="12">
        <f>IF($A170="","",IF($A170='Carteira do Cliente'!$B$4,COUNTIF($A$3:$A170,'Carteira do Cliente'!$B$4),""))</f>
        <v/>
      </c>
    </row>
    <row r="171">
      <c r="A171" s="3" t="n"/>
      <c r="B171" s="7" t="n"/>
      <c r="C171" s="4" t="n"/>
      <c r="D171" s="4" t="n"/>
      <c r="E171" s="8" t="n"/>
      <c r="F171" s="9" t="n"/>
      <c r="G171" s="7" t="n"/>
      <c r="H171" s="10">
        <f>IF($A171="","",IFERROR(VLOOKUP($A171,Clientes!$A$3:$C$1002,2,0),"NÃO CADASTRADO"))</f>
        <v/>
      </c>
      <c r="I171" s="11">
        <f>IF($A171="","",IFERROR(VLOOKUP($A171,Clientes!$A$3:$C$1002,3,0),"NÃO CADASTRADO"))</f>
        <v/>
      </c>
      <c r="J171" s="7">
        <f>IF($A171="","",IF($A171='Carteira do Cliente'!$B$4,COUNTIF($A$3:$A171,'Carteira do Cliente'!$B$4),""))</f>
        <v/>
      </c>
    </row>
    <row r="172">
      <c r="A172" s="5" t="n"/>
      <c r="B172" s="12" t="n"/>
      <c r="C172" s="6" t="n"/>
      <c r="D172" s="6" t="n"/>
      <c r="E172" s="13" t="n"/>
      <c r="F172" s="14" t="n"/>
      <c r="G172" s="12" t="n"/>
      <c r="H172" s="15">
        <f>IF($A172="","",IFERROR(VLOOKUP($A172,Clientes!$A$3:$C$1002,2,0),"NÃO CADASTRADO"))</f>
        <v/>
      </c>
      <c r="I172" s="16">
        <f>IF($A172="","",IFERROR(VLOOKUP($A172,Clientes!$A$3:$C$1002,3,0),"NÃO CADASTRADO"))</f>
        <v/>
      </c>
      <c r="J172" s="12">
        <f>IF($A172="","",IF($A172='Carteira do Cliente'!$B$4,COUNTIF($A$3:$A172,'Carteira do Cliente'!$B$4),""))</f>
        <v/>
      </c>
    </row>
    <row r="173">
      <c r="A173" s="3" t="n"/>
      <c r="B173" s="7" t="n"/>
      <c r="C173" s="4" t="n"/>
      <c r="D173" s="4" t="n"/>
      <c r="E173" s="8" t="n"/>
      <c r="F173" s="9" t="n"/>
      <c r="G173" s="7" t="n"/>
      <c r="H173" s="10">
        <f>IF($A173="","",IFERROR(VLOOKUP($A173,Clientes!$A$3:$C$1002,2,0),"NÃO CADASTRADO"))</f>
        <v/>
      </c>
      <c r="I173" s="11">
        <f>IF($A173="","",IFERROR(VLOOKUP($A173,Clientes!$A$3:$C$1002,3,0),"NÃO CADASTRADO"))</f>
        <v/>
      </c>
      <c r="J173" s="7">
        <f>IF($A173="","",IF($A173='Carteira do Cliente'!$B$4,COUNTIF($A$3:$A173,'Carteira do Cliente'!$B$4),""))</f>
        <v/>
      </c>
    </row>
    <row r="174">
      <c r="A174" s="5" t="n"/>
      <c r="B174" s="12" t="n"/>
      <c r="C174" s="6" t="n"/>
      <c r="D174" s="6" t="n"/>
      <c r="E174" s="13" t="n"/>
      <c r="F174" s="14" t="n"/>
      <c r="G174" s="12" t="n"/>
      <c r="H174" s="15">
        <f>IF($A174="","",IFERROR(VLOOKUP($A174,Clientes!$A$3:$C$1002,2,0),"NÃO CADASTRADO"))</f>
        <v/>
      </c>
      <c r="I174" s="16">
        <f>IF($A174="","",IFERROR(VLOOKUP($A174,Clientes!$A$3:$C$1002,3,0),"NÃO CADASTRADO"))</f>
        <v/>
      </c>
      <c r="J174" s="12">
        <f>IF($A174="","",IF($A174='Carteira do Cliente'!$B$4,COUNTIF($A$3:$A174,'Carteira do Cliente'!$B$4),""))</f>
        <v/>
      </c>
    </row>
    <row r="175">
      <c r="A175" s="3" t="n"/>
      <c r="B175" s="7" t="n"/>
      <c r="C175" s="4" t="n"/>
      <c r="D175" s="4" t="n"/>
      <c r="E175" s="8" t="n"/>
      <c r="F175" s="9" t="n"/>
      <c r="G175" s="7" t="n"/>
      <c r="H175" s="10">
        <f>IF($A175="","",IFERROR(VLOOKUP($A175,Clientes!$A$3:$C$1002,2,0),"NÃO CADASTRADO"))</f>
        <v/>
      </c>
      <c r="I175" s="11">
        <f>IF($A175="","",IFERROR(VLOOKUP($A175,Clientes!$A$3:$C$1002,3,0),"NÃO CADASTRADO"))</f>
        <v/>
      </c>
      <c r="J175" s="7">
        <f>IF($A175="","",IF($A175='Carteira do Cliente'!$B$4,COUNTIF($A$3:$A175,'Carteira do Cliente'!$B$4),""))</f>
        <v/>
      </c>
    </row>
    <row r="176">
      <c r="A176" s="5" t="n"/>
      <c r="B176" s="12" t="n"/>
      <c r="C176" s="6" t="n"/>
      <c r="D176" s="6" t="n"/>
      <c r="E176" s="13" t="n"/>
      <c r="F176" s="14" t="n"/>
      <c r="G176" s="12" t="n"/>
      <c r="H176" s="15">
        <f>IF($A176="","",IFERROR(VLOOKUP($A176,Clientes!$A$3:$C$1002,2,0),"NÃO CADASTRADO"))</f>
        <v/>
      </c>
      <c r="I176" s="16">
        <f>IF($A176="","",IFERROR(VLOOKUP($A176,Clientes!$A$3:$C$1002,3,0),"NÃO CADASTRADO"))</f>
        <v/>
      </c>
      <c r="J176" s="12">
        <f>IF($A176="","",IF($A176='Carteira do Cliente'!$B$4,COUNTIF($A$3:$A176,'Carteira do Cliente'!$B$4),""))</f>
        <v/>
      </c>
    </row>
    <row r="177">
      <c r="A177" s="3" t="n"/>
      <c r="B177" s="7" t="n"/>
      <c r="C177" s="4" t="n"/>
      <c r="D177" s="4" t="n"/>
      <c r="E177" s="8" t="n"/>
      <c r="F177" s="9" t="n"/>
      <c r="G177" s="7" t="n"/>
      <c r="H177" s="10">
        <f>IF($A177="","",IFERROR(VLOOKUP($A177,Clientes!$A$3:$C$1002,2,0),"NÃO CADASTRADO"))</f>
        <v/>
      </c>
      <c r="I177" s="11">
        <f>IF($A177="","",IFERROR(VLOOKUP($A177,Clientes!$A$3:$C$1002,3,0),"NÃO CADASTRADO"))</f>
        <v/>
      </c>
      <c r="J177" s="7">
        <f>IF($A177="","",IF($A177='Carteira do Cliente'!$B$4,COUNTIF($A$3:$A177,'Carteira do Cliente'!$B$4),""))</f>
        <v/>
      </c>
    </row>
    <row r="178">
      <c r="A178" s="5" t="n"/>
      <c r="B178" s="12" t="n"/>
      <c r="C178" s="6" t="n"/>
      <c r="D178" s="6" t="n"/>
      <c r="E178" s="13" t="n"/>
      <c r="F178" s="14" t="n"/>
      <c r="G178" s="12" t="n"/>
      <c r="H178" s="15">
        <f>IF($A178="","",IFERROR(VLOOKUP($A178,Clientes!$A$3:$C$1002,2,0),"NÃO CADASTRADO"))</f>
        <v/>
      </c>
      <c r="I178" s="16">
        <f>IF($A178="","",IFERROR(VLOOKUP($A178,Clientes!$A$3:$C$1002,3,0),"NÃO CADASTRADO"))</f>
        <v/>
      </c>
      <c r="J178" s="12">
        <f>IF($A178="","",IF($A178='Carteira do Cliente'!$B$4,COUNTIF($A$3:$A178,'Carteira do Cliente'!$B$4),""))</f>
        <v/>
      </c>
    </row>
    <row r="179">
      <c r="A179" s="3" t="n"/>
      <c r="B179" s="7" t="n"/>
      <c r="C179" s="4" t="n"/>
      <c r="D179" s="4" t="n"/>
      <c r="E179" s="8" t="n"/>
      <c r="F179" s="9" t="n"/>
      <c r="G179" s="7" t="n"/>
      <c r="H179" s="10">
        <f>IF($A179="","",IFERROR(VLOOKUP($A179,Clientes!$A$3:$C$1002,2,0),"NÃO CADASTRADO"))</f>
        <v/>
      </c>
      <c r="I179" s="11">
        <f>IF($A179="","",IFERROR(VLOOKUP($A179,Clientes!$A$3:$C$1002,3,0),"NÃO CADASTRADO"))</f>
        <v/>
      </c>
      <c r="J179" s="7">
        <f>IF($A179="","",IF($A179='Carteira do Cliente'!$B$4,COUNTIF($A$3:$A179,'Carteira do Cliente'!$B$4),""))</f>
        <v/>
      </c>
    </row>
    <row r="180">
      <c r="A180" s="5" t="n"/>
      <c r="B180" s="12" t="n"/>
      <c r="C180" s="6" t="n"/>
      <c r="D180" s="6" t="n"/>
      <c r="E180" s="13" t="n"/>
      <c r="F180" s="14" t="n"/>
      <c r="G180" s="12" t="n"/>
      <c r="H180" s="15">
        <f>IF($A180="","",IFERROR(VLOOKUP($A180,Clientes!$A$3:$C$1002,2,0),"NÃO CADASTRADO"))</f>
        <v/>
      </c>
      <c r="I180" s="16">
        <f>IF($A180="","",IFERROR(VLOOKUP($A180,Clientes!$A$3:$C$1002,3,0),"NÃO CADASTRADO"))</f>
        <v/>
      </c>
      <c r="J180" s="12">
        <f>IF($A180="","",IF($A180='Carteira do Cliente'!$B$4,COUNTIF($A$3:$A180,'Carteira do Cliente'!$B$4),""))</f>
        <v/>
      </c>
    </row>
    <row r="181">
      <c r="A181" s="3" t="n"/>
      <c r="B181" s="7" t="n"/>
      <c r="C181" s="4" t="n"/>
      <c r="D181" s="4" t="n"/>
      <c r="E181" s="8" t="n"/>
      <c r="F181" s="9" t="n"/>
      <c r="G181" s="7" t="n"/>
      <c r="H181" s="10">
        <f>IF($A181="","",IFERROR(VLOOKUP($A181,Clientes!$A$3:$C$1002,2,0),"NÃO CADASTRADO"))</f>
        <v/>
      </c>
      <c r="I181" s="11">
        <f>IF($A181="","",IFERROR(VLOOKUP($A181,Clientes!$A$3:$C$1002,3,0),"NÃO CADASTRADO"))</f>
        <v/>
      </c>
      <c r="J181" s="7">
        <f>IF($A181="","",IF($A181='Carteira do Cliente'!$B$4,COUNTIF($A$3:$A181,'Carteira do Cliente'!$B$4),""))</f>
        <v/>
      </c>
    </row>
    <row r="182">
      <c r="A182" s="5" t="n"/>
      <c r="B182" s="12" t="n"/>
      <c r="C182" s="6" t="n"/>
      <c r="D182" s="6" t="n"/>
      <c r="E182" s="13" t="n"/>
      <c r="F182" s="14" t="n"/>
      <c r="G182" s="12" t="n"/>
      <c r="H182" s="15">
        <f>IF($A182="","",IFERROR(VLOOKUP($A182,Clientes!$A$3:$C$1002,2,0),"NÃO CADASTRADO"))</f>
        <v/>
      </c>
      <c r="I182" s="16">
        <f>IF($A182="","",IFERROR(VLOOKUP($A182,Clientes!$A$3:$C$1002,3,0),"NÃO CADASTRADO"))</f>
        <v/>
      </c>
      <c r="J182" s="12">
        <f>IF($A182="","",IF($A182='Carteira do Cliente'!$B$4,COUNTIF($A$3:$A182,'Carteira do Cliente'!$B$4),""))</f>
        <v/>
      </c>
    </row>
    <row r="183">
      <c r="A183" s="3" t="n"/>
      <c r="B183" s="7" t="n"/>
      <c r="C183" s="4" t="n"/>
      <c r="D183" s="4" t="n"/>
      <c r="E183" s="8" t="n"/>
      <c r="F183" s="9" t="n"/>
      <c r="G183" s="7" t="n"/>
      <c r="H183" s="10">
        <f>IF($A183="","",IFERROR(VLOOKUP($A183,Clientes!$A$3:$C$1002,2,0),"NÃO CADASTRADO"))</f>
        <v/>
      </c>
      <c r="I183" s="11">
        <f>IF($A183="","",IFERROR(VLOOKUP($A183,Clientes!$A$3:$C$1002,3,0),"NÃO CADASTRADO"))</f>
        <v/>
      </c>
      <c r="J183" s="7">
        <f>IF($A183="","",IF($A183='Carteira do Cliente'!$B$4,COUNTIF($A$3:$A183,'Carteira do Cliente'!$B$4),""))</f>
        <v/>
      </c>
    </row>
    <row r="184">
      <c r="A184" s="5" t="n"/>
      <c r="B184" s="12" t="n"/>
      <c r="C184" s="6" t="n"/>
      <c r="D184" s="6" t="n"/>
      <c r="E184" s="13" t="n"/>
      <c r="F184" s="14" t="n"/>
      <c r="G184" s="12" t="n"/>
      <c r="H184" s="15">
        <f>IF($A184="","",IFERROR(VLOOKUP($A184,Clientes!$A$3:$C$1002,2,0),"NÃO CADASTRADO"))</f>
        <v/>
      </c>
      <c r="I184" s="16">
        <f>IF($A184="","",IFERROR(VLOOKUP($A184,Clientes!$A$3:$C$1002,3,0),"NÃO CADASTRADO"))</f>
        <v/>
      </c>
      <c r="J184" s="12">
        <f>IF($A184="","",IF($A184='Carteira do Cliente'!$B$4,COUNTIF($A$3:$A184,'Carteira do Cliente'!$B$4),""))</f>
        <v/>
      </c>
    </row>
    <row r="185">
      <c r="A185" s="3" t="n"/>
      <c r="B185" s="7" t="n"/>
      <c r="C185" s="4" t="n"/>
      <c r="D185" s="4" t="n"/>
      <c r="E185" s="8" t="n"/>
      <c r="F185" s="9" t="n"/>
      <c r="G185" s="7" t="n"/>
      <c r="H185" s="10">
        <f>IF($A185="","",IFERROR(VLOOKUP($A185,Clientes!$A$3:$C$1002,2,0),"NÃO CADASTRADO"))</f>
        <v/>
      </c>
      <c r="I185" s="11">
        <f>IF($A185="","",IFERROR(VLOOKUP($A185,Clientes!$A$3:$C$1002,3,0),"NÃO CADASTRADO"))</f>
        <v/>
      </c>
      <c r="J185" s="7">
        <f>IF($A185="","",IF($A185='Carteira do Cliente'!$B$4,COUNTIF($A$3:$A185,'Carteira do Cliente'!$B$4),""))</f>
        <v/>
      </c>
    </row>
    <row r="186">
      <c r="A186" s="5" t="n"/>
      <c r="B186" s="12" t="n"/>
      <c r="C186" s="6" t="n"/>
      <c r="D186" s="6" t="n"/>
      <c r="E186" s="13" t="n"/>
      <c r="F186" s="14" t="n"/>
      <c r="G186" s="12" t="n"/>
      <c r="H186" s="15">
        <f>IF($A186="","",IFERROR(VLOOKUP($A186,Clientes!$A$3:$C$1002,2,0),"NÃO CADASTRADO"))</f>
        <v/>
      </c>
      <c r="I186" s="16">
        <f>IF($A186="","",IFERROR(VLOOKUP($A186,Clientes!$A$3:$C$1002,3,0),"NÃO CADASTRADO"))</f>
        <v/>
      </c>
      <c r="J186" s="12">
        <f>IF($A186="","",IF($A186='Carteira do Cliente'!$B$4,COUNTIF($A$3:$A186,'Carteira do Cliente'!$B$4),""))</f>
        <v/>
      </c>
    </row>
    <row r="187">
      <c r="A187" s="3" t="n"/>
      <c r="B187" s="7" t="n"/>
      <c r="C187" s="4" t="n"/>
      <c r="D187" s="4" t="n"/>
      <c r="E187" s="8" t="n"/>
      <c r="F187" s="9" t="n"/>
      <c r="G187" s="7" t="n"/>
      <c r="H187" s="10">
        <f>IF($A187="","",IFERROR(VLOOKUP($A187,Clientes!$A$3:$C$1002,2,0),"NÃO CADASTRADO"))</f>
        <v/>
      </c>
      <c r="I187" s="11">
        <f>IF($A187="","",IFERROR(VLOOKUP($A187,Clientes!$A$3:$C$1002,3,0),"NÃO CADASTRADO"))</f>
        <v/>
      </c>
      <c r="J187" s="7">
        <f>IF($A187="","",IF($A187='Carteira do Cliente'!$B$4,COUNTIF($A$3:$A187,'Carteira do Cliente'!$B$4),""))</f>
        <v/>
      </c>
    </row>
    <row r="188">
      <c r="A188" s="5" t="n"/>
      <c r="B188" s="12" t="n"/>
      <c r="C188" s="6" t="n"/>
      <c r="D188" s="6" t="n"/>
      <c r="E188" s="13" t="n"/>
      <c r="F188" s="14" t="n"/>
      <c r="G188" s="12" t="n"/>
      <c r="H188" s="15">
        <f>IF($A188="","",IFERROR(VLOOKUP($A188,Clientes!$A$3:$C$1002,2,0),"NÃO CADASTRADO"))</f>
        <v/>
      </c>
      <c r="I188" s="16">
        <f>IF($A188="","",IFERROR(VLOOKUP($A188,Clientes!$A$3:$C$1002,3,0),"NÃO CADASTRADO"))</f>
        <v/>
      </c>
      <c r="J188" s="12">
        <f>IF($A188="","",IF($A188='Carteira do Cliente'!$B$4,COUNTIF($A$3:$A188,'Carteira do Cliente'!$B$4),""))</f>
        <v/>
      </c>
    </row>
    <row r="189">
      <c r="A189" s="3" t="n"/>
      <c r="B189" s="7" t="n"/>
      <c r="C189" s="4" t="n"/>
      <c r="D189" s="4" t="n"/>
      <c r="E189" s="8" t="n"/>
      <c r="F189" s="9" t="n"/>
      <c r="G189" s="7" t="n"/>
      <c r="H189" s="10">
        <f>IF($A189="","",IFERROR(VLOOKUP($A189,Clientes!$A$3:$C$1002,2,0),"NÃO CADASTRADO"))</f>
        <v/>
      </c>
      <c r="I189" s="11">
        <f>IF($A189="","",IFERROR(VLOOKUP($A189,Clientes!$A$3:$C$1002,3,0),"NÃO CADASTRADO"))</f>
        <v/>
      </c>
      <c r="J189" s="7">
        <f>IF($A189="","",IF($A189='Carteira do Cliente'!$B$4,COUNTIF($A$3:$A189,'Carteira do Cliente'!$B$4),""))</f>
        <v/>
      </c>
    </row>
    <row r="190">
      <c r="A190" s="5" t="n"/>
      <c r="B190" s="12" t="n"/>
      <c r="C190" s="6" t="n"/>
      <c r="D190" s="6" t="n"/>
      <c r="E190" s="13" t="n"/>
      <c r="F190" s="14" t="n"/>
      <c r="G190" s="12" t="n"/>
      <c r="H190" s="15">
        <f>IF($A190="","",IFERROR(VLOOKUP($A190,Clientes!$A$3:$C$1002,2,0),"NÃO CADASTRADO"))</f>
        <v/>
      </c>
      <c r="I190" s="16">
        <f>IF($A190="","",IFERROR(VLOOKUP($A190,Clientes!$A$3:$C$1002,3,0),"NÃO CADASTRADO"))</f>
        <v/>
      </c>
      <c r="J190" s="12">
        <f>IF($A190="","",IF($A190='Carteira do Cliente'!$B$4,COUNTIF($A$3:$A190,'Carteira do Cliente'!$B$4),""))</f>
        <v/>
      </c>
    </row>
    <row r="191">
      <c r="A191" s="3" t="n"/>
      <c r="B191" s="7" t="n"/>
      <c r="C191" s="4" t="n"/>
      <c r="D191" s="4" t="n"/>
      <c r="E191" s="8" t="n"/>
      <c r="F191" s="9" t="n"/>
      <c r="G191" s="7" t="n"/>
      <c r="H191" s="10">
        <f>IF($A191="","",IFERROR(VLOOKUP($A191,Clientes!$A$3:$C$1002,2,0),"NÃO CADASTRADO"))</f>
        <v/>
      </c>
      <c r="I191" s="11">
        <f>IF($A191="","",IFERROR(VLOOKUP($A191,Clientes!$A$3:$C$1002,3,0),"NÃO CADASTRADO"))</f>
        <v/>
      </c>
      <c r="J191" s="7">
        <f>IF($A191="","",IF($A191='Carteira do Cliente'!$B$4,COUNTIF($A$3:$A191,'Carteira do Cliente'!$B$4),""))</f>
        <v/>
      </c>
    </row>
    <row r="192">
      <c r="A192" s="5" t="n"/>
      <c r="B192" s="12" t="n"/>
      <c r="C192" s="6" t="n"/>
      <c r="D192" s="6" t="n"/>
      <c r="E192" s="13" t="n"/>
      <c r="F192" s="14" t="n"/>
      <c r="G192" s="12" t="n"/>
      <c r="H192" s="15">
        <f>IF($A192="","",IFERROR(VLOOKUP($A192,Clientes!$A$3:$C$1002,2,0),"NÃO CADASTRADO"))</f>
        <v/>
      </c>
      <c r="I192" s="16">
        <f>IF($A192="","",IFERROR(VLOOKUP($A192,Clientes!$A$3:$C$1002,3,0),"NÃO CADASTRADO"))</f>
        <v/>
      </c>
      <c r="J192" s="12">
        <f>IF($A192="","",IF($A192='Carteira do Cliente'!$B$4,COUNTIF($A$3:$A192,'Carteira do Cliente'!$B$4),""))</f>
        <v/>
      </c>
    </row>
    <row r="193">
      <c r="A193" s="3" t="n"/>
      <c r="B193" s="7" t="n"/>
      <c r="C193" s="4" t="n"/>
      <c r="D193" s="4" t="n"/>
      <c r="E193" s="8" t="n"/>
      <c r="F193" s="9" t="n"/>
      <c r="G193" s="7" t="n"/>
      <c r="H193" s="10">
        <f>IF($A193="","",IFERROR(VLOOKUP($A193,Clientes!$A$3:$C$1002,2,0),"NÃO CADASTRADO"))</f>
        <v/>
      </c>
      <c r="I193" s="11">
        <f>IF($A193="","",IFERROR(VLOOKUP($A193,Clientes!$A$3:$C$1002,3,0),"NÃO CADASTRADO"))</f>
        <v/>
      </c>
      <c r="J193" s="7">
        <f>IF($A193="","",IF($A193='Carteira do Cliente'!$B$4,COUNTIF($A$3:$A193,'Carteira do Cliente'!$B$4),""))</f>
        <v/>
      </c>
    </row>
    <row r="194">
      <c r="A194" s="5" t="n"/>
      <c r="B194" s="12" t="n"/>
      <c r="C194" s="6" t="n"/>
      <c r="D194" s="6" t="n"/>
      <c r="E194" s="13" t="n"/>
      <c r="F194" s="14" t="n"/>
      <c r="G194" s="12" t="n"/>
      <c r="H194" s="15">
        <f>IF($A194="","",IFERROR(VLOOKUP($A194,Clientes!$A$3:$C$1002,2,0),"NÃO CADASTRADO"))</f>
        <v/>
      </c>
      <c r="I194" s="16">
        <f>IF($A194="","",IFERROR(VLOOKUP($A194,Clientes!$A$3:$C$1002,3,0),"NÃO CADASTRADO"))</f>
        <v/>
      </c>
      <c r="J194" s="12">
        <f>IF($A194="","",IF($A194='Carteira do Cliente'!$B$4,COUNTIF($A$3:$A194,'Carteira do Cliente'!$B$4),""))</f>
        <v/>
      </c>
    </row>
    <row r="195">
      <c r="A195" s="3" t="n"/>
      <c r="B195" s="7" t="n"/>
      <c r="C195" s="4" t="n"/>
      <c r="D195" s="4" t="n"/>
      <c r="E195" s="8" t="n"/>
      <c r="F195" s="9" t="n"/>
      <c r="G195" s="7" t="n"/>
      <c r="H195" s="10">
        <f>IF($A195="","",IFERROR(VLOOKUP($A195,Clientes!$A$3:$C$1002,2,0),"NÃO CADASTRADO"))</f>
        <v/>
      </c>
      <c r="I195" s="11">
        <f>IF($A195="","",IFERROR(VLOOKUP($A195,Clientes!$A$3:$C$1002,3,0),"NÃO CADASTRADO"))</f>
        <v/>
      </c>
      <c r="J195" s="7">
        <f>IF($A195="","",IF($A195='Carteira do Cliente'!$B$4,COUNTIF($A$3:$A195,'Carteira do Cliente'!$B$4),""))</f>
        <v/>
      </c>
    </row>
    <row r="196">
      <c r="A196" s="5" t="n"/>
      <c r="B196" s="12" t="n"/>
      <c r="C196" s="6" t="n"/>
      <c r="D196" s="6" t="n"/>
      <c r="E196" s="13" t="n"/>
      <c r="F196" s="14" t="n"/>
      <c r="G196" s="12" t="n"/>
      <c r="H196" s="15">
        <f>IF($A196="","",IFERROR(VLOOKUP($A196,Clientes!$A$3:$C$1002,2,0),"NÃO CADASTRADO"))</f>
        <v/>
      </c>
      <c r="I196" s="16">
        <f>IF($A196="","",IFERROR(VLOOKUP($A196,Clientes!$A$3:$C$1002,3,0),"NÃO CADASTRADO"))</f>
        <v/>
      </c>
      <c r="J196" s="12">
        <f>IF($A196="","",IF($A196='Carteira do Cliente'!$B$4,COUNTIF($A$3:$A196,'Carteira do Cliente'!$B$4),""))</f>
        <v/>
      </c>
    </row>
    <row r="197">
      <c r="A197" s="3" t="n"/>
      <c r="B197" s="7" t="n"/>
      <c r="C197" s="4" t="n"/>
      <c r="D197" s="4" t="n"/>
      <c r="E197" s="8" t="n"/>
      <c r="F197" s="9" t="n"/>
      <c r="G197" s="7" t="n"/>
      <c r="H197" s="10">
        <f>IF($A197="","",IFERROR(VLOOKUP($A197,Clientes!$A$3:$C$1002,2,0),"NÃO CADASTRADO"))</f>
        <v/>
      </c>
      <c r="I197" s="11">
        <f>IF($A197="","",IFERROR(VLOOKUP($A197,Clientes!$A$3:$C$1002,3,0),"NÃO CADASTRADO"))</f>
        <v/>
      </c>
      <c r="J197" s="7">
        <f>IF($A197="","",IF($A197='Carteira do Cliente'!$B$4,COUNTIF($A$3:$A197,'Carteira do Cliente'!$B$4),""))</f>
        <v/>
      </c>
    </row>
    <row r="198">
      <c r="A198" s="5" t="n"/>
      <c r="B198" s="12" t="n"/>
      <c r="C198" s="6" t="n"/>
      <c r="D198" s="6" t="n"/>
      <c r="E198" s="13" t="n"/>
      <c r="F198" s="14" t="n"/>
      <c r="G198" s="12" t="n"/>
      <c r="H198" s="15">
        <f>IF($A198="","",IFERROR(VLOOKUP($A198,Clientes!$A$3:$C$1002,2,0),"NÃO CADASTRADO"))</f>
        <v/>
      </c>
      <c r="I198" s="16">
        <f>IF($A198="","",IFERROR(VLOOKUP($A198,Clientes!$A$3:$C$1002,3,0),"NÃO CADASTRADO"))</f>
        <v/>
      </c>
      <c r="J198" s="12">
        <f>IF($A198="","",IF($A198='Carteira do Cliente'!$B$4,COUNTIF($A$3:$A198,'Carteira do Cliente'!$B$4),""))</f>
        <v/>
      </c>
    </row>
    <row r="199">
      <c r="A199" s="3" t="n"/>
      <c r="B199" s="7" t="n"/>
      <c r="C199" s="4" t="n"/>
      <c r="D199" s="4" t="n"/>
      <c r="E199" s="8" t="n"/>
      <c r="F199" s="9" t="n"/>
      <c r="G199" s="7" t="n"/>
      <c r="H199" s="10">
        <f>IF($A199="","",IFERROR(VLOOKUP($A199,Clientes!$A$3:$C$1002,2,0),"NÃO CADASTRADO"))</f>
        <v/>
      </c>
      <c r="I199" s="11">
        <f>IF($A199="","",IFERROR(VLOOKUP($A199,Clientes!$A$3:$C$1002,3,0),"NÃO CADASTRADO"))</f>
        <v/>
      </c>
      <c r="J199" s="7">
        <f>IF($A199="","",IF($A199='Carteira do Cliente'!$B$4,COUNTIF($A$3:$A199,'Carteira do Cliente'!$B$4),""))</f>
        <v/>
      </c>
    </row>
    <row r="200">
      <c r="A200" s="5" t="n"/>
      <c r="B200" s="12" t="n"/>
      <c r="C200" s="6" t="n"/>
      <c r="D200" s="6" t="n"/>
      <c r="E200" s="13" t="n"/>
      <c r="F200" s="14" t="n"/>
      <c r="G200" s="12" t="n"/>
      <c r="H200" s="15">
        <f>IF($A200="","",IFERROR(VLOOKUP($A200,Clientes!$A$3:$C$1002,2,0),"NÃO CADASTRADO"))</f>
        <v/>
      </c>
      <c r="I200" s="16">
        <f>IF($A200="","",IFERROR(VLOOKUP($A200,Clientes!$A$3:$C$1002,3,0),"NÃO CADASTRADO"))</f>
        <v/>
      </c>
      <c r="J200" s="12">
        <f>IF($A200="","",IF($A200='Carteira do Cliente'!$B$4,COUNTIF($A$3:$A200,'Carteira do Cliente'!$B$4),""))</f>
        <v/>
      </c>
    </row>
    <row r="201">
      <c r="A201" s="3" t="n"/>
      <c r="B201" s="7" t="n"/>
      <c r="C201" s="4" t="n"/>
      <c r="D201" s="4" t="n"/>
      <c r="E201" s="8" t="n"/>
      <c r="F201" s="9" t="n"/>
      <c r="G201" s="7" t="n"/>
      <c r="H201" s="10">
        <f>IF($A201="","",IFERROR(VLOOKUP($A201,Clientes!$A$3:$C$1002,2,0),"NÃO CADASTRADO"))</f>
        <v/>
      </c>
      <c r="I201" s="11">
        <f>IF($A201="","",IFERROR(VLOOKUP($A201,Clientes!$A$3:$C$1002,3,0),"NÃO CADASTRADO"))</f>
        <v/>
      </c>
      <c r="J201" s="7">
        <f>IF($A201="","",IF($A201='Carteira do Cliente'!$B$4,COUNTIF($A$3:$A201,'Carteira do Cliente'!$B$4),""))</f>
        <v/>
      </c>
    </row>
    <row r="202">
      <c r="A202" s="5" t="n"/>
      <c r="B202" s="12" t="n"/>
      <c r="C202" s="6" t="n"/>
      <c r="D202" s="6" t="n"/>
      <c r="E202" s="13" t="n"/>
      <c r="F202" s="14" t="n"/>
      <c r="G202" s="12" t="n"/>
      <c r="H202" s="15">
        <f>IF($A202="","",IFERROR(VLOOKUP($A202,Clientes!$A$3:$C$1002,2,0),"NÃO CADASTRADO"))</f>
        <v/>
      </c>
      <c r="I202" s="16">
        <f>IF($A202="","",IFERROR(VLOOKUP($A202,Clientes!$A$3:$C$1002,3,0),"NÃO CADASTRADO"))</f>
        <v/>
      </c>
      <c r="J202" s="12">
        <f>IF($A202="","",IF($A202='Carteira do Cliente'!$B$4,COUNTIF($A$3:$A202,'Carteira do Cliente'!$B$4),""))</f>
        <v/>
      </c>
    </row>
    <row r="203">
      <c r="A203" s="3" t="n"/>
      <c r="B203" s="7" t="n"/>
      <c r="C203" s="4" t="n"/>
      <c r="D203" s="4" t="n"/>
      <c r="E203" s="8" t="n"/>
      <c r="F203" s="9" t="n"/>
      <c r="G203" s="7" t="n"/>
      <c r="H203" s="10">
        <f>IF($A203="","",IFERROR(VLOOKUP($A203,Clientes!$A$3:$C$1002,2,0),"NÃO CADASTRADO"))</f>
        <v/>
      </c>
      <c r="I203" s="11">
        <f>IF($A203="","",IFERROR(VLOOKUP($A203,Clientes!$A$3:$C$1002,3,0),"NÃO CADASTRADO"))</f>
        <v/>
      </c>
      <c r="J203" s="7">
        <f>IF($A203="","",IF($A203='Carteira do Cliente'!$B$4,COUNTIF($A$3:$A203,'Carteira do Cliente'!$B$4),""))</f>
        <v/>
      </c>
    </row>
    <row r="204">
      <c r="A204" s="5" t="n"/>
      <c r="B204" s="12" t="n"/>
      <c r="C204" s="6" t="n"/>
      <c r="D204" s="6" t="n"/>
      <c r="E204" s="13" t="n"/>
      <c r="F204" s="14" t="n"/>
      <c r="G204" s="12" t="n"/>
      <c r="H204" s="15">
        <f>IF($A204="","",IFERROR(VLOOKUP($A204,Clientes!$A$3:$C$1002,2,0),"NÃO CADASTRADO"))</f>
        <v/>
      </c>
      <c r="I204" s="16">
        <f>IF($A204="","",IFERROR(VLOOKUP($A204,Clientes!$A$3:$C$1002,3,0),"NÃO CADASTRADO"))</f>
        <v/>
      </c>
      <c r="J204" s="12">
        <f>IF($A204="","",IF($A204='Carteira do Cliente'!$B$4,COUNTIF($A$3:$A204,'Carteira do Cliente'!$B$4),""))</f>
        <v/>
      </c>
    </row>
    <row r="205">
      <c r="A205" s="3" t="n"/>
      <c r="B205" s="7" t="n"/>
      <c r="C205" s="4" t="n"/>
      <c r="D205" s="4" t="n"/>
      <c r="E205" s="8" t="n"/>
      <c r="F205" s="9" t="n"/>
      <c r="G205" s="7" t="n"/>
      <c r="H205" s="10">
        <f>IF($A205="","",IFERROR(VLOOKUP($A205,Clientes!$A$3:$C$1002,2,0),"NÃO CADASTRADO"))</f>
        <v/>
      </c>
      <c r="I205" s="11">
        <f>IF($A205="","",IFERROR(VLOOKUP($A205,Clientes!$A$3:$C$1002,3,0),"NÃO CADASTRADO"))</f>
        <v/>
      </c>
      <c r="J205" s="7">
        <f>IF($A205="","",IF($A205='Carteira do Cliente'!$B$4,COUNTIF($A$3:$A205,'Carteira do Cliente'!$B$4),""))</f>
        <v/>
      </c>
    </row>
    <row r="206">
      <c r="A206" s="5" t="n"/>
      <c r="B206" s="12" t="n"/>
      <c r="C206" s="6" t="n"/>
      <c r="D206" s="6" t="n"/>
      <c r="E206" s="13" t="n"/>
      <c r="F206" s="14" t="n"/>
      <c r="G206" s="12" t="n"/>
      <c r="H206" s="15">
        <f>IF($A206="","",IFERROR(VLOOKUP($A206,Clientes!$A$3:$C$1002,2,0),"NÃO CADASTRADO"))</f>
        <v/>
      </c>
      <c r="I206" s="16">
        <f>IF($A206="","",IFERROR(VLOOKUP($A206,Clientes!$A$3:$C$1002,3,0),"NÃO CADASTRADO"))</f>
        <v/>
      </c>
      <c r="J206" s="12">
        <f>IF($A206="","",IF($A206='Carteira do Cliente'!$B$4,COUNTIF($A$3:$A206,'Carteira do Cliente'!$B$4),""))</f>
        <v/>
      </c>
    </row>
    <row r="207">
      <c r="A207" s="3" t="n"/>
      <c r="B207" s="7" t="n"/>
      <c r="C207" s="4" t="n"/>
      <c r="D207" s="4" t="n"/>
      <c r="E207" s="8" t="n"/>
      <c r="F207" s="9" t="n"/>
      <c r="G207" s="7" t="n"/>
      <c r="H207" s="10">
        <f>IF($A207="","",IFERROR(VLOOKUP($A207,Clientes!$A$3:$C$1002,2,0),"NÃO CADASTRADO"))</f>
        <v/>
      </c>
      <c r="I207" s="11">
        <f>IF($A207="","",IFERROR(VLOOKUP($A207,Clientes!$A$3:$C$1002,3,0),"NÃO CADASTRADO"))</f>
        <v/>
      </c>
      <c r="J207" s="7">
        <f>IF($A207="","",IF($A207='Carteira do Cliente'!$B$4,COUNTIF($A$3:$A207,'Carteira do Cliente'!$B$4),""))</f>
        <v/>
      </c>
    </row>
    <row r="208">
      <c r="A208" s="5" t="n"/>
      <c r="B208" s="12" t="n"/>
      <c r="C208" s="6" t="n"/>
      <c r="D208" s="6" t="n"/>
      <c r="E208" s="13" t="n"/>
      <c r="F208" s="14" t="n"/>
      <c r="G208" s="12" t="n"/>
      <c r="H208" s="15">
        <f>IF($A208="","",IFERROR(VLOOKUP($A208,Clientes!$A$3:$C$1002,2,0),"NÃO CADASTRADO"))</f>
        <v/>
      </c>
      <c r="I208" s="16">
        <f>IF($A208="","",IFERROR(VLOOKUP($A208,Clientes!$A$3:$C$1002,3,0),"NÃO CADASTRADO"))</f>
        <v/>
      </c>
      <c r="J208" s="12">
        <f>IF($A208="","",IF($A208='Carteira do Cliente'!$B$4,COUNTIF($A$3:$A208,'Carteira do Cliente'!$B$4),""))</f>
        <v/>
      </c>
    </row>
    <row r="209">
      <c r="A209" s="3" t="n"/>
      <c r="B209" s="7" t="n"/>
      <c r="C209" s="4" t="n"/>
      <c r="D209" s="4" t="n"/>
      <c r="E209" s="8" t="n"/>
      <c r="F209" s="9" t="n"/>
      <c r="G209" s="7" t="n"/>
      <c r="H209" s="10">
        <f>IF($A209="","",IFERROR(VLOOKUP($A209,Clientes!$A$3:$C$1002,2,0),"NÃO CADASTRADO"))</f>
        <v/>
      </c>
      <c r="I209" s="11">
        <f>IF($A209="","",IFERROR(VLOOKUP($A209,Clientes!$A$3:$C$1002,3,0),"NÃO CADASTRADO"))</f>
        <v/>
      </c>
      <c r="J209" s="7">
        <f>IF($A209="","",IF($A209='Carteira do Cliente'!$B$4,COUNTIF($A$3:$A209,'Carteira do Cliente'!$B$4),""))</f>
        <v/>
      </c>
    </row>
    <row r="210">
      <c r="A210" s="5" t="n"/>
      <c r="B210" s="12" t="n"/>
      <c r="C210" s="6" t="n"/>
      <c r="D210" s="6" t="n"/>
      <c r="E210" s="13" t="n"/>
      <c r="F210" s="14" t="n"/>
      <c r="G210" s="12" t="n"/>
      <c r="H210" s="15">
        <f>IF($A210="","",IFERROR(VLOOKUP($A210,Clientes!$A$3:$C$1002,2,0),"NÃO CADASTRADO"))</f>
        <v/>
      </c>
      <c r="I210" s="16">
        <f>IF($A210="","",IFERROR(VLOOKUP($A210,Clientes!$A$3:$C$1002,3,0),"NÃO CADASTRADO"))</f>
        <v/>
      </c>
      <c r="J210" s="12">
        <f>IF($A210="","",IF($A210='Carteira do Cliente'!$B$4,COUNTIF($A$3:$A210,'Carteira do Cliente'!$B$4),""))</f>
        <v/>
      </c>
    </row>
    <row r="211">
      <c r="A211" s="3" t="n"/>
      <c r="B211" s="7" t="n"/>
      <c r="C211" s="4" t="n"/>
      <c r="D211" s="4" t="n"/>
      <c r="E211" s="8" t="n"/>
      <c r="F211" s="9" t="n"/>
      <c r="G211" s="7" t="n"/>
      <c r="H211" s="10">
        <f>IF($A211="","",IFERROR(VLOOKUP($A211,Clientes!$A$3:$C$1002,2,0),"NÃO CADASTRADO"))</f>
        <v/>
      </c>
      <c r="I211" s="11">
        <f>IF($A211="","",IFERROR(VLOOKUP($A211,Clientes!$A$3:$C$1002,3,0),"NÃO CADASTRADO"))</f>
        <v/>
      </c>
      <c r="J211" s="7">
        <f>IF($A211="","",IF($A211='Carteira do Cliente'!$B$4,COUNTIF($A$3:$A211,'Carteira do Cliente'!$B$4),""))</f>
        <v/>
      </c>
    </row>
    <row r="212">
      <c r="A212" s="5" t="n"/>
      <c r="B212" s="12" t="n"/>
      <c r="C212" s="6" t="n"/>
      <c r="D212" s="6" t="n"/>
      <c r="E212" s="13" t="n"/>
      <c r="F212" s="14" t="n"/>
      <c r="G212" s="12" t="n"/>
      <c r="H212" s="15">
        <f>IF($A212="","",IFERROR(VLOOKUP($A212,Clientes!$A$3:$C$1002,2,0),"NÃO CADASTRADO"))</f>
        <v/>
      </c>
      <c r="I212" s="16">
        <f>IF($A212="","",IFERROR(VLOOKUP($A212,Clientes!$A$3:$C$1002,3,0),"NÃO CADASTRADO"))</f>
        <v/>
      </c>
      <c r="J212" s="12">
        <f>IF($A212="","",IF($A212='Carteira do Cliente'!$B$4,COUNTIF($A$3:$A212,'Carteira do Cliente'!$B$4),""))</f>
        <v/>
      </c>
    </row>
    <row r="213">
      <c r="A213" s="3" t="n"/>
      <c r="B213" s="7" t="n"/>
      <c r="C213" s="4" t="n"/>
      <c r="D213" s="4" t="n"/>
      <c r="E213" s="8" t="n"/>
      <c r="F213" s="9" t="n"/>
      <c r="G213" s="7" t="n"/>
      <c r="H213" s="10">
        <f>IF($A213="","",IFERROR(VLOOKUP($A213,Clientes!$A$3:$C$1002,2,0),"NÃO CADASTRADO"))</f>
        <v/>
      </c>
      <c r="I213" s="11">
        <f>IF($A213="","",IFERROR(VLOOKUP($A213,Clientes!$A$3:$C$1002,3,0),"NÃO CADASTRADO"))</f>
        <v/>
      </c>
      <c r="J213" s="7">
        <f>IF($A213="","",IF($A213='Carteira do Cliente'!$B$4,COUNTIF($A$3:$A213,'Carteira do Cliente'!$B$4),""))</f>
        <v/>
      </c>
    </row>
    <row r="214">
      <c r="A214" s="5" t="n"/>
      <c r="B214" s="12" t="n"/>
      <c r="C214" s="6" t="n"/>
      <c r="D214" s="6" t="n"/>
      <c r="E214" s="13" t="n"/>
      <c r="F214" s="14" t="n"/>
      <c r="G214" s="12" t="n"/>
      <c r="H214" s="15">
        <f>IF($A214="","",IFERROR(VLOOKUP($A214,Clientes!$A$3:$C$1002,2,0),"NÃO CADASTRADO"))</f>
        <v/>
      </c>
      <c r="I214" s="16">
        <f>IF($A214="","",IFERROR(VLOOKUP($A214,Clientes!$A$3:$C$1002,3,0),"NÃO CADASTRADO"))</f>
        <v/>
      </c>
      <c r="J214" s="12">
        <f>IF($A214="","",IF($A214='Carteira do Cliente'!$B$4,COUNTIF($A$3:$A214,'Carteira do Cliente'!$B$4),""))</f>
        <v/>
      </c>
    </row>
    <row r="215">
      <c r="A215" s="3" t="n"/>
      <c r="B215" s="7" t="n"/>
      <c r="C215" s="4" t="n"/>
      <c r="D215" s="4" t="n"/>
      <c r="E215" s="8" t="n"/>
      <c r="F215" s="9" t="n"/>
      <c r="G215" s="7" t="n"/>
      <c r="H215" s="10">
        <f>IF($A215="","",IFERROR(VLOOKUP($A215,Clientes!$A$3:$C$1002,2,0),"NÃO CADASTRADO"))</f>
        <v/>
      </c>
      <c r="I215" s="11">
        <f>IF($A215="","",IFERROR(VLOOKUP($A215,Clientes!$A$3:$C$1002,3,0),"NÃO CADASTRADO"))</f>
        <v/>
      </c>
      <c r="J215" s="7">
        <f>IF($A215="","",IF($A215='Carteira do Cliente'!$B$4,COUNTIF($A$3:$A215,'Carteira do Cliente'!$B$4),""))</f>
        <v/>
      </c>
    </row>
    <row r="216">
      <c r="A216" s="5" t="n"/>
      <c r="B216" s="12" t="n"/>
      <c r="C216" s="6" t="n"/>
      <c r="D216" s="6" t="n"/>
      <c r="E216" s="13" t="n"/>
      <c r="F216" s="14" t="n"/>
      <c r="G216" s="12" t="n"/>
      <c r="H216" s="15">
        <f>IF($A216="","",IFERROR(VLOOKUP($A216,Clientes!$A$3:$C$1002,2,0),"NÃO CADASTRADO"))</f>
        <v/>
      </c>
      <c r="I216" s="16">
        <f>IF($A216="","",IFERROR(VLOOKUP($A216,Clientes!$A$3:$C$1002,3,0),"NÃO CADASTRADO"))</f>
        <v/>
      </c>
      <c r="J216" s="12">
        <f>IF($A216="","",IF($A216='Carteira do Cliente'!$B$4,COUNTIF($A$3:$A216,'Carteira do Cliente'!$B$4),""))</f>
        <v/>
      </c>
    </row>
    <row r="217">
      <c r="A217" s="3" t="n"/>
      <c r="B217" s="7" t="n"/>
      <c r="C217" s="4" t="n"/>
      <c r="D217" s="4" t="n"/>
      <c r="E217" s="8" t="n"/>
      <c r="F217" s="9" t="n"/>
      <c r="G217" s="7" t="n"/>
      <c r="H217" s="10">
        <f>IF($A217="","",IFERROR(VLOOKUP($A217,Clientes!$A$3:$C$1002,2,0),"NÃO CADASTRADO"))</f>
        <v/>
      </c>
      <c r="I217" s="11">
        <f>IF($A217="","",IFERROR(VLOOKUP($A217,Clientes!$A$3:$C$1002,3,0),"NÃO CADASTRADO"))</f>
        <v/>
      </c>
      <c r="J217" s="7">
        <f>IF($A217="","",IF($A217='Carteira do Cliente'!$B$4,COUNTIF($A$3:$A217,'Carteira do Cliente'!$B$4),""))</f>
        <v/>
      </c>
    </row>
    <row r="218">
      <c r="A218" s="5" t="n"/>
      <c r="B218" s="12" t="n"/>
      <c r="C218" s="6" t="n"/>
      <c r="D218" s="6" t="n"/>
      <c r="E218" s="13" t="n"/>
      <c r="F218" s="14" t="n"/>
      <c r="G218" s="12" t="n"/>
      <c r="H218" s="15">
        <f>IF($A218="","",IFERROR(VLOOKUP($A218,Clientes!$A$3:$C$1002,2,0),"NÃO CADASTRADO"))</f>
        <v/>
      </c>
      <c r="I218" s="16">
        <f>IF($A218="","",IFERROR(VLOOKUP($A218,Clientes!$A$3:$C$1002,3,0),"NÃO CADASTRADO"))</f>
        <v/>
      </c>
      <c r="J218" s="12">
        <f>IF($A218="","",IF($A218='Carteira do Cliente'!$B$4,COUNTIF($A$3:$A218,'Carteira do Cliente'!$B$4),""))</f>
        <v/>
      </c>
    </row>
    <row r="219">
      <c r="A219" s="3" t="n"/>
      <c r="B219" s="7" t="n"/>
      <c r="C219" s="4" t="n"/>
      <c r="D219" s="4" t="n"/>
      <c r="E219" s="8" t="n"/>
      <c r="F219" s="9" t="n"/>
      <c r="G219" s="7" t="n"/>
      <c r="H219" s="10">
        <f>IF($A219="","",IFERROR(VLOOKUP($A219,Clientes!$A$3:$C$1002,2,0),"NÃO CADASTRADO"))</f>
        <v/>
      </c>
      <c r="I219" s="11">
        <f>IF($A219="","",IFERROR(VLOOKUP($A219,Clientes!$A$3:$C$1002,3,0),"NÃO CADASTRADO"))</f>
        <v/>
      </c>
      <c r="J219" s="7">
        <f>IF($A219="","",IF($A219='Carteira do Cliente'!$B$4,COUNTIF($A$3:$A219,'Carteira do Cliente'!$B$4),""))</f>
        <v/>
      </c>
    </row>
    <row r="220">
      <c r="A220" s="5" t="n"/>
      <c r="B220" s="12" t="n"/>
      <c r="C220" s="6" t="n"/>
      <c r="D220" s="6" t="n"/>
      <c r="E220" s="13" t="n"/>
      <c r="F220" s="14" t="n"/>
      <c r="G220" s="12" t="n"/>
      <c r="H220" s="15">
        <f>IF($A220="","",IFERROR(VLOOKUP($A220,Clientes!$A$3:$C$1002,2,0),"NÃO CADASTRADO"))</f>
        <v/>
      </c>
      <c r="I220" s="16">
        <f>IF($A220="","",IFERROR(VLOOKUP($A220,Clientes!$A$3:$C$1002,3,0),"NÃO CADASTRADO"))</f>
        <v/>
      </c>
      <c r="J220" s="12">
        <f>IF($A220="","",IF($A220='Carteira do Cliente'!$B$4,COUNTIF($A$3:$A220,'Carteira do Cliente'!$B$4),""))</f>
        <v/>
      </c>
    </row>
    <row r="221">
      <c r="A221" s="3" t="n"/>
      <c r="B221" s="7" t="n"/>
      <c r="C221" s="4" t="n"/>
      <c r="D221" s="4" t="n"/>
      <c r="E221" s="8" t="n"/>
      <c r="F221" s="9" t="n"/>
      <c r="G221" s="7" t="n"/>
      <c r="H221" s="10">
        <f>IF($A221="","",IFERROR(VLOOKUP($A221,Clientes!$A$3:$C$1002,2,0),"NÃO CADASTRADO"))</f>
        <v/>
      </c>
      <c r="I221" s="11">
        <f>IF($A221="","",IFERROR(VLOOKUP($A221,Clientes!$A$3:$C$1002,3,0),"NÃO CADASTRADO"))</f>
        <v/>
      </c>
      <c r="J221" s="7">
        <f>IF($A221="","",IF($A221='Carteira do Cliente'!$B$4,COUNTIF($A$3:$A221,'Carteira do Cliente'!$B$4),""))</f>
        <v/>
      </c>
    </row>
    <row r="222">
      <c r="A222" s="5" t="n"/>
      <c r="B222" s="12" t="n"/>
      <c r="C222" s="6" t="n"/>
      <c r="D222" s="6" t="n"/>
      <c r="E222" s="13" t="n"/>
      <c r="F222" s="14" t="n"/>
      <c r="G222" s="12" t="n"/>
      <c r="H222" s="15">
        <f>IF($A222="","",IFERROR(VLOOKUP($A222,Clientes!$A$3:$C$1002,2,0),"NÃO CADASTRADO"))</f>
        <v/>
      </c>
      <c r="I222" s="16">
        <f>IF($A222="","",IFERROR(VLOOKUP($A222,Clientes!$A$3:$C$1002,3,0),"NÃO CADASTRADO"))</f>
        <v/>
      </c>
      <c r="J222" s="12">
        <f>IF($A222="","",IF($A222='Carteira do Cliente'!$B$4,COUNTIF($A$3:$A222,'Carteira do Cliente'!$B$4),""))</f>
        <v/>
      </c>
    </row>
    <row r="223">
      <c r="A223" s="3" t="n"/>
      <c r="B223" s="7" t="n"/>
      <c r="C223" s="4" t="n"/>
      <c r="D223" s="4" t="n"/>
      <c r="E223" s="8" t="n"/>
      <c r="F223" s="9" t="n"/>
      <c r="G223" s="7" t="n"/>
      <c r="H223" s="10">
        <f>IF($A223="","",IFERROR(VLOOKUP($A223,Clientes!$A$3:$C$1002,2,0),"NÃO CADASTRADO"))</f>
        <v/>
      </c>
      <c r="I223" s="11">
        <f>IF($A223="","",IFERROR(VLOOKUP($A223,Clientes!$A$3:$C$1002,3,0),"NÃO CADASTRADO"))</f>
        <v/>
      </c>
      <c r="J223" s="7">
        <f>IF($A223="","",IF($A223='Carteira do Cliente'!$B$4,COUNTIF($A$3:$A223,'Carteira do Cliente'!$B$4),""))</f>
        <v/>
      </c>
    </row>
    <row r="224">
      <c r="A224" s="5" t="n"/>
      <c r="B224" s="12" t="n"/>
      <c r="C224" s="6" t="n"/>
      <c r="D224" s="6" t="n"/>
      <c r="E224" s="13" t="n"/>
      <c r="F224" s="14" t="n"/>
      <c r="G224" s="12" t="n"/>
      <c r="H224" s="15">
        <f>IF($A224="","",IFERROR(VLOOKUP($A224,Clientes!$A$3:$C$1002,2,0),"NÃO CADASTRADO"))</f>
        <v/>
      </c>
      <c r="I224" s="16">
        <f>IF($A224="","",IFERROR(VLOOKUP($A224,Clientes!$A$3:$C$1002,3,0),"NÃO CADASTRADO"))</f>
        <v/>
      </c>
      <c r="J224" s="12">
        <f>IF($A224="","",IF($A224='Carteira do Cliente'!$B$4,COUNTIF($A$3:$A224,'Carteira do Cliente'!$B$4),""))</f>
        <v/>
      </c>
    </row>
    <row r="225">
      <c r="A225" s="3" t="n"/>
      <c r="B225" s="7" t="n"/>
      <c r="C225" s="4" t="n"/>
      <c r="D225" s="4" t="n"/>
      <c r="E225" s="8" t="n"/>
      <c r="F225" s="9" t="n"/>
      <c r="G225" s="7" t="n"/>
      <c r="H225" s="10">
        <f>IF($A225="","",IFERROR(VLOOKUP($A225,Clientes!$A$3:$C$1002,2,0),"NÃO CADASTRADO"))</f>
        <v/>
      </c>
      <c r="I225" s="11">
        <f>IF($A225="","",IFERROR(VLOOKUP($A225,Clientes!$A$3:$C$1002,3,0),"NÃO CADASTRADO"))</f>
        <v/>
      </c>
      <c r="J225" s="7">
        <f>IF($A225="","",IF($A225='Carteira do Cliente'!$B$4,COUNTIF($A$3:$A225,'Carteira do Cliente'!$B$4),""))</f>
        <v/>
      </c>
    </row>
    <row r="226">
      <c r="A226" s="5" t="n"/>
      <c r="B226" s="12" t="n"/>
      <c r="C226" s="6" t="n"/>
      <c r="D226" s="6" t="n"/>
      <c r="E226" s="13" t="n"/>
      <c r="F226" s="14" t="n"/>
      <c r="G226" s="12" t="n"/>
      <c r="H226" s="15">
        <f>IF($A226="","",IFERROR(VLOOKUP($A226,Clientes!$A$3:$C$1002,2,0),"NÃO CADASTRADO"))</f>
        <v/>
      </c>
      <c r="I226" s="16">
        <f>IF($A226="","",IFERROR(VLOOKUP($A226,Clientes!$A$3:$C$1002,3,0),"NÃO CADASTRADO"))</f>
        <v/>
      </c>
      <c r="J226" s="12">
        <f>IF($A226="","",IF($A226='Carteira do Cliente'!$B$4,COUNTIF($A$3:$A226,'Carteira do Cliente'!$B$4),""))</f>
        <v/>
      </c>
    </row>
    <row r="227">
      <c r="A227" s="3" t="n"/>
      <c r="B227" s="7" t="n"/>
      <c r="C227" s="4" t="n"/>
      <c r="D227" s="4" t="n"/>
      <c r="E227" s="8" t="n"/>
      <c r="F227" s="9" t="n"/>
      <c r="G227" s="7" t="n"/>
      <c r="H227" s="10">
        <f>IF($A227="","",IFERROR(VLOOKUP($A227,Clientes!$A$3:$C$1002,2,0),"NÃO CADASTRADO"))</f>
        <v/>
      </c>
      <c r="I227" s="11">
        <f>IF($A227="","",IFERROR(VLOOKUP($A227,Clientes!$A$3:$C$1002,3,0),"NÃO CADASTRADO"))</f>
        <v/>
      </c>
      <c r="J227" s="7">
        <f>IF($A227="","",IF($A227='Carteira do Cliente'!$B$4,COUNTIF($A$3:$A227,'Carteira do Cliente'!$B$4),""))</f>
        <v/>
      </c>
    </row>
    <row r="228">
      <c r="A228" s="5" t="n"/>
      <c r="B228" s="12" t="n"/>
      <c r="C228" s="6" t="n"/>
      <c r="D228" s="6" t="n"/>
      <c r="E228" s="13" t="n"/>
      <c r="F228" s="14" t="n"/>
      <c r="G228" s="12" t="n"/>
      <c r="H228" s="15">
        <f>IF($A228="","",IFERROR(VLOOKUP($A228,Clientes!$A$3:$C$1002,2,0),"NÃO CADASTRADO"))</f>
        <v/>
      </c>
      <c r="I228" s="16">
        <f>IF($A228="","",IFERROR(VLOOKUP($A228,Clientes!$A$3:$C$1002,3,0),"NÃO CADASTRADO"))</f>
        <v/>
      </c>
      <c r="J228" s="12">
        <f>IF($A228="","",IF($A228='Carteira do Cliente'!$B$4,COUNTIF($A$3:$A228,'Carteira do Cliente'!$B$4),""))</f>
        <v/>
      </c>
    </row>
    <row r="229">
      <c r="A229" s="3" t="n"/>
      <c r="B229" s="7" t="n"/>
      <c r="C229" s="4" t="n"/>
      <c r="D229" s="4" t="n"/>
      <c r="E229" s="8" t="n"/>
      <c r="F229" s="9" t="n"/>
      <c r="G229" s="7" t="n"/>
      <c r="H229" s="10">
        <f>IF($A229="","",IFERROR(VLOOKUP($A229,Clientes!$A$3:$C$1002,2,0),"NÃO CADASTRADO"))</f>
        <v/>
      </c>
      <c r="I229" s="11">
        <f>IF($A229="","",IFERROR(VLOOKUP($A229,Clientes!$A$3:$C$1002,3,0),"NÃO CADASTRADO"))</f>
        <v/>
      </c>
      <c r="J229" s="7">
        <f>IF($A229="","",IF($A229='Carteira do Cliente'!$B$4,COUNTIF($A$3:$A229,'Carteira do Cliente'!$B$4),""))</f>
        <v/>
      </c>
    </row>
    <row r="230">
      <c r="A230" s="5" t="n"/>
      <c r="B230" s="12" t="n"/>
      <c r="C230" s="6" t="n"/>
      <c r="D230" s="6" t="n"/>
      <c r="E230" s="13" t="n"/>
      <c r="F230" s="14" t="n"/>
      <c r="G230" s="12" t="n"/>
      <c r="H230" s="15">
        <f>IF($A230="","",IFERROR(VLOOKUP($A230,Clientes!$A$3:$C$1002,2,0),"NÃO CADASTRADO"))</f>
        <v/>
      </c>
      <c r="I230" s="16">
        <f>IF($A230="","",IFERROR(VLOOKUP($A230,Clientes!$A$3:$C$1002,3,0),"NÃO CADASTRADO"))</f>
        <v/>
      </c>
      <c r="J230" s="12">
        <f>IF($A230="","",IF($A230='Carteira do Cliente'!$B$4,COUNTIF($A$3:$A230,'Carteira do Cliente'!$B$4),""))</f>
        <v/>
      </c>
    </row>
    <row r="231">
      <c r="A231" s="3" t="n"/>
      <c r="B231" s="7" t="n"/>
      <c r="C231" s="4" t="n"/>
      <c r="D231" s="4" t="n"/>
      <c r="E231" s="8" t="n"/>
      <c r="F231" s="9" t="n"/>
      <c r="G231" s="7" t="n"/>
      <c r="H231" s="10">
        <f>IF($A231="","",IFERROR(VLOOKUP($A231,Clientes!$A$3:$C$1002,2,0),"NÃO CADASTRADO"))</f>
        <v/>
      </c>
      <c r="I231" s="11">
        <f>IF($A231="","",IFERROR(VLOOKUP($A231,Clientes!$A$3:$C$1002,3,0),"NÃO CADASTRADO"))</f>
        <v/>
      </c>
      <c r="J231" s="7">
        <f>IF($A231="","",IF($A231='Carteira do Cliente'!$B$4,COUNTIF($A$3:$A231,'Carteira do Cliente'!$B$4),""))</f>
        <v/>
      </c>
    </row>
    <row r="232">
      <c r="A232" s="5" t="n"/>
      <c r="B232" s="12" t="n"/>
      <c r="C232" s="6" t="n"/>
      <c r="D232" s="6" t="n"/>
      <c r="E232" s="13" t="n"/>
      <c r="F232" s="14" t="n"/>
      <c r="G232" s="12" t="n"/>
      <c r="H232" s="15">
        <f>IF($A232="","",IFERROR(VLOOKUP($A232,Clientes!$A$3:$C$1002,2,0),"NÃO CADASTRADO"))</f>
        <v/>
      </c>
      <c r="I232" s="16">
        <f>IF($A232="","",IFERROR(VLOOKUP($A232,Clientes!$A$3:$C$1002,3,0),"NÃO CADASTRADO"))</f>
        <v/>
      </c>
      <c r="J232" s="12">
        <f>IF($A232="","",IF($A232='Carteira do Cliente'!$B$4,COUNTIF($A$3:$A232,'Carteira do Cliente'!$B$4),""))</f>
        <v/>
      </c>
    </row>
    <row r="233">
      <c r="A233" s="3" t="n"/>
      <c r="B233" s="7" t="n"/>
      <c r="C233" s="4" t="n"/>
      <c r="D233" s="4" t="n"/>
      <c r="E233" s="8" t="n"/>
      <c r="F233" s="9" t="n"/>
      <c r="G233" s="7" t="n"/>
      <c r="H233" s="10">
        <f>IF($A233="","",IFERROR(VLOOKUP($A233,Clientes!$A$3:$C$1002,2,0),"NÃO CADASTRADO"))</f>
        <v/>
      </c>
      <c r="I233" s="11">
        <f>IF($A233="","",IFERROR(VLOOKUP($A233,Clientes!$A$3:$C$1002,3,0),"NÃO CADASTRADO"))</f>
        <v/>
      </c>
      <c r="J233" s="7">
        <f>IF($A233="","",IF($A233='Carteira do Cliente'!$B$4,COUNTIF($A$3:$A233,'Carteira do Cliente'!$B$4),""))</f>
        <v/>
      </c>
    </row>
    <row r="234">
      <c r="A234" s="5" t="n"/>
      <c r="B234" s="12" t="n"/>
      <c r="C234" s="6" t="n"/>
      <c r="D234" s="6" t="n"/>
      <c r="E234" s="13" t="n"/>
      <c r="F234" s="14" t="n"/>
      <c r="G234" s="12" t="n"/>
      <c r="H234" s="15">
        <f>IF($A234="","",IFERROR(VLOOKUP($A234,Clientes!$A$3:$C$1002,2,0),"NÃO CADASTRADO"))</f>
        <v/>
      </c>
      <c r="I234" s="16">
        <f>IF($A234="","",IFERROR(VLOOKUP($A234,Clientes!$A$3:$C$1002,3,0),"NÃO CADASTRADO"))</f>
        <v/>
      </c>
      <c r="J234" s="12">
        <f>IF($A234="","",IF($A234='Carteira do Cliente'!$B$4,COUNTIF($A$3:$A234,'Carteira do Cliente'!$B$4),""))</f>
        <v/>
      </c>
    </row>
    <row r="235">
      <c r="A235" s="3" t="n"/>
      <c r="B235" s="7" t="n"/>
      <c r="C235" s="4" t="n"/>
      <c r="D235" s="4" t="n"/>
      <c r="E235" s="8" t="n"/>
      <c r="F235" s="9" t="n"/>
      <c r="G235" s="7" t="n"/>
      <c r="H235" s="10">
        <f>IF($A235="","",IFERROR(VLOOKUP($A235,Clientes!$A$3:$C$1002,2,0),"NÃO CADASTRADO"))</f>
        <v/>
      </c>
      <c r="I235" s="11">
        <f>IF($A235="","",IFERROR(VLOOKUP($A235,Clientes!$A$3:$C$1002,3,0),"NÃO CADASTRADO"))</f>
        <v/>
      </c>
      <c r="J235" s="7">
        <f>IF($A235="","",IF($A235='Carteira do Cliente'!$B$4,COUNTIF($A$3:$A235,'Carteira do Cliente'!$B$4),""))</f>
        <v/>
      </c>
    </row>
    <row r="236">
      <c r="A236" s="5" t="n"/>
      <c r="B236" s="12" t="n"/>
      <c r="C236" s="6" t="n"/>
      <c r="D236" s="6" t="n"/>
      <c r="E236" s="13" t="n"/>
      <c r="F236" s="14" t="n"/>
      <c r="G236" s="12" t="n"/>
      <c r="H236" s="15">
        <f>IF($A236="","",IFERROR(VLOOKUP($A236,Clientes!$A$3:$C$1002,2,0),"NÃO CADASTRADO"))</f>
        <v/>
      </c>
      <c r="I236" s="16">
        <f>IF($A236="","",IFERROR(VLOOKUP($A236,Clientes!$A$3:$C$1002,3,0),"NÃO CADASTRADO"))</f>
        <v/>
      </c>
      <c r="J236" s="12">
        <f>IF($A236="","",IF($A236='Carteira do Cliente'!$B$4,COUNTIF($A$3:$A236,'Carteira do Cliente'!$B$4),""))</f>
        <v/>
      </c>
    </row>
    <row r="237">
      <c r="A237" s="3" t="n"/>
      <c r="B237" s="7" t="n"/>
      <c r="C237" s="4" t="n"/>
      <c r="D237" s="4" t="n"/>
      <c r="E237" s="8" t="n"/>
      <c r="F237" s="9" t="n"/>
      <c r="G237" s="7" t="n"/>
      <c r="H237" s="10">
        <f>IF($A237="","",IFERROR(VLOOKUP($A237,Clientes!$A$3:$C$1002,2,0),"NÃO CADASTRADO"))</f>
        <v/>
      </c>
      <c r="I237" s="11">
        <f>IF($A237="","",IFERROR(VLOOKUP($A237,Clientes!$A$3:$C$1002,3,0),"NÃO CADASTRADO"))</f>
        <v/>
      </c>
      <c r="J237" s="7">
        <f>IF($A237="","",IF($A237='Carteira do Cliente'!$B$4,COUNTIF($A$3:$A237,'Carteira do Cliente'!$B$4),""))</f>
        <v/>
      </c>
    </row>
    <row r="238">
      <c r="A238" s="5" t="n"/>
      <c r="B238" s="12" t="n"/>
      <c r="C238" s="6" t="n"/>
      <c r="D238" s="6" t="n"/>
      <c r="E238" s="13" t="n"/>
      <c r="F238" s="14" t="n"/>
      <c r="G238" s="12" t="n"/>
      <c r="H238" s="15">
        <f>IF($A238="","",IFERROR(VLOOKUP($A238,Clientes!$A$3:$C$1002,2,0),"NÃO CADASTRADO"))</f>
        <v/>
      </c>
      <c r="I238" s="16">
        <f>IF($A238="","",IFERROR(VLOOKUP($A238,Clientes!$A$3:$C$1002,3,0),"NÃO CADASTRADO"))</f>
        <v/>
      </c>
      <c r="J238" s="12">
        <f>IF($A238="","",IF($A238='Carteira do Cliente'!$B$4,COUNTIF($A$3:$A238,'Carteira do Cliente'!$B$4),""))</f>
        <v/>
      </c>
    </row>
    <row r="239">
      <c r="A239" s="3" t="n"/>
      <c r="B239" s="7" t="n"/>
      <c r="C239" s="4" t="n"/>
      <c r="D239" s="4" t="n"/>
      <c r="E239" s="8" t="n"/>
      <c r="F239" s="9" t="n"/>
      <c r="G239" s="7" t="n"/>
      <c r="H239" s="10">
        <f>IF($A239="","",IFERROR(VLOOKUP($A239,Clientes!$A$3:$C$1002,2,0),"NÃO CADASTRADO"))</f>
        <v/>
      </c>
      <c r="I239" s="11">
        <f>IF($A239="","",IFERROR(VLOOKUP($A239,Clientes!$A$3:$C$1002,3,0),"NÃO CADASTRADO"))</f>
        <v/>
      </c>
      <c r="J239" s="7">
        <f>IF($A239="","",IF($A239='Carteira do Cliente'!$B$4,COUNTIF($A$3:$A239,'Carteira do Cliente'!$B$4),""))</f>
        <v/>
      </c>
    </row>
    <row r="240">
      <c r="A240" s="5" t="n"/>
      <c r="B240" s="12" t="n"/>
      <c r="C240" s="6" t="n"/>
      <c r="D240" s="6" t="n"/>
      <c r="E240" s="13" t="n"/>
      <c r="F240" s="14" t="n"/>
      <c r="G240" s="12" t="n"/>
      <c r="H240" s="15">
        <f>IF($A240="","",IFERROR(VLOOKUP($A240,Clientes!$A$3:$C$1002,2,0),"NÃO CADASTRADO"))</f>
        <v/>
      </c>
      <c r="I240" s="16">
        <f>IF($A240="","",IFERROR(VLOOKUP($A240,Clientes!$A$3:$C$1002,3,0),"NÃO CADASTRADO"))</f>
        <v/>
      </c>
      <c r="J240" s="12">
        <f>IF($A240="","",IF($A240='Carteira do Cliente'!$B$4,COUNTIF($A$3:$A240,'Carteira do Cliente'!$B$4),""))</f>
        <v/>
      </c>
    </row>
    <row r="241">
      <c r="A241" s="3" t="n"/>
      <c r="B241" s="7" t="n"/>
      <c r="C241" s="4" t="n"/>
      <c r="D241" s="4" t="n"/>
      <c r="E241" s="8" t="n"/>
      <c r="F241" s="9" t="n"/>
      <c r="G241" s="7" t="n"/>
      <c r="H241" s="10">
        <f>IF($A241="","",IFERROR(VLOOKUP($A241,Clientes!$A$3:$C$1002,2,0),"NÃO CADASTRADO"))</f>
        <v/>
      </c>
      <c r="I241" s="11">
        <f>IF($A241="","",IFERROR(VLOOKUP($A241,Clientes!$A$3:$C$1002,3,0),"NÃO CADASTRADO"))</f>
        <v/>
      </c>
      <c r="J241" s="7">
        <f>IF($A241="","",IF($A241='Carteira do Cliente'!$B$4,COUNTIF($A$3:$A241,'Carteira do Cliente'!$B$4),""))</f>
        <v/>
      </c>
    </row>
    <row r="242">
      <c r="A242" s="5" t="n"/>
      <c r="B242" s="12" t="n"/>
      <c r="C242" s="6" t="n"/>
      <c r="D242" s="6" t="n"/>
      <c r="E242" s="13" t="n"/>
      <c r="F242" s="14" t="n"/>
      <c r="G242" s="12" t="n"/>
      <c r="H242" s="15">
        <f>IF($A242="","",IFERROR(VLOOKUP($A242,Clientes!$A$3:$C$1002,2,0),"NÃO CADASTRADO"))</f>
        <v/>
      </c>
      <c r="I242" s="16">
        <f>IF($A242="","",IFERROR(VLOOKUP($A242,Clientes!$A$3:$C$1002,3,0),"NÃO CADASTRADO"))</f>
        <v/>
      </c>
      <c r="J242" s="12">
        <f>IF($A242="","",IF($A242='Carteira do Cliente'!$B$4,COUNTIF($A$3:$A242,'Carteira do Cliente'!$B$4),""))</f>
        <v/>
      </c>
    </row>
    <row r="243">
      <c r="A243" s="3" t="n"/>
      <c r="B243" s="7" t="n"/>
      <c r="C243" s="4" t="n"/>
      <c r="D243" s="4" t="n"/>
      <c r="E243" s="8" t="n"/>
      <c r="F243" s="9" t="n"/>
      <c r="G243" s="7" t="n"/>
      <c r="H243" s="10">
        <f>IF($A243="","",IFERROR(VLOOKUP($A243,Clientes!$A$3:$C$1002,2,0),"NÃO CADASTRADO"))</f>
        <v/>
      </c>
      <c r="I243" s="11">
        <f>IF($A243="","",IFERROR(VLOOKUP($A243,Clientes!$A$3:$C$1002,3,0),"NÃO CADASTRADO"))</f>
        <v/>
      </c>
      <c r="J243" s="7">
        <f>IF($A243="","",IF($A243='Carteira do Cliente'!$B$4,COUNTIF($A$3:$A243,'Carteira do Cliente'!$B$4),""))</f>
        <v/>
      </c>
    </row>
    <row r="244">
      <c r="A244" s="5" t="n"/>
      <c r="B244" s="12" t="n"/>
      <c r="C244" s="6" t="n"/>
      <c r="D244" s="6" t="n"/>
      <c r="E244" s="13" t="n"/>
      <c r="F244" s="14" t="n"/>
      <c r="G244" s="12" t="n"/>
      <c r="H244" s="15">
        <f>IF($A244="","",IFERROR(VLOOKUP($A244,Clientes!$A$3:$C$1002,2,0),"NÃO CADASTRADO"))</f>
        <v/>
      </c>
      <c r="I244" s="16">
        <f>IF($A244="","",IFERROR(VLOOKUP($A244,Clientes!$A$3:$C$1002,3,0),"NÃO CADASTRADO"))</f>
        <v/>
      </c>
      <c r="J244" s="12">
        <f>IF($A244="","",IF($A244='Carteira do Cliente'!$B$4,COUNTIF($A$3:$A244,'Carteira do Cliente'!$B$4),""))</f>
        <v/>
      </c>
    </row>
    <row r="245">
      <c r="A245" s="3" t="n"/>
      <c r="B245" s="7" t="n"/>
      <c r="C245" s="4" t="n"/>
      <c r="D245" s="4" t="n"/>
      <c r="E245" s="8" t="n"/>
      <c r="F245" s="9" t="n"/>
      <c r="G245" s="7" t="n"/>
      <c r="H245" s="10">
        <f>IF($A245="","",IFERROR(VLOOKUP($A245,Clientes!$A$3:$C$1002,2,0),"NÃO CADASTRADO"))</f>
        <v/>
      </c>
      <c r="I245" s="11">
        <f>IF($A245="","",IFERROR(VLOOKUP($A245,Clientes!$A$3:$C$1002,3,0),"NÃO CADASTRADO"))</f>
        <v/>
      </c>
      <c r="J245" s="7">
        <f>IF($A245="","",IF($A245='Carteira do Cliente'!$B$4,COUNTIF($A$3:$A245,'Carteira do Cliente'!$B$4),""))</f>
        <v/>
      </c>
    </row>
    <row r="246">
      <c r="A246" s="5" t="n"/>
      <c r="B246" s="12" t="n"/>
      <c r="C246" s="6" t="n"/>
      <c r="D246" s="6" t="n"/>
      <c r="E246" s="13" t="n"/>
      <c r="F246" s="14" t="n"/>
      <c r="G246" s="12" t="n"/>
      <c r="H246" s="15">
        <f>IF($A246="","",IFERROR(VLOOKUP($A246,Clientes!$A$3:$C$1002,2,0),"NÃO CADASTRADO"))</f>
        <v/>
      </c>
      <c r="I246" s="16">
        <f>IF($A246="","",IFERROR(VLOOKUP($A246,Clientes!$A$3:$C$1002,3,0),"NÃO CADASTRADO"))</f>
        <v/>
      </c>
      <c r="J246" s="12">
        <f>IF($A246="","",IF($A246='Carteira do Cliente'!$B$4,COUNTIF($A$3:$A246,'Carteira do Cliente'!$B$4),""))</f>
        <v/>
      </c>
    </row>
    <row r="247">
      <c r="A247" s="3" t="n"/>
      <c r="B247" s="7" t="n"/>
      <c r="C247" s="4" t="n"/>
      <c r="D247" s="4" t="n"/>
      <c r="E247" s="8" t="n"/>
      <c r="F247" s="9" t="n"/>
      <c r="G247" s="7" t="n"/>
      <c r="H247" s="10">
        <f>IF($A247="","",IFERROR(VLOOKUP($A247,Clientes!$A$3:$C$1002,2,0),"NÃO CADASTRADO"))</f>
        <v/>
      </c>
      <c r="I247" s="11">
        <f>IF($A247="","",IFERROR(VLOOKUP($A247,Clientes!$A$3:$C$1002,3,0),"NÃO CADASTRADO"))</f>
        <v/>
      </c>
      <c r="J247" s="7">
        <f>IF($A247="","",IF($A247='Carteira do Cliente'!$B$4,COUNTIF($A$3:$A247,'Carteira do Cliente'!$B$4),""))</f>
        <v/>
      </c>
    </row>
    <row r="248">
      <c r="A248" s="5" t="n"/>
      <c r="B248" s="12" t="n"/>
      <c r="C248" s="6" t="n"/>
      <c r="D248" s="6" t="n"/>
      <c r="E248" s="13" t="n"/>
      <c r="F248" s="14" t="n"/>
      <c r="G248" s="12" t="n"/>
      <c r="H248" s="15">
        <f>IF($A248="","",IFERROR(VLOOKUP($A248,Clientes!$A$3:$C$1002,2,0),"NÃO CADASTRADO"))</f>
        <v/>
      </c>
      <c r="I248" s="16">
        <f>IF($A248="","",IFERROR(VLOOKUP($A248,Clientes!$A$3:$C$1002,3,0),"NÃO CADASTRADO"))</f>
        <v/>
      </c>
      <c r="J248" s="12">
        <f>IF($A248="","",IF($A248='Carteira do Cliente'!$B$4,COUNTIF($A$3:$A248,'Carteira do Cliente'!$B$4),""))</f>
        <v/>
      </c>
    </row>
    <row r="249">
      <c r="A249" s="3" t="n"/>
      <c r="B249" s="7" t="n"/>
      <c r="C249" s="4" t="n"/>
      <c r="D249" s="4" t="n"/>
      <c r="E249" s="8" t="n"/>
      <c r="F249" s="9" t="n"/>
      <c r="G249" s="7" t="n"/>
      <c r="H249" s="10">
        <f>IF($A249="","",IFERROR(VLOOKUP($A249,Clientes!$A$3:$C$1002,2,0),"NÃO CADASTRADO"))</f>
        <v/>
      </c>
      <c r="I249" s="11">
        <f>IF($A249="","",IFERROR(VLOOKUP($A249,Clientes!$A$3:$C$1002,3,0),"NÃO CADASTRADO"))</f>
        <v/>
      </c>
      <c r="J249" s="7">
        <f>IF($A249="","",IF($A249='Carteira do Cliente'!$B$4,COUNTIF($A$3:$A249,'Carteira do Cliente'!$B$4),""))</f>
        <v/>
      </c>
    </row>
    <row r="250">
      <c r="A250" s="5" t="n"/>
      <c r="B250" s="12" t="n"/>
      <c r="C250" s="6" t="n"/>
      <c r="D250" s="6" t="n"/>
      <c r="E250" s="13" t="n"/>
      <c r="F250" s="14" t="n"/>
      <c r="G250" s="12" t="n"/>
      <c r="H250" s="15">
        <f>IF($A250="","",IFERROR(VLOOKUP($A250,Clientes!$A$3:$C$1002,2,0),"NÃO CADASTRADO"))</f>
        <v/>
      </c>
      <c r="I250" s="16">
        <f>IF($A250="","",IFERROR(VLOOKUP($A250,Clientes!$A$3:$C$1002,3,0),"NÃO CADASTRADO"))</f>
        <v/>
      </c>
      <c r="J250" s="12">
        <f>IF($A250="","",IF($A250='Carteira do Cliente'!$B$4,COUNTIF($A$3:$A250,'Carteira do Cliente'!$B$4),""))</f>
        <v/>
      </c>
    </row>
    <row r="251">
      <c r="A251" s="3" t="n"/>
      <c r="B251" s="7" t="n"/>
      <c r="C251" s="4" t="n"/>
      <c r="D251" s="4" t="n"/>
      <c r="E251" s="8" t="n"/>
      <c r="F251" s="9" t="n"/>
      <c r="G251" s="7" t="n"/>
      <c r="H251" s="10">
        <f>IF($A251="","",IFERROR(VLOOKUP($A251,Clientes!$A$3:$C$1002,2,0),"NÃO CADASTRADO"))</f>
        <v/>
      </c>
      <c r="I251" s="11">
        <f>IF($A251="","",IFERROR(VLOOKUP($A251,Clientes!$A$3:$C$1002,3,0),"NÃO CADASTRADO"))</f>
        <v/>
      </c>
      <c r="J251" s="7">
        <f>IF($A251="","",IF($A251='Carteira do Cliente'!$B$4,COUNTIF($A$3:$A251,'Carteira do Cliente'!$B$4),""))</f>
        <v/>
      </c>
    </row>
    <row r="252">
      <c r="A252" s="5" t="n"/>
      <c r="B252" s="12" t="n"/>
      <c r="C252" s="6" t="n"/>
      <c r="D252" s="6" t="n"/>
      <c r="E252" s="13" t="n"/>
      <c r="F252" s="14" t="n"/>
      <c r="G252" s="12" t="n"/>
      <c r="H252" s="15">
        <f>IF($A252="","",IFERROR(VLOOKUP($A252,Clientes!$A$3:$C$1002,2,0),"NÃO CADASTRADO"))</f>
        <v/>
      </c>
      <c r="I252" s="16">
        <f>IF($A252="","",IFERROR(VLOOKUP($A252,Clientes!$A$3:$C$1002,3,0),"NÃO CADASTRADO"))</f>
        <v/>
      </c>
      <c r="J252" s="12">
        <f>IF($A252="","",IF($A252='Carteira do Cliente'!$B$4,COUNTIF($A$3:$A252,'Carteira do Cliente'!$B$4),""))</f>
        <v/>
      </c>
    </row>
    <row r="253">
      <c r="A253" s="3" t="n"/>
      <c r="B253" s="7" t="n"/>
      <c r="C253" s="4" t="n"/>
      <c r="D253" s="4" t="n"/>
      <c r="E253" s="8" t="n"/>
      <c r="F253" s="9" t="n"/>
      <c r="G253" s="7" t="n"/>
      <c r="H253" s="10">
        <f>IF($A253="","",IFERROR(VLOOKUP($A253,Clientes!$A$3:$C$1002,2,0),"NÃO CADASTRADO"))</f>
        <v/>
      </c>
      <c r="I253" s="11">
        <f>IF($A253="","",IFERROR(VLOOKUP($A253,Clientes!$A$3:$C$1002,3,0),"NÃO CADASTRADO"))</f>
        <v/>
      </c>
      <c r="J253" s="7">
        <f>IF($A253="","",IF($A253='Carteira do Cliente'!$B$4,COUNTIF($A$3:$A253,'Carteira do Cliente'!$B$4),""))</f>
        <v/>
      </c>
    </row>
    <row r="254">
      <c r="A254" s="5" t="n"/>
      <c r="B254" s="12" t="n"/>
      <c r="C254" s="6" t="n"/>
      <c r="D254" s="6" t="n"/>
      <c r="E254" s="13" t="n"/>
      <c r="F254" s="14" t="n"/>
      <c r="G254" s="12" t="n"/>
      <c r="H254" s="15">
        <f>IF($A254="","",IFERROR(VLOOKUP($A254,Clientes!$A$3:$C$1002,2,0),"NÃO CADASTRADO"))</f>
        <v/>
      </c>
      <c r="I254" s="16">
        <f>IF($A254="","",IFERROR(VLOOKUP($A254,Clientes!$A$3:$C$1002,3,0),"NÃO CADASTRADO"))</f>
        <v/>
      </c>
      <c r="J254" s="12">
        <f>IF($A254="","",IF($A254='Carteira do Cliente'!$B$4,COUNTIF($A$3:$A254,'Carteira do Cliente'!$B$4),""))</f>
        <v/>
      </c>
    </row>
    <row r="255">
      <c r="A255" s="3" t="n"/>
      <c r="B255" s="7" t="n"/>
      <c r="C255" s="4" t="n"/>
      <c r="D255" s="4" t="n"/>
      <c r="E255" s="8" t="n"/>
      <c r="F255" s="9" t="n"/>
      <c r="G255" s="7" t="n"/>
      <c r="H255" s="10">
        <f>IF($A255="","",IFERROR(VLOOKUP($A255,Clientes!$A$3:$C$1002,2,0),"NÃO CADASTRADO"))</f>
        <v/>
      </c>
      <c r="I255" s="11">
        <f>IF($A255="","",IFERROR(VLOOKUP($A255,Clientes!$A$3:$C$1002,3,0),"NÃO CADASTRADO"))</f>
        <v/>
      </c>
      <c r="J255" s="7">
        <f>IF($A255="","",IF($A255='Carteira do Cliente'!$B$4,COUNTIF($A$3:$A255,'Carteira do Cliente'!$B$4),""))</f>
        <v/>
      </c>
    </row>
    <row r="256">
      <c r="A256" s="5" t="n"/>
      <c r="B256" s="12" t="n"/>
      <c r="C256" s="6" t="n"/>
      <c r="D256" s="6" t="n"/>
      <c r="E256" s="13" t="n"/>
      <c r="F256" s="14" t="n"/>
      <c r="G256" s="12" t="n"/>
      <c r="H256" s="15">
        <f>IF($A256="","",IFERROR(VLOOKUP($A256,Clientes!$A$3:$C$1002,2,0),"NÃO CADASTRADO"))</f>
        <v/>
      </c>
      <c r="I256" s="16">
        <f>IF($A256="","",IFERROR(VLOOKUP($A256,Clientes!$A$3:$C$1002,3,0),"NÃO CADASTRADO"))</f>
        <v/>
      </c>
      <c r="J256" s="12">
        <f>IF($A256="","",IF($A256='Carteira do Cliente'!$B$4,COUNTIF($A$3:$A256,'Carteira do Cliente'!$B$4),""))</f>
        <v/>
      </c>
    </row>
    <row r="257">
      <c r="A257" s="3" t="n"/>
      <c r="B257" s="7" t="n"/>
      <c r="C257" s="4" t="n"/>
      <c r="D257" s="4" t="n"/>
      <c r="E257" s="8" t="n"/>
      <c r="F257" s="9" t="n"/>
      <c r="G257" s="7" t="n"/>
      <c r="H257" s="10">
        <f>IF($A257="","",IFERROR(VLOOKUP($A257,Clientes!$A$3:$C$1002,2,0),"NÃO CADASTRADO"))</f>
        <v/>
      </c>
      <c r="I257" s="11">
        <f>IF($A257="","",IFERROR(VLOOKUP($A257,Clientes!$A$3:$C$1002,3,0),"NÃO CADASTRADO"))</f>
        <v/>
      </c>
      <c r="J257" s="7">
        <f>IF($A257="","",IF($A257='Carteira do Cliente'!$B$4,COUNTIF($A$3:$A257,'Carteira do Cliente'!$B$4),""))</f>
        <v/>
      </c>
    </row>
    <row r="258">
      <c r="A258" s="5" t="n"/>
      <c r="B258" s="12" t="n"/>
      <c r="C258" s="6" t="n"/>
      <c r="D258" s="6" t="n"/>
      <c r="E258" s="13" t="n"/>
      <c r="F258" s="14" t="n"/>
      <c r="G258" s="12" t="n"/>
      <c r="H258" s="15">
        <f>IF($A258="","",IFERROR(VLOOKUP($A258,Clientes!$A$3:$C$1002,2,0),"NÃO CADASTRADO"))</f>
        <v/>
      </c>
      <c r="I258" s="16">
        <f>IF($A258="","",IFERROR(VLOOKUP($A258,Clientes!$A$3:$C$1002,3,0),"NÃO CADASTRADO"))</f>
        <v/>
      </c>
      <c r="J258" s="12">
        <f>IF($A258="","",IF($A258='Carteira do Cliente'!$B$4,COUNTIF($A$3:$A258,'Carteira do Cliente'!$B$4),""))</f>
        <v/>
      </c>
    </row>
    <row r="259">
      <c r="A259" s="3" t="n"/>
      <c r="B259" s="7" t="n"/>
      <c r="C259" s="4" t="n"/>
      <c r="D259" s="4" t="n"/>
      <c r="E259" s="8" t="n"/>
      <c r="F259" s="9" t="n"/>
      <c r="G259" s="7" t="n"/>
      <c r="H259" s="10">
        <f>IF($A259="","",IFERROR(VLOOKUP($A259,Clientes!$A$3:$C$1002,2,0),"NÃO CADASTRADO"))</f>
        <v/>
      </c>
      <c r="I259" s="11">
        <f>IF($A259="","",IFERROR(VLOOKUP($A259,Clientes!$A$3:$C$1002,3,0),"NÃO CADASTRADO"))</f>
        <v/>
      </c>
      <c r="J259" s="7">
        <f>IF($A259="","",IF($A259='Carteira do Cliente'!$B$4,COUNTIF($A$3:$A259,'Carteira do Cliente'!$B$4),""))</f>
        <v/>
      </c>
    </row>
    <row r="260">
      <c r="A260" s="5" t="n"/>
      <c r="B260" s="12" t="n"/>
      <c r="C260" s="6" t="n"/>
      <c r="D260" s="6" t="n"/>
      <c r="E260" s="13" t="n"/>
      <c r="F260" s="14" t="n"/>
      <c r="G260" s="12" t="n"/>
      <c r="H260" s="15">
        <f>IF($A260="","",IFERROR(VLOOKUP($A260,Clientes!$A$3:$C$1002,2,0),"NÃO CADASTRADO"))</f>
        <v/>
      </c>
      <c r="I260" s="16">
        <f>IF($A260="","",IFERROR(VLOOKUP($A260,Clientes!$A$3:$C$1002,3,0),"NÃO CADASTRADO"))</f>
        <v/>
      </c>
      <c r="J260" s="12">
        <f>IF($A260="","",IF($A260='Carteira do Cliente'!$B$4,COUNTIF($A$3:$A260,'Carteira do Cliente'!$B$4),""))</f>
        <v/>
      </c>
    </row>
    <row r="261">
      <c r="A261" s="3" t="n"/>
      <c r="B261" s="7" t="n"/>
      <c r="C261" s="4" t="n"/>
      <c r="D261" s="4" t="n"/>
      <c r="E261" s="8" t="n"/>
      <c r="F261" s="9" t="n"/>
      <c r="G261" s="7" t="n"/>
      <c r="H261" s="10">
        <f>IF($A261="","",IFERROR(VLOOKUP($A261,Clientes!$A$3:$C$1002,2,0),"NÃO CADASTRADO"))</f>
        <v/>
      </c>
      <c r="I261" s="11">
        <f>IF($A261="","",IFERROR(VLOOKUP($A261,Clientes!$A$3:$C$1002,3,0),"NÃO CADASTRADO"))</f>
        <v/>
      </c>
      <c r="J261" s="7">
        <f>IF($A261="","",IF($A261='Carteira do Cliente'!$B$4,COUNTIF($A$3:$A261,'Carteira do Cliente'!$B$4),""))</f>
        <v/>
      </c>
    </row>
    <row r="262">
      <c r="A262" s="5" t="n"/>
      <c r="B262" s="12" t="n"/>
      <c r="C262" s="6" t="n"/>
      <c r="D262" s="6" t="n"/>
      <c r="E262" s="13" t="n"/>
      <c r="F262" s="14" t="n"/>
      <c r="G262" s="12" t="n"/>
      <c r="H262" s="15">
        <f>IF($A262="","",IFERROR(VLOOKUP($A262,Clientes!$A$3:$C$1002,2,0),"NÃO CADASTRADO"))</f>
        <v/>
      </c>
      <c r="I262" s="16">
        <f>IF($A262="","",IFERROR(VLOOKUP($A262,Clientes!$A$3:$C$1002,3,0),"NÃO CADASTRADO"))</f>
        <v/>
      </c>
      <c r="J262" s="12">
        <f>IF($A262="","",IF($A262='Carteira do Cliente'!$B$4,COUNTIF($A$3:$A262,'Carteira do Cliente'!$B$4),""))</f>
        <v/>
      </c>
    </row>
    <row r="263">
      <c r="A263" s="3" t="n"/>
      <c r="B263" s="7" t="n"/>
      <c r="C263" s="4" t="n"/>
      <c r="D263" s="4" t="n"/>
      <c r="E263" s="8" t="n"/>
      <c r="F263" s="9" t="n"/>
      <c r="G263" s="7" t="n"/>
      <c r="H263" s="10">
        <f>IF($A263="","",IFERROR(VLOOKUP($A263,Clientes!$A$3:$C$1002,2,0),"NÃO CADASTRADO"))</f>
        <v/>
      </c>
      <c r="I263" s="11">
        <f>IF($A263="","",IFERROR(VLOOKUP($A263,Clientes!$A$3:$C$1002,3,0),"NÃO CADASTRADO"))</f>
        <v/>
      </c>
      <c r="J263" s="7">
        <f>IF($A263="","",IF($A263='Carteira do Cliente'!$B$4,COUNTIF($A$3:$A263,'Carteira do Cliente'!$B$4),""))</f>
        <v/>
      </c>
    </row>
    <row r="264">
      <c r="A264" s="5" t="n"/>
      <c r="B264" s="12" t="n"/>
      <c r="C264" s="6" t="n"/>
      <c r="D264" s="6" t="n"/>
      <c r="E264" s="13" t="n"/>
      <c r="F264" s="14" t="n"/>
      <c r="G264" s="12" t="n"/>
      <c r="H264" s="15">
        <f>IF($A264="","",IFERROR(VLOOKUP($A264,Clientes!$A$3:$C$1002,2,0),"NÃO CADASTRADO"))</f>
        <v/>
      </c>
      <c r="I264" s="16">
        <f>IF($A264="","",IFERROR(VLOOKUP($A264,Clientes!$A$3:$C$1002,3,0),"NÃO CADASTRADO"))</f>
        <v/>
      </c>
      <c r="J264" s="12">
        <f>IF($A264="","",IF($A264='Carteira do Cliente'!$B$4,COUNTIF($A$3:$A264,'Carteira do Cliente'!$B$4),""))</f>
        <v/>
      </c>
    </row>
    <row r="265">
      <c r="A265" s="3" t="n"/>
      <c r="B265" s="7" t="n"/>
      <c r="C265" s="4" t="n"/>
      <c r="D265" s="4" t="n"/>
      <c r="E265" s="8" t="n"/>
      <c r="F265" s="9" t="n"/>
      <c r="G265" s="7" t="n"/>
      <c r="H265" s="10">
        <f>IF($A265="","",IFERROR(VLOOKUP($A265,Clientes!$A$3:$C$1002,2,0),"NÃO CADASTRADO"))</f>
        <v/>
      </c>
      <c r="I265" s="11">
        <f>IF($A265="","",IFERROR(VLOOKUP($A265,Clientes!$A$3:$C$1002,3,0),"NÃO CADASTRADO"))</f>
        <v/>
      </c>
      <c r="J265" s="7">
        <f>IF($A265="","",IF($A265='Carteira do Cliente'!$B$4,COUNTIF($A$3:$A265,'Carteira do Cliente'!$B$4),""))</f>
        <v/>
      </c>
    </row>
    <row r="266">
      <c r="A266" s="5" t="n"/>
      <c r="B266" s="12" t="n"/>
      <c r="C266" s="6" t="n"/>
      <c r="D266" s="6" t="n"/>
      <c r="E266" s="13" t="n"/>
      <c r="F266" s="14" t="n"/>
      <c r="G266" s="12" t="n"/>
      <c r="H266" s="15">
        <f>IF($A266="","",IFERROR(VLOOKUP($A266,Clientes!$A$3:$C$1002,2,0),"NÃO CADASTRADO"))</f>
        <v/>
      </c>
      <c r="I266" s="16">
        <f>IF($A266="","",IFERROR(VLOOKUP($A266,Clientes!$A$3:$C$1002,3,0),"NÃO CADASTRADO"))</f>
        <v/>
      </c>
      <c r="J266" s="12">
        <f>IF($A266="","",IF($A266='Carteira do Cliente'!$B$4,COUNTIF($A$3:$A266,'Carteira do Cliente'!$B$4),""))</f>
        <v/>
      </c>
    </row>
    <row r="267">
      <c r="A267" s="3" t="n"/>
      <c r="B267" s="7" t="n"/>
      <c r="C267" s="4" t="n"/>
      <c r="D267" s="4" t="n"/>
      <c r="E267" s="8" t="n"/>
      <c r="F267" s="9" t="n"/>
      <c r="G267" s="7" t="n"/>
      <c r="H267" s="10">
        <f>IF($A267="","",IFERROR(VLOOKUP($A267,Clientes!$A$3:$C$1002,2,0),"NÃO CADASTRADO"))</f>
        <v/>
      </c>
      <c r="I267" s="11">
        <f>IF($A267="","",IFERROR(VLOOKUP($A267,Clientes!$A$3:$C$1002,3,0),"NÃO CADASTRADO"))</f>
        <v/>
      </c>
      <c r="J267" s="7">
        <f>IF($A267="","",IF($A267='Carteira do Cliente'!$B$4,COUNTIF($A$3:$A267,'Carteira do Cliente'!$B$4),""))</f>
        <v/>
      </c>
    </row>
    <row r="268">
      <c r="A268" s="5" t="n"/>
      <c r="B268" s="12" t="n"/>
      <c r="C268" s="6" t="n"/>
      <c r="D268" s="6" t="n"/>
      <c r="E268" s="13" t="n"/>
      <c r="F268" s="14" t="n"/>
      <c r="G268" s="12" t="n"/>
      <c r="H268" s="15">
        <f>IF($A268="","",IFERROR(VLOOKUP($A268,Clientes!$A$3:$C$1002,2,0),"NÃO CADASTRADO"))</f>
        <v/>
      </c>
      <c r="I268" s="16">
        <f>IF($A268="","",IFERROR(VLOOKUP($A268,Clientes!$A$3:$C$1002,3,0),"NÃO CADASTRADO"))</f>
        <v/>
      </c>
      <c r="J268" s="12">
        <f>IF($A268="","",IF($A268='Carteira do Cliente'!$B$4,COUNTIF($A$3:$A268,'Carteira do Cliente'!$B$4),""))</f>
        <v/>
      </c>
    </row>
    <row r="269">
      <c r="A269" s="3" t="n"/>
      <c r="B269" s="7" t="n"/>
      <c r="C269" s="4" t="n"/>
      <c r="D269" s="4" t="n"/>
      <c r="E269" s="8" t="n"/>
      <c r="F269" s="9" t="n"/>
      <c r="G269" s="7" t="n"/>
      <c r="H269" s="10">
        <f>IF($A269="","",IFERROR(VLOOKUP($A269,Clientes!$A$3:$C$1002,2,0),"NÃO CADASTRADO"))</f>
        <v/>
      </c>
      <c r="I269" s="11">
        <f>IF($A269="","",IFERROR(VLOOKUP($A269,Clientes!$A$3:$C$1002,3,0),"NÃO CADASTRADO"))</f>
        <v/>
      </c>
      <c r="J269" s="7">
        <f>IF($A269="","",IF($A269='Carteira do Cliente'!$B$4,COUNTIF($A$3:$A269,'Carteira do Cliente'!$B$4),""))</f>
        <v/>
      </c>
    </row>
    <row r="270">
      <c r="A270" s="5" t="n"/>
      <c r="B270" s="12" t="n"/>
      <c r="C270" s="6" t="n"/>
      <c r="D270" s="6" t="n"/>
      <c r="E270" s="13" t="n"/>
      <c r="F270" s="14" t="n"/>
      <c r="G270" s="12" t="n"/>
      <c r="H270" s="15">
        <f>IF($A270="","",IFERROR(VLOOKUP($A270,Clientes!$A$3:$C$1002,2,0),"NÃO CADASTRADO"))</f>
        <v/>
      </c>
      <c r="I270" s="16">
        <f>IF($A270="","",IFERROR(VLOOKUP($A270,Clientes!$A$3:$C$1002,3,0),"NÃO CADASTRADO"))</f>
        <v/>
      </c>
      <c r="J270" s="12">
        <f>IF($A270="","",IF($A270='Carteira do Cliente'!$B$4,COUNTIF($A$3:$A270,'Carteira do Cliente'!$B$4),""))</f>
        <v/>
      </c>
    </row>
    <row r="271">
      <c r="A271" s="3" t="n"/>
      <c r="B271" s="7" t="n"/>
      <c r="C271" s="4" t="n"/>
      <c r="D271" s="4" t="n"/>
      <c r="E271" s="8" t="n"/>
      <c r="F271" s="9" t="n"/>
      <c r="G271" s="7" t="n"/>
      <c r="H271" s="10">
        <f>IF($A271="","",IFERROR(VLOOKUP($A271,Clientes!$A$3:$C$1002,2,0),"NÃO CADASTRADO"))</f>
        <v/>
      </c>
      <c r="I271" s="11">
        <f>IF($A271="","",IFERROR(VLOOKUP($A271,Clientes!$A$3:$C$1002,3,0),"NÃO CADASTRADO"))</f>
        <v/>
      </c>
      <c r="J271" s="7">
        <f>IF($A271="","",IF($A271='Carteira do Cliente'!$B$4,COUNTIF($A$3:$A271,'Carteira do Cliente'!$B$4),""))</f>
        <v/>
      </c>
    </row>
    <row r="272">
      <c r="A272" s="5" t="n"/>
      <c r="B272" s="12" t="n"/>
      <c r="C272" s="6" t="n"/>
      <c r="D272" s="6" t="n"/>
      <c r="E272" s="13" t="n"/>
      <c r="F272" s="14" t="n"/>
      <c r="G272" s="12" t="n"/>
      <c r="H272" s="15">
        <f>IF($A272="","",IFERROR(VLOOKUP($A272,Clientes!$A$3:$C$1002,2,0),"NÃO CADASTRADO"))</f>
        <v/>
      </c>
      <c r="I272" s="16">
        <f>IF($A272="","",IFERROR(VLOOKUP($A272,Clientes!$A$3:$C$1002,3,0),"NÃO CADASTRADO"))</f>
        <v/>
      </c>
      <c r="J272" s="12">
        <f>IF($A272="","",IF($A272='Carteira do Cliente'!$B$4,COUNTIF($A$3:$A272,'Carteira do Cliente'!$B$4),""))</f>
        <v/>
      </c>
    </row>
    <row r="273">
      <c r="A273" s="3" t="n"/>
      <c r="B273" s="7" t="n"/>
      <c r="C273" s="4" t="n"/>
      <c r="D273" s="4" t="n"/>
      <c r="E273" s="8" t="n"/>
      <c r="F273" s="9" t="n"/>
      <c r="G273" s="7" t="n"/>
      <c r="H273" s="10">
        <f>IF($A273="","",IFERROR(VLOOKUP($A273,Clientes!$A$3:$C$1002,2,0),"NÃO CADASTRADO"))</f>
        <v/>
      </c>
      <c r="I273" s="11">
        <f>IF($A273="","",IFERROR(VLOOKUP($A273,Clientes!$A$3:$C$1002,3,0),"NÃO CADASTRADO"))</f>
        <v/>
      </c>
      <c r="J273" s="7">
        <f>IF($A273="","",IF($A273='Carteira do Cliente'!$B$4,COUNTIF($A$3:$A273,'Carteira do Cliente'!$B$4),""))</f>
        <v/>
      </c>
    </row>
    <row r="274">
      <c r="A274" s="5" t="n"/>
      <c r="B274" s="12" t="n"/>
      <c r="C274" s="6" t="n"/>
      <c r="D274" s="6" t="n"/>
      <c r="E274" s="13" t="n"/>
      <c r="F274" s="14" t="n"/>
      <c r="G274" s="12" t="n"/>
      <c r="H274" s="15">
        <f>IF($A274="","",IFERROR(VLOOKUP($A274,Clientes!$A$3:$C$1002,2,0),"NÃO CADASTRADO"))</f>
        <v/>
      </c>
      <c r="I274" s="16">
        <f>IF($A274="","",IFERROR(VLOOKUP($A274,Clientes!$A$3:$C$1002,3,0),"NÃO CADASTRADO"))</f>
        <v/>
      </c>
      <c r="J274" s="12">
        <f>IF($A274="","",IF($A274='Carteira do Cliente'!$B$4,COUNTIF($A$3:$A274,'Carteira do Cliente'!$B$4),""))</f>
        <v/>
      </c>
    </row>
    <row r="275">
      <c r="A275" s="3" t="n"/>
      <c r="B275" s="7" t="n"/>
      <c r="C275" s="4" t="n"/>
      <c r="D275" s="4" t="n"/>
      <c r="E275" s="8" t="n"/>
      <c r="F275" s="9" t="n"/>
      <c r="G275" s="7" t="n"/>
      <c r="H275" s="10">
        <f>IF($A275="","",IFERROR(VLOOKUP($A275,Clientes!$A$3:$C$1002,2,0),"NÃO CADASTRADO"))</f>
        <v/>
      </c>
      <c r="I275" s="11">
        <f>IF($A275="","",IFERROR(VLOOKUP($A275,Clientes!$A$3:$C$1002,3,0),"NÃO CADASTRADO"))</f>
        <v/>
      </c>
      <c r="J275" s="7">
        <f>IF($A275="","",IF($A275='Carteira do Cliente'!$B$4,COUNTIF($A$3:$A275,'Carteira do Cliente'!$B$4),""))</f>
        <v/>
      </c>
    </row>
    <row r="276">
      <c r="A276" s="5" t="n"/>
      <c r="B276" s="12" t="n"/>
      <c r="C276" s="6" t="n"/>
      <c r="D276" s="6" t="n"/>
      <c r="E276" s="13" t="n"/>
      <c r="F276" s="14" t="n"/>
      <c r="G276" s="12" t="n"/>
      <c r="H276" s="15">
        <f>IF($A276="","",IFERROR(VLOOKUP($A276,Clientes!$A$3:$C$1002,2,0),"NÃO CADASTRADO"))</f>
        <v/>
      </c>
      <c r="I276" s="16">
        <f>IF($A276="","",IFERROR(VLOOKUP($A276,Clientes!$A$3:$C$1002,3,0),"NÃO CADASTRADO"))</f>
        <v/>
      </c>
      <c r="J276" s="12">
        <f>IF($A276="","",IF($A276='Carteira do Cliente'!$B$4,COUNTIF($A$3:$A276,'Carteira do Cliente'!$B$4),""))</f>
        <v/>
      </c>
    </row>
    <row r="277">
      <c r="A277" s="3" t="n"/>
      <c r="B277" s="7" t="n"/>
      <c r="C277" s="4" t="n"/>
      <c r="D277" s="4" t="n"/>
      <c r="E277" s="8" t="n"/>
      <c r="F277" s="9" t="n"/>
      <c r="G277" s="7" t="n"/>
      <c r="H277" s="10">
        <f>IF($A277="","",IFERROR(VLOOKUP($A277,Clientes!$A$3:$C$1002,2,0),"NÃO CADASTRADO"))</f>
        <v/>
      </c>
      <c r="I277" s="11">
        <f>IF($A277="","",IFERROR(VLOOKUP($A277,Clientes!$A$3:$C$1002,3,0),"NÃO CADASTRADO"))</f>
        <v/>
      </c>
      <c r="J277" s="7">
        <f>IF($A277="","",IF($A277='Carteira do Cliente'!$B$4,COUNTIF($A$3:$A277,'Carteira do Cliente'!$B$4),""))</f>
        <v/>
      </c>
    </row>
    <row r="278">
      <c r="A278" s="5" t="n"/>
      <c r="B278" s="12" t="n"/>
      <c r="C278" s="6" t="n"/>
      <c r="D278" s="6" t="n"/>
      <c r="E278" s="13" t="n"/>
      <c r="F278" s="14" t="n"/>
      <c r="G278" s="12" t="n"/>
      <c r="H278" s="15">
        <f>IF($A278="","",IFERROR(VLOOKUP($A278,Clientes!$A$3:$C$1002,2,0),"NÃO CADASTRADO"))</f>
        <v/>
      </c>
      <c r="I278" s="16">
        <f>IF($A278="","",IFERROR(VLOOKUP($A278,Clientes!$A$3:$C$1002,3,0),"NÃO CADASTRADO"))</f>
        <v/>
      </c>
      <c r="J278" s="12">
        <f>IF($A278="","",IF($A278='Carteira do Cliente'!$B$4,COUNTIF($A$3:$A278,'Carteira do Cliente'!$B$4),""))</f>
        <v/>
      </c>
    </row>
    <row r="279">
      <c r="A279" s="3" t="n"/>
      <c r="B279" s="7" t="n"/>
      <c r="C279" s="4" t="n"/>
      <c r="D279" s="4" t="n"/>
      <c r="E279" s="8" t="n"/>
      <c r="F279" s="9" t="n"/>
      <c r="G279" s="7" t="n"/>
      <c r="H279" s="10">
        <f>IF($A279="","",IFERROR(VLOOKUP($A279,Clientes!$A$3:$C$1002,2,0),"NÃO CADASTRADO"))</f>
        <v/>
      </c>
      <c r="I279" s="11">
        <f>IF($A279="","",IFERROR(VLOOKUP($A279,Clientes!$A$3:$C$1002,3,0),"NÃO CADASTRADO"))</f>
        <v/>
      </c>
      <c r="J279" s="7">
        <f>IF($A279="","",IF($A279='Carteira do Cliente'!$B$4,COUNTIF($A$3:$A279,'Carteira do Cliente'!$B$4),""))</f>
        <v/>
      </c>
    </row>
    <row r="280">
      <c r="A280" s="5" t="n"/>
      <c r="B280" s="12" t="n"/>
      <c r="C280" s="6" t="n"/>
      <c r="D280" s="6" t="n"/>
      <c r="E280" s="13" t="n"/>
      <c r="F280" s="14" t="n"/>
      <c r="G280" s="12" t="n"/>
      <c r="H280" s="15">
        <f>IF($A280="","",IFERROR(VLOOKUP($A280,Clientes!$A$3:$C$1002,2,0),"NÃO CADASTRADO"))</f>
        <v/>
      </c>
      <c r="I280" s="16">
        <f>IF($A280="","",IFERROR(VLOOKUP($A280,Clientes!$A$3:$C$1002,3,0),"NÃO CADASTRADO"))</f>
        <v/>
      </c>
      <c r="J280" s="12">
        <f>IF($A280="","",IF($A280='Carteira do Cliente'!$B$4,COUNTIF($A$3:$A280,'Carteira do Cliente'!$B$4),""))</f>
        <v/>
      </c>
    </row>
    <row r="281">
      <c r="A281" s="3" t="n"/>
      <c r="B281" s="7" t="n"/>
      <c r="C281" s="4" t="n"/>
      <c r="D281" s="4" t="n"/>
      <c r="E281" s="8" t="n"/>
      <c r="F281" s="9" t="n"/>
      <c r="G281" s="7" t="n"/>
      <c r="H281" s="10">
        <f>IF($A281="","",IFERROR(VLOOKUP($A281,Clientes!$A$3:$C$1002,2,0),"NÃO CADASTRADO"))</f>
        <v/>
      </c>
      <c r="I281" s="11">
        <f>IF($A281="","",IFERROR(VLOOKUP($A281,Clientes!$A$3:$C$1002,3,0),"NÃO CADASTRADO"))</f>
        <v/>
      </c>
      <c r="J281" s="7">
        <f>IF($A281="","",IF($A281='Carteira do Cliente'!$B$4,COUNTIF($A$3:$A281,'Carteira do Cliente'!$B$4),""))</f>
        <v/>
      </c>
    </row>
    <row r="282">
      <c r="A282" s="5" t="n"/>
      <c r="B282" s="12" t="n"/>
      <c r="C282" s="6" t="n"/>
      <c r="D282" s="6" t="n"/>
      <c r="E282" s="13" t="n"/>
      <c r="F282" s="14" t="n"/>
      <c r="G282" s="12" t="n"/>
      <c r="H282" s="15">
        <f>IF($A282="","",IFERROR(VLOOKUP($A282,Clientes!$A$3:$C$1002,2,0),"NÃO CADASTRADO"))</f>
        <v/>
      </c>
      <c r="I282" s="16">
        <f>IF($A282="","",IFERROR(VLOOKUP($A282,Clientes!$A$3:$C$1002,3,0),"NÃO CADASTRADO"))</f>
        <v/>
      </c>
      <c r="J282" s="12">
        <f>IF($A282="","",IF($A282='Carteira do Cliente'!$B$4,COUNTIF($A$3:$A282,'Carteira do Cliente'!$B$4),""))</f>
        <v/>
      </c>
    </row>
    <row r="283">
      <c r="A283" s="3" t="n"/>
      <c r="B283" s="7" t="n"/>
      <c r="C283" s="4" t="n"/>
      <c r="D283" s="4" t="n"/>
      <c r="E283" s="8" t="n"/>
      <c r="F283" s="9" t="n"/>
      <c r="G283" s="7" t="n"/>
      <c r="H283" s="10">
        <f>IF($A283="","",IFERROR(VLOOKUP($A283,Clientes!$A$3:$C$1002,2,0),"NÃO CADASTRADO"))</f>
        <v/>
      </c>
      <c r="I283" s="11">
        <f>IF($A283="","",IFERROR(VLOOKUP($A283,Clientes!$A$3:$C$1002,3,0),"NÃO CADASTRADO"))</f>
        <v/>
      </c>
      <c r="J283" s="7">
        <f>IF($A283="","",IF($A283='Carteira do Cliente'!$B$4,COUNTIF($A$3:$A283,'Carteira do Cliente'!$B$4),""))</f>
        <v/>
      </c>
    </row>
    <row r="284">
      <c r="A284" s="5" t="n"/>
      <c r="B284" s="12" t="n"/>
      <c r="C284" s="6" t="n"/>
      <c r="D284" s="6" t="n"/>
      <c r="E284" s="13" t="n"/>
      <c r="F284" s="14" t="n"/>
      <c r="G284" s="12" t="n"/>
      <c r="H284" s="15">
        <f>IF($A284="","",IFERROR(VLOOKUP($A284,Clientes!$A$3:$C$1002,2,0),"NÃO CADASTRADO"))</f>
        <v/>
      </c>
      <c r="I284" s="16">
        <f>IF($A284="","",IFERROR(VLOOKUP($A284,Clientes!$A$3:$C$1002,3,0),"NÃO CADASTRADO"))</f>
        <v/>
      </c>
      <c r="J284" s="12">
        <f>IF($A284="","",IF($A284='Carteira do Cliente'!$B$4,COUNTIF($A$3:$A284,'Carteira do Cliente'!$B$4),""))</f>
        <v/>
      </c>
    </row>
    <row r="285">
      <c r="A285" s="3" t="n"/>
      <c r="B285" s="7" t="n"/>
      <c r="C285" s="4" t="n"/>
      <c r="D285" s="4" t="n"/>
      <c r="E285" s="8" t="n"/>
      <c r="F285" s="9" t="n"/>
      <c r="G285" s="7" t="n"/>
      <c r="H285" s="10">
        <f>IF($A285="","",IFERROR(VLOOKUP($A285,Clientes!$A$3:$C$1002,2,0),"NÃO CADASTRADO"))</f>
        <v/>
      </c>
      <c r="I285" s="11">
        <f>IF($A285="","",IFERROR(VLOOKUP($A285,Clientes!$A$3:$C$1002,3,0),"NÃO CADASTRADO"))</f>
        <v/>
      </c>
      <c r="J285" s="7">
        <f>IF($A285="","",IF($A285='Carteira do Cliente'!$B$4,COUNTIF($A$3:$A285,'Carteira do Cliente'!$B$4),""))</f>
        <v/>
      </c>
    </row>
    <row r="286">
      <c r="A286" s="5" t="n"/>
      <c r="B286" s="12" t="n"/>
      <c r="C286" s="6" t="n"/>
      <c r="D286" s="6" t="n"/>
      <c r="E286" s="13" t="n"/>
      <c r="F286" s="14" t="n"/>
      <c r="G286" s="12" t="n"/>
      <c r="H286" s="15">
        <f>IF($A286="","",IFERROR(VLOOKUP($A286,Clientes!$A$3:$C$1002,2,0),"NÃO CADASTRADO"))</f>
        <v/>
      </c>
      <c r="I286" s="16">
        <f>IF($A286="","",IFERROR(VLOOKUP($A286,Clientes!$A$3:$C$1002,3,0),"NÃO CADASTRADO"))</f>
        <v/>
      </c>
      <c r="J286" s="12">
        <f>IF($A286="","",IF($A286='Carteira do Cliente'!$B$4,COUNTIF($A$3:$A286,'Carteira do Cliente'!$B$4),""))</f>
        <v/>
      </c>
    </row>
    <row r="287">
      <c r="A287" s="3" t="n"/>
      <c r="B287" s="7" t="n"/>
      <c r="C287" s="4" t="n"/>
      <c r="D287" s="4" t="n"/>
      <c r="E287" s="8" t="n"/>
      <c r="F287" s="9" t="n"/>
      <c r="G287" s="7" t="n"/>
      <c r="H287" s="10">
        <f>IF($A287="","",IFERROR(VLOOKUP($A287,Clientes!$A$3:$C$1002,2,0),"NÃO CADASTRADO"))</f>
        <v/>
      </c>
      <c r="I287" s="11">
        <f>IF($A287="","",IFERROR(VLOOKUP($A287,Clientes!$A$3:$C$1002,3,0),"NÃO CADASTRADO"))</f>
        <v/>
      </c>
      <c r="J287" s="7">
        <f>IF($A287="","",IF($A287='Carteira do Cliente'!$B$4,COUNTIF($A$3:$A287,'Carteira do Cliente'!$B$4),""))</f>
        <v/>
      </c>
    </row>
    <row r="288">
      <c r="A288" s="5" t="n"/>
      <c r="B288" s="12" t="n"/>
      <c r="C288" s="6" t="n"/>
      <c r="D288" s="6" t="n"/>
      <c r="E288" s="13" t="n"/>
      <c r="F288" s="14" t="n"/>
      <c r="G288" s="12" t="n"/>
      <c r="H288" s="15">
        <f>IF($A288="","",IFERROR(VLOOKUP($A288,Clientes!$A$3:$C$1002,2,0),"NÃO CADASTRADO"))</f>
        <v/>
      </c>
      <c r="I288" s="16">
        <f>IF($A288="","",IFERROR(VLOOKUP($A288,Clientes!$A$3:$C$1002,3,0),"NÃO CADASTRADO"))</f>
        <v/>
      </c>
      <c r="J288" s="12">
        <f>IF($A288="","",IF($A288='Carteira do Cliente'!$B$4,COUNTIF($A$3:$A288,'Carteira do Cliente'!$B$4),""))</f>
        <v/>
      </c>
    </row>
    <row r="289">
      <c r="A289" s="3" t="n"/>
      <c r="B289" s="7" t="n"/>
      <c r="C289" s="4" t="n"/>
      <c r="D289" s="4" t="n"/>
      <c r="E289" s="8" t="n"/>
      <c r="F289" s="9" t="n"/>
      <c r="G289" s="7" t="n"/>
      <c r="H289" s="10">
        <f>IF($A289="","",IFERROR(VLOOKUP($A289,Clientes!$A$3:$C$1002,2,0),"NÃO CADASTRADO"))</f>
        <v/>
      </c>
      <c r="I289" s="11">
        <f>IF($A289="","",IFERROR(VLOOKUP($A289,Clientes!$A$3:$C$1002,3,0),"NÃO CADASTRADO"))</f>
        <v/>
      </c>
      <c r="J289" s="7">
        <f>IF($A289="","",IF($A289='Carteira do Cliente'!$B$4,COUNTIF($A$3:$A289,'Carteira do Cliente'!$B$4),""))</f>
        <v/>
      </c>
    </row>
    <row r="290">
      <c r="A290" s="5" t="n"/>
      <c r="B290" s="12" t="n"/>
      <c r="C290" s="6" t="n"/>
      <c r="D290" s="6" t="n"/>
      <c r="E290" s="13" t="n"/>
      <c r="F290" s="14" t="n"/>
      <c r="G290" s="12" t="n"/>
      <c r="H290" s="15">
        <f>IF($A290="","",IFERROR(VLOOKUP($A290,Clientes!$A$3:$C$1002,2,0),"NÃO CADASTRADO"))</f>
        <v/>
      </c>
      <c r="I290" s="16">
        <f>IF($A290="","",IFERROR(VLOOKUP($A290,Clientes!$A$3:$C$1002,3,0),"NÃO CADASTRADO"))</f>
        <v/>
      </c>
      <c r="J290" s="12">
        <f>IF($A290="","",IF($A290='Carteira do Cliente'!$B$4,COUNTIF($A$3:$A290,'Carteira do Cliente'!$B$4),""))</f>
        <v/>
      </c>
    </row>
    <row r="291">
      <c r="A291" s="3" t="n"/>
      <c r="B291" s="7" t="n"/>
      <c r="C291" s="4" t="n"/>
      <c r="D291" s="4" t="n"/>
      <c r="E291" s="8" t="n"/>
      <c r="F291" s="9" t="n"/>
      <c r="G291" s="7" t="n"/>
      <c r="H291" s="10">
        <f>IF($A291="","",IFERROR(VLOOKUP($A291,Clientes!$A$3:$C$1002,2,0),"NÃO CADASTRADO"))</f>
        <v/>
      </c>
      <c r="I291" s="11">
        <f>IF($A291="","",IFERROR(VLOOKUP($A291,Clientes!$A$3:$C$1002,3,0),"NÃO CADASTRADO"))</f>
        <v/>
      </c>
      <c r="J291" s="7">
        <f>IF($A291="","",IF($A291='Carteira do Cliente'!$B$4,COUNTIF($A$3:$A291,'Carteira do Cliente'!$B$4),""))</f>
        <v/>
      </c>
    </row>
    <row r="292">
      <c r="A292" s="5" t="n"/>
      <c r="B292" s="12" t="n"/>
      <c r="C292" s="6" t="n"/>
      <c r="D292" s="6" t="n"/>
      <c r="E292" s="13" t="n"/>
      <c r="F292" s="14" t="n"/>
      <c r="G292" s="12" t="n"/>
      <c r="H292" s="15">
        <f>IF($A292="","",IFERROR(VLOOKUP($A292,Clientes!$A$3:$C$1002,2,0),"NÃO CADASTRADO"))</f>
        <v/>
      </c>
      <c r="I292" s="16">
        <f>IF($A292="","",IFERROR(VLOOKUP($A292,Clientes!$A$3:$C$1002,3,0),"NÃO CADASTRADO"))</f>
        <v/>
      </c>
      <c r="J292" s="12">
        <f>IF($A292="","",IF($A292='Carteira do Cliente'!$B$4,COUNTIF($A$3:$A292,'Carteira do Cliente'!$B$4),""))</f>
        <v/>
      </c>
    </row>
    <row r="293">
      <c r="A293" s="3" t="n"/>
      <c r="B293" s="7" t="n"/>
      <c r="C293" s="4" t="n"/>
      <c r="D293" s="4" t="n"/>
      <c r="E293" s="8" t="n"/>
      <c r="F293" s="9" t="n"/>
      <c r="G293" s="7" t="n"/>
      <c r="H293" s="10">
        <f>IF($A293="","",IFERROR(VLOOKUP($A293,Clientes!$A$3:$C$1002,2,0),"NÃO CADASTRADO"))</f>
        <v/>
      </c>
      <c r="I293" s="11">
        <f>IF($A293="","",IFERROR(VLOOKUP($A293,Clientes!$A$3:$C$1002,3,0),"NÃO CADASTRADO"))</f>
        <v/>
      </c>
      <c r="J293" s="7">
        <f>IF($A293="","",IF($A293='Carteira do Cliente'!$B$4,COUNTIF($A$3:$A293,'Carteira do Cliente'!$B$4),""))</f>
        <v/>
      </c>
    </row>
    <row r="294">
      <c r="A294" s="5" t="n"/>
      <c r="B294" s="12" t="n"/>
      <c r="C294" s="6" t="n"/>
      <c r="D294" s="6" t="n"/>
      <c r="E294" s="13" t="n"/>
      <c r="F294" s="14" t="n"/>
      <c r="G294" s="12" t="n"/>
      <c r="H294" s="15">
        <f>IF($A294="","",IFERROR(VLOOKUP($A294,Clientes!$A$3:$C$1002,2,0),"NÃO CADASTRADO"))</f>
        <v/>
      </c>
      <c r="I294" s="16">
        <f>IF($A294="","",IFERROR(VLOOKUP($A294,Clientes!$A$3:$C$1002,3,0),"NÃO CADASTRADO"))</f>
        <v/>
      </c>
      <c r="J294" s="12">
        <f>IF($A294="","",IF($A294='Carteira do Cliente'!$B$4,COUNTIF($A$3:$A294,'Carteira do Cliente'!$B$4),""))</f>
        <v/>
      </c>
    </row>
    <row r="295">
      <c r="A295" s="3" t="n"/>
      <c r="B295" s="7" t="n"/>
      <c r="C295" s="4" t="n"/>
      <c r="D295" s="4" t="n"/>
      <c r="E295" s="8" t="n"/>
      <c r="F295" s="9" t="n"/>
      <c r="G295" s="7" t="n"/>
      <c r="H295" s="10">
        <f>IF($A295="","",IFERROR(VLOOKUP($A295,Clientes!$A$3:$C$1002,2,0),"NÃO CADASTRADO"))</f>
        <v/>
      </c>
      <c r="I295" s="11">
        <f>IF($A295="","",IFERROR(VLOOKUP($A295,Clientes!$A$3:$C$1002,3,0),"NÃO CADASTRADO"))</f>
        <v/>
      </c>
      <c r="J295" s="7">
        <f>IF($A295="","",IF($A295='Carteira do Cliente'!$B$4,COUNTIF($A$3:$A295,'Carteira do Cliente'!$B$4),""))</f>
        <v/>
      </c>
    </row>
    <row r="296">
      <c r="A296" s="5" t="n"/>
      <c r="B296" s="12" t="n"/>
      <c r="C296" s="6" t="n"/>
      <c r="D296" s="6" t="n"/>
      <c r="E296" s="13" t="n"/>
      <c r="F296" s="14" t="n"/>
      <c r="G296" s="12" t="n"/>
      <c r="H296" s="15">
        <f>IF($A296="","",IFERROR(VLOOKUP($A296,Clientes!$A$3:$C$1002,2,0),"NÃO CADASTRADO"))</f>
        <v/>
      </c>
      <c r="I296" s="16">
        <f>IF($A296="","",IFERROR(VLOOKUP($A296,Clientes!$A$3:$C$1002,3,0),"NÃO CADASTRADO"))</f>
        <v/>
      </c>
      <c r="J296" s="12">
        <f>IF($A296="","",IF($A296='Carteira do Cliente'!$B$4,COUNTIF($A$3:$A296,'Carteira do Cliente'!$B$4),""))</f>
        <v/>
      </c>
    </row>
    <row r="297">
      <c r="A297" s="3" t="n"/>
      <c r="B297" s="7" t="n"/>
      <c r="C297" s="4" t="n"/>
      <c r="D297" s="4" t="n"/>
      <c r="E297" s="8" t="n"/>
      <c r="F297" s="9" t="n"/>
      <c r="G297" s="7" t="n"/>
      <c r="H297" s="10">
        <f>IF($A297="","",IFERROR(VLOOKUP($A297,Clientes!$A$3:$C$1002,2,0),"NÃO CADASTRADO"))</f>
        <v/>
      </c>
      <c r="I297" s="11">
        <f>IF($A297="","",IFERROR(VLOOKUP($A297,Clientes!$A$3:$C$1002,3,0),"NÃO CADASTRADO"))</f>
        <v/>
      </c>
      <c r="J297" s="7">
        <f>IF($A297="","",IF($A297='Carteira do Cliente'!$B$4,COUNTIF($A$3:$A297,'Carteira do Cliente'!$B$4),""))</f>
        <v/>
      </c>
    </row>
    <row r="298">
      <c r="A298" s="5" t="n"/>
      <c r="B298" s="12" t="n"/>
      <c r="C298" s="6" t="n"/>
      <c r="D298" s="6" t="n"/>
      <c r="E298" s="13" t="n"/>
      <c r="F298" s="14" t="n"/>
      <c r="G298" s="12" t="n"/>
      <c r="H298" s="15">
        <f>IF($A298="","",IFERROR(VLOOKUP($A298,Clientes!$A$3:$C$1002,2,0),"NÃO CADASTRADO"))</f>
        <v/>
      </c>
      <c r="I298" s="16">
        <f>IF($A298="","",IFERROR(VLOOKUP($A298,Clientes!$A$3:$C$1002,3,0),"NÃO CADASTRADO"))</f>
        <v/>
      </c>
      <c r="J298" s="12">
        <f>IF($A298="","",IF($A298='Carteira do Cliente'!$B$4,COUNTIF($A$3:$A298,'Carteira do Cliente'!$B$4),""))</f>
        <v/>
      </c>
    </row>
    <row r="299">
      <c r="A299" s="3" t="n"/>
      <c r="B299" s="7" t="n"/>
      <c r="C299" s="4" t="n"/>
      <c r="D299" s="4" t="n"/>
      <c r="E299" s="8" t="n"/>
      <c r="F299" s="9" t="n"/>
      <c r="G299" s="7" t="n"/>
      <c r="H299" s="10">
        <f>IF($A299="","",IFERROR(VLOOKUP($A299,Clientes!$A$3:$C$1002,2,0),"NÃO CADASTRADO"))</f>
        <v/>
      </c>
      <c r="I299" s="11">
        <f>IF($A299="","",IFERROR(VLOOKUP($A299,Clientes!$A$3:$C$1002,3,0),"NÃO CADASTRADO"))</f>
        <v/>
      </c>
      <c r="J299" s="7">
        <f>IF($A299="","",IF($A299='Carteira do Cliente'!$B$4,COUNTIF($A$3:$A299,'Carteira do Cliente'!$B$4),""))</f>
        <v/>
      </c>
    </row>
    <row r="300">
      <c r="A300" s="5" t="n"/>
      <c r="B300" s="12" t="n"/>
      <c r="C300" s="6" t="n"/>
      <c r="D300" s="6" t="n"/>
      <c r="E300" s="13" t="n"/>
      <c r="F300" s="14" t="n"/>
      <c r="G300" s="12" t="n"/>
      <c r="H300" s="15">
        <f>IF($A300="","",IFERROR(VLOOKUP($A300,Clientes!$A$3:$C$1002,2,0),"NÃO CADASTRADO"))</f>
        <v/>
      </c>
      <c r="I300" s="16">
        <f>IF($A300="","",IFERROR(VLOOKUP($A300,Clientes!$A$3:$C$1002,3,0),"NÃO CADASTRADO"))</f>
        <v/>
      </c>
      <c r="J300" s="12">
        <f>IF($A300="","",IF($A300='Carteira do Cliente'!$B$4,COUNTIF($A$3:$A300,'Carteira do Cliente'!$B$4),""))</f>
        <v/>
      </c>
    </row>
    <row r="301">
      <c r="A301" s="3" t="n"/>
      <c r="B301" s="7" t="n"/>
      <c r="C301" s="4" t="n"/>
      <c r="D301" s="4" t="n"/>
      <c r="E301" s="8" t="n"/>
      <c r="F301" s="9" t="n"/>
      <c r="G301" s="7" t="n"/>
      <c r="H301" s="10">
        <f>IF($A301="","",IFERROR(VLOOKUP($A301,Clientes!$A$3:$C$1002,2,0),"NÃO CADASTRADO"))</f>
        <v/>
      </c>
      <c r="I301" s="11">
        <f>IF($A301="","",IFERROR(VLOOKUP($A301,Clientes!$A$3:$C$1002,3,0),"NÃO CADASTRADO"))</f>
        <v/>
      </c>
      <c r="J301" s="7">
        <f>IF($A301="","",IF($A301='Carteira do Cliente'!$B$4,COUNTIF($A$3:$A301,'Carteira do Cliente'!$B$4),""))</f>
        <v/>
      </c>
    </row>
    <row r="302">
      <c r="A302" s="5" t="n"/>
      <c r="B302" s="12" t="n"/>
      <c r="C302" s="6" t="n"/>
      <c r="D302" s="6" t="n"/>
      <c r="E302" s="13" t="n"/>
      <c r="F302" s="14" t="n"/>
      <c r="G302" s="12" t="n"/>
      <c r="H302" s="15">
        <f>IF($A302="","",IFERROR(VLOOKUP($A302,Clientes!$A$3:$C$1002,2,0),"NÃO CADASTRADO"))</f>
        <v/>
      </c>
      <c r="I302" s="16">
        <f>IF($A302="","",IFERROR(VLOOKUP($A302,Clientes!$A$3:$C$1002,3,0),"NÃO CADASTRADO"))</f>
        <v/>
      </c>
      <c r="J302" s="12">
        <f>IF($A302="","",IF($A302='Carteira do Cliente'!$B$4,COUNTIF($A$3:$A302,'Carteira do Cliente'!$B$4),""))</f>
        <v/>
      </c>
    </row>
    <row r="303">
      <c r="A303" s="3" t="n"/>
      <c r="B303" s="7" t="n"/>
      <c r="C303" s="4" t="n"/>
      <c r="D303" s="4" t="n"/>
      <c r="E303" s="8" t="n"/>
      <c r="F303" s="9" t="n"/>
      <c r="G303" s="7" t="n"/>
      <c r="H303" s="10">
        <f>IF($A303="","",IFERROR(VLOOKUP($A303,Clientes!$A$3:$C$1002,2,0),"NÃO CADASTRADO"))</f>
        <v/>
      </c>
      <c r="I303" s="11">
        <f>IF($A303="","",IFERROR(VLOOKUP($A303,Clientes!$A$3:$C$1002,3,0),"NÃO CADASTRADO"))</f>
        <v/>
      </c>
      <c r="J303" s="7">
        <f>IF($A303="","",IF($A303='Carteira do Cliente'!$B$4,COUNTIF($A$3:$A303,'Carteira do Cliente'!$B$4),""))</f>
        <v/>
      </c>
    </row>
    <row r="304">
      <c r="A304" s="5" t="n"/>
      <c r="B304" s="12" t="n"/>
      <c r="C304" s="6" t="n"/>
      <c r="D304" s="6" t="n"/>
      <c r="E304" s="13" t="n"/>
      <c r="F304" s="14" t="n"/>
      <c r="G304" s="12" t="n"/>
      <c r="H304" s="15">
        <f>IF($A304="","",IFERROR(VLOOKUP($A304,Clientes!$A$3:$C$1002,2,0),"NÃO CADASTRADO"))</f>
        <v/>
      </c>
      <c r="I304" s="16">
        <f>IF($A304="","",IFERROR(VLOOKUP($A304,Clientes!$A$3:$C$1002,3,0),"NÃO CADASTRADO"))</f>
        <v/>
      </c>
      <c r="J304" s="12">
        <f>IF($A304="","",IF($A304='Carteira do Cliente'!$B$4,COUNTIF($A$3:$A304,'Carteira do Cliente'!$B$4),""))</f>
        <v/>
      </c>
    </row>
    <row r="305">
      <c r="A305" s="3" t="n"/>
      <c r="B305" s="7" t="n"/>
      <c r="C305" s="4" t="n"/>
      <c r="D305" s="4" t="n"/>
      <c r="E305" s="8" t="n"/>
      <c r="F305" s="9" t="n"/>
      <c r="G305" s="7" t="n"/>
      <c r="H305" s="10">
        <f>IF($A305="","",IFERROR(VLOOKUP($A305,Clientes!$A$3:$C$1002,2,0),"NÃO CADASTRADO"))</f>
        <v/>
      </c>
      <c r="I305" s="11">
        <f>IF($A305="","",IFERROR(VLOOKUP($A305,Clientes!$A$3:$C$1002,3,0),"NÃO CADASTRADO"))</f>
        <v/>
      </c>
      <c r="J305" s="7">
        <f>IF($A305="","",IF($A305='Carteira do Cliente'!$B$4,COUNTIF($A$3:$A305,'Carteira do Cliente'!$B$4),""))</f>
        <v/>
      </c>
    </row>
    <row r="306">
      <c r="A306" s="5" t="n"/>
      <c r="B306" s="12" t="n"/>
      <c r="C306" s="6" t="n"/>
      <c r="D306" s="6" t="n"/>
      <c r="E306" s="13" t="n"/>
      <c r="F306" s="14" t="n"/>
      <c r="G306" s="12" t="n"/>
      <c r="H306" s="15">
        <f>IF($A306="","",IFERROR(VLOOKUP($A306,Clientes!$A$3:$C$1002,2,0),"NÃO CADASTRADO"))</f>
        <v/>
      </c>
      <c r="I306" s="16">
        <f>IF($A306="","",IFERROR(VLOOKUP($A306,Clientes!$A$3:$C$1002,3,0),"NÃO CADASTRADO"))</f>
        <v/>
      </c>
      <c r="J306" s="12">
        <f>IF($A306="","",IF($A306='Carteira do Cliente'!$B$4,COUNTIF($A$3:$A306,'Carteira do Cliente'!$B$4),""))</f>
        <v/>
      </c>
    </row>
    <row r="307">
      <c r="A307" s="3" t="n"/>
      <c r="B307" s="7" t="n"/>
      <c r="C307" s="4" t="n"/>
      <c r="D307" s="4" t="n"/>
      <c r="E307" s="8" t="n"/>
      <c r="F307" s="9" t="n"/>
      <c r="G307" s="7" t="n"/>
      <c r="H307" s="10">
        <f>IF($A307="","",IFERROR(VLOOKUP($A307,Clientes!$A$3:$C$1002,2,0),"NÃO CADASTRADO"))</f>
        <v/>
      </c>
      <c r="I307" s="11">
        <f>IF($A307="","",IFERROR(VLOOKUP($A307,Clientes!$A$3:$C$1002,3,0),"NÃO CADASTRADO"))</f>
        <v/>
      </c>
      <c r="J307" s="7">
        <f>IF($A307="","",IF($A307='Carteira do Cliente'!$B$4,COUNTIF($A$3:$A307,'Carteira do Cliente'!$B$4),""))</f>
        <v/>
      </c>
    </row>
    <row r="308">
      <c r="A308" s="5" t="n"/>
      <c r="B308" s="12" t="n"/>
      <c r="C308" s="6" t="n"/>
      <c r="D308" s="6" t="n"/>
      <c r="E308" s="13" t="n"/>
      <c r="F308" s="14" t="n"/>
      <c r="G308" s="12" t="n"/>
      <c r="H308" s="15">
        <f>IF($A308="","",IFERROR(VLOOKUP($A308,Clientes!$A$3:$C$1002,2,0),"NÃO CADASTRADO"))</f>
        <v/>
      </c>
      <c r="I308" s="16">
        <f>IF($A308="","",IFERROR(VLOOKUP($A308,Clientes!$A$3:$C$1002,3,0),"NÃO CADASTRADO"))</f>
        <v/>
      </c>
      <c r="J308" s="12">
        <f>IF($A308="","",IF($A308='Carteira do Cliente'!$B$4,COUNTIF($A$3:$A308,'Carteira do Cliente'!$B$4),""))</f>
        <v/>
      </c>
    </row>
    <row r="309">
      <c r="A309" s="3" t="n"/>
      <c r="B309" s="7" t="n"/>
      <c r="C309" s="4" t="n"/>
      <c r="D309" s="4" t="n"/>
      <c r="E309" s="8" t="n"/>
      <c r="F309" s="9" t="n"/>
      <c r="G309" s="7" t="n"/>
      <c r="H309" s="10">
        <f>IF($A309="","",IFERROR(VLOOKUP($A309,Clientes!$A$3:$C$1002,2,0),"NÃO CADASTRADO"))</f>
        <v/>
      </c>
      <c r="I309" s="11">
        <f>IF($A309="","",IFERROR(VLOOKUP($A309,Clientes!$A$3:$C$1002,3,0),"NÃO CADASTRADO"))</f>
        <v/>
      </c>
      <c r="J309" s="7">
        <f>IF($A309="","",IF($A309='Carteira do Cliente'!$B$4,COUNTIF($A$3:$A309,'Carteira do Cliente'!$B$4),""))</f>
        <v/>
      </c>
    </row>
    <row r="310">
      <c r="A310" s="5" t="n"/>
      <c r="B310" s="12" t="n"/>
      <c r="C310" s="6" t="n"/>
      <c r="D310" s="6" t="n"/>
      <c r="E310" s="13" t="n"/>
      <c r="F310" s="14" t="n"/>
      <c r="G310" s="12" t="n"/>
      <c r="H310" s="15">
        <f>IF($A310="","",IFERROR(VLOOKUP($A310,Clientes!$A$3:$C$1002,2,0),"NÃO CADASTRADO"))</f>
        <v/>
      </c>
      <c r="I310" s="16">
        <f>IF($A310="","",IFERROR(VLOOKUP($A310,Clientes!$A$3:$C$1002,3,0),"NÃO CADASTRADO"))</f>
        <v/>
      </c>
      <c r="J310" s="12">
        <f>IF($A310="","",IF($A310='Carteira do Cliente'!$B$4,COUNTIF($A$3:$A310,'Carteira do Cliente'!$B$4),""))</f>
        <v/>
      </c>
    </row>
    <row r="311">
      <c r="A311" s="3" t="n"/>
      <c r="B311" s="7" t="n"/>
      <c r="C311" s="4" t="n"/>
      <c r="D311" s="4" t="n"/>
      <c r="E311" s="8" t="n"/>
      <c r="F311" s="9" t="n"/>
      <c r="G311" s="7" t="n"/>
      <c r="H311" s="10">
        <f>IF($A311="","",IFERROR(VLOOKUP($A311,Clientes!$A$3:$C$1002,2,0),"NÃO CADASTRADO"))</f>
        <v/>
      </c>
      <c r="I311" s="11">
        <f>IF($A311="","",IFERROR(VLOOKUP($A311,Clientes!$A$3:$C$1002,3,0),"NÃO CADASTRADO"))</f>
        <v/>
      </c>
      <c r="J311" s="7">
        <f>IF($A311="","",IF($A311='Carteira do Cliente'!$B$4,COUNTIF($A$3:$A311,'Carteira do Cliente'!$B$4),""))</f>
        <v/>
      </c>
    </row>
    <row r="312">
      <c r="A312" s="5" t="n"/>
      <c r="B312" s="12" t="n"/>
      <c r="C312" s="6" t="n"/>
      <c r="D312" s="6" t="n"/>
      <c r="E312" s="13" t="n"/>
      <c r="F312" s="14" t="n"/>
      <c r="G312" s="12" t="n"/>
      <c r="H312" s="15">
        <f>IF($A312="","",IFERROR(VLOOKUP($A312,Clientes!$A$3:$C$1002,2,0),"NÃO CADASTRADO"))</f>
        <v/>
      </c>
      <c r="I312" s="16">
        <f>IF($A312="","",IFERROR(VLOOKUP($A312,Clientes!$A$3:$C$1002,3,0),"NÃO CADASTRADO"))</f>
        <v/>
      </c>
      <c r="J312" s="12">
        <f>IF($A312="","",IF($A312='Carteira do Cliente'!$B$4,COUNTIF($A$3:$A312,'Carteira do Cliente'!$B$4),""))</f>
        <v/>
      </c>
    </row>
    <row r="313">
      <c r="A313" s="3" t="n"/>
      <c r="B313" s="7" t="n"/>
      <c r="C313" s="4" t="n"/>
      <c r="D313" s="4" t="n"/>
      <c r="E313" s="8" t="n"/>
      <c r="F313" s="9" t="n"/>
      <c r="G313" s="7" t="n"/>
      <c r="H313" s="10">
        <f>IF($A313="","",IFERROR(VLOOKUP($A313,Clientes!$A$3:$C$1002,2,0),"NÃO CADASTRADO"))</f>
        <v/>
      </c>
      <c r="I313" s="11">
        <f>IF($A313="","",IFERROR(VLOOKUP($A313,Clientes!$A$3:$C$1002,3,0),"NÃO CADASTRADO"))</f>
        <v/>
      </c>
      <c r="J313" s="7">
        <f>IF($A313="","",IF($A313='Carteira do Cliente'!$B$4,COUNTIF($A$3:$A313,'Carteira do Cliente'!$B$4),""))</f>
        <v/>
      </c>
    </row>
    <row r="314">
      <c r="A314" s="5" t="n"/>
      <c r="B314" s="12" t="n"/>
      <c r="C314" s="6" t="n"/>
      <c r="D314" s="6" t="n"/>
      <c r="E314" s="13" t="n"/>
      <c r="F314" s="14" t="n"/>
      <c r="G314" s="12" t="n"/>
      <c r="H314" s="15">
        <f>IF($A314="","",IFERROR(VLOOKUP($A314,Clientes!$A$3:$C$1002,2,0),"NÃO CADASTRADO"))</f>
        <v/>
      </c>
      <c r="I314" s="16">
        <f>IF($A314="","",IFERROR(VLOOKUP($A314,Clientes!$A$3:$C$1002,3,0),"NÃO CADASTRADO"))</f>
        <v/>
      </c>
      <c r="J314" s="12">
        <f>IF($A314="","",IF($A314='Carteira do Cliente'!$B$4,COUNTIF($A$3:$A314,'Carteira do Cliente'!$B$4),""))</f>
        <v/>
      </c>
    </row>
    <row r="315">
      <c r="A315" s="3" t="n"/>
      <c r="B315" s="7" t="n"/>
      <c r="C315" s="4" t="n"/>
      <c r="D315" s="4" t="n"/>
      <c r="E315" s="8" t="n"/>
      <c r="F315" s="9" t="n"/>
      <c r="G315" s="7" t="n"/>
      <c r="H315" s="10">
        <f>IF($A315="","",IFERROR(VLOOKUP($A315,Clientes!$A$3:$C$1002,2,0),"NÃO CADASTRADO"))</f>
        <v/>
      </c>
      <c r="I315" s="11">
        <f>IF($A315="","",IFERROR(VLOOKUP($A315,Clientes!$A$3:$C$1002,3,0),"NÃO CADASTRADO"))</f>
        <v/>
      </c>
      <c r="J315" s="7">
        <f>IF($A315="","",IF($A315='Carteira do Cliente'!$B$4,COUNTIF($A$3:$A315,'Carteira do Cliente'!$B$4),""))</f>
        <v/>
      </c>
    </row>
    <row r="316">
      <c r="A316" s="5" t="n"/>
      <c r="B316" s="12" t="n"/>
      <c r="C316" s="6" t="n"/>
      <c r="D316" s="6" t="n"/>
      <c r="E316" s="13" t="n"/>
      <c r="F316" s="14" t="n"/>
      <c r="G316" s="12" t="n"/>
      <c r="H316" s="15">
        <f>IF($A316="","",IFERROR(VLOOKUP($A316,Clientes!$A$3:$C$1002,2,0),"NÃO CADASTRADO"))</f>
        <v/>
      </c>
      <c r="I316" s="16">
        <f>IF($A316="","",IFERROR(VLOOKUP($A316,Clientes!$A$3:$C$1002,3,0),"NÃO CADASTRADO"))</f>
        <v/>
      </c>
      <c r="J316" s="12">
        <f>IF($A316="","",IF($A316='Carteira do Cliente'!$B$4,COUNTIF($A$3:$A316,'Carteira do Cliente'!$B$4),""))</f>
        <v/>
      </c>
    </row>
    <row r="317">
      <c r="A317" s="3" t="n"/>
      <c r="B317" s="7" t="n"/>
      <c r="C317" s="4" t="n"/>
      <c r="D317" s="4" t="n"/>
      <c r="E317" s="8" t="n"/>
      <c r="F317" s="9" t="n"/>
      <c r="G317" s="7" t="n"/>
      <c r="H317" s="10">
        <f>IF($A317="","",IFERROR(VLOOKUP($A317,Clientes!$A$3:$C$1002,2,0),"NÃO CADASTRADO"))</f>
        <v/>
      </c>
      <c r="I317" s="11">
        <f>IF($A317="","",IFERROR(VLOOKUP($A317,Clientes!$A$3:$C$1002,3,0),"NÃO CADASTRADO"))</f>
        <v/>
      </c>
      <c r="J317" s="7">
        <f>IF($A317="","",IF($A317='Carteira do Cliente'!$B$4,COUNTIF($A$3:$A317,'Carteira do Cliente'!$B$4),""))</f>
        <v/>
      </c>
    </row>
    <row r="318">
      <c r="A318" s="5" t="n"/>
      <c r="B318" s="12" t="n"/>
      <c r="C318" s="6" t="n"/>
      <c r="D318" s="6" t="n"/>
      <c r="E318" s="13" t="n"/>
      <c r="F318" s="14" t="n"/>
      <c r="G318" s="12" t="n"/>
      <c r="H318" s="15">
        <f>IF($A318="","",IFERROR(VLOOKUP($A318,Clientes!$A$3:$C$1002,2,0),"NÃO CADASTRADO"))</f>
        <v/>
      </c>
      <c r="I318" s="16">
        <f>IF($A318="","",IFERROR(VLOOKUP($A318,Clientes!$A$3:$C$1002,3,0),"NÃO CADASTRADO"))</f>
        <v/>
      </c>
      <c r="J318" s="12">
        <f>IF($A318="","",IF($A318='Carteira do Cliente'!$B$4,COUNTIF($A$3:$A318,'Carteira do Cliente'!$B$4),""))</f>
        <v/>
      </c>
    </row>
    <row r="319">
      <c r="A319" s="3" t="n"/>
      <c r="B319" s="7" t="n"/>
      <c r="C319" s="4" t="n"/>
      <c r="D319" s="4" t="n"/>
      <c r="E319" s="8" t="n"/>
      <c r="F319" s="9" t="n"/>
      <c r="G319" s="7" t="n"/>
      <c r="H319" s="10">
        <f>IF($A319="","",IFERROR(VLOOKUP($A319,Clientes!$A$3:$C$1002,2,0),"NÃO CADASTRADO"))</f>
        <v/>
      </c>
      <c r="I319" s="11">
        <f>IF($A319="","",IFERROR(VLOOKUP($A319,Clientes!$A$3:$C$1002,3,0),"NÃO CADASTRADO"))</f>
        <v/>
      </c>
      <c r="J319" s="7">
        <f>IF($A319="","",IF($A319='Carteira do Cliente'!$B$4,COUNTIF($A$3:$A319,'Carteira do Cliente'!$B$4),""))</f>
        <v/>
      </c>
    </row>
    <row r="320">
      <c r="A320" s="5" t="n"/>
      <c r="B320" s="12" t="n"/>
      <c r="C320" s="6" t="n"/>
      <c r="D320" s="6" t="n"/>
      <c r="E320" s="13" t="n"/>
      <c r="F320" s="14" t="n"/>
      <c r="G320" s="12" t="n"/>
      <c r="H320" s="15">
        <f>IF($A320="","",IFERROR(VLOOKUP($A320,Clientes!$A$3:$C$1002,2,0),"NÃO CADASTRADO"))</f>
        <v/>
      </c>
      <c r="I320" s="16">
        <f>IF($A320="","",IFERROR(VLOOKUP($A320,Clientes!$A$3:$C$1002,3,0),"NÃO CADASTRADO"))</f>
        <v/>
      </c>
      <c r="J320" s="12">
        <f>IF($A320="","",IF($A320='Carteira do Cliente'!$B$4,COUNTIF($A$3:$A320,'Carteira do Cliente'!$B$4),""))</f>
        <v/>
      </c>
    </row>
    <row r="321">
      <c r="A321" s="3" t="n"/>
      <c r="B321" s="7" t="n"/>
      <c r="C321" s="4" t="n"/>
      <c r="D321" s="4" t="n"/>
      <c r="E321" s="8" t="n"/>
      <c r="F321" s="9" t="n"/>
      <c r="G321" s="7" t="n"/>
      <c r="H321" s="10">
        <f>IF($A321="","",IFERROR(VLOOKUP($A321,Clientes!$A$3:$C$1002,2,0),"NÃO CADASTRADO"))</f>
        <v/>
      </c>
      <c r="I321" s="11">
        <f>IF($A321="","",IFERROR(VLOOKUP($A321,Clientes!$A$3:$C$1002,3,0),"NÃO CADASTRADO"))</f>
        <v/>
      </c>
      <c r="J321" s="7">
        <f>IF($A321="","",IF($A321='Carteira do Cliente'!$B$4,COUNTIF($A$3:$A321,'Carteira do Cliente'!$B$4),""))</f>
        <v/>
      </c>
    </row>
    <row r="322">
      <c r="A322" s="5" t="n"/>
      <c r="B322" s="12" t="n"/>
      <c r="C322" s="6" t="n"/>
      <c r="D322" s="6" t="n"/>
      <c r="E322" s="13" t="n"/>
      <c r="F322" s="14" t="n"/>
      <c r="G322" s="12" t="n"/>
      <c r="H322" s="15">
        <f>IF($A322="","",IFERROR(VLOOKUP($A322,Clientes!$A$3:$C$1002,2,0),"NÃO CADASTRADO"))</f>
        <v/>
      </c>
      <c r="I322" s="16">
        <f>IF($A322="","",IFERROR(VLOOKUP($A322,Clientes!$A$3:$C$1002,3,0),"NÃO CADASTRADO"))</f>
        <v/>
      </c>
      <c r="J322" s="12">
        <f>IF($A322="","",IF($A322='Carteira do Cliente'!$B$4,COUNTIF($A$3:$A322,'Carteira do Cliente'!$B$4),""))</f>
        <v/>
      </c>
    </row>
    <row r="323">
      <c r="A323" s="3" t="n"/>
      <c r="B323" s="7" t="n"/>
      <c r="C323" s="4" t="n"/>
      <c r="D323" s="4" t="n"/>
      <c r="E323" s="8" t="n"/>
      <c r="F323" s="9" t="n"/>
      <c r="G323" s="7" t="n"/>
      <c r="H323" s="10">
        <f>IF($A323="","",IFERROR(VLOOKUP($A323,Clientes!$A$3:$C$1002,2,0),"NÃO CADASTRADO"))</f>
        <v/>
      </c>
      <c r="I323" s="11">
        <f>IF($A323="","",IFERROR(VLOOKUP($A323,Clientes!$A$3:$C$1002,3,0),"NÃO CADASTRADO"))</f>
        <v/>
      </c>
      <c r="J323" s="7">
        <f>IF($A323="","",IF($A323='Carteira do Cliente'!$B$4,COUNTIF($A$3:$A323,'Carteira do Cliente'!$B$4),""))</f>
        <v/>
      </c>
    </row>
    <row r="324">
      <c r="A324" s="5" t="n"/>
      <c r="B324" s="12" t="n"/>
      <c r="C324" s="6" t="n"/>
      <c r="D324" s="6" t="n"/>
      <c r="E324" s="13" t="n"/>
      <c r="F324" s="14" t="n"/>
      <c r="G324" s="12" t="n"/>
      <c r="H324" s="15">
        <f>IF($A324="","",IFERROR(VLOOKUP($A324,Clientes!$A$3:$C$1002,2,0),"NÃO CADASTRADO"))</f>
        <v/>
      </c>
      <c r="I324" s="16">
        <f>IF($A324="","",IFERROR(VLOOKUP($A324,Clientes!$A$3:$C$1002,3,0),"NÃO CADASTRADO"))</f>
        <v/>
      </c>
      <c r="J324" s="12">
        <f>IF($A324="","",IF($A324='Carteira do Cliente'!$B$4,COUNTIF($A$3:$A324,'Carteira do Cliente'!$B$4),""))</f>
        <v/>
      </c>
    </row>
    <row r="325">
      <c r="A325" s="3" t="n"/>
      <c r="B325" s="7" t="n"/>
      <c r="C325" s="4" t="n"/>
      <c r="D325" s="4" t="n"/>
      <c r="E325" s="8" t="n"/>
      <c r="F325" s="9" t="n"/>
      <c r="G325" s="7" t="n"/>
      <c r="H325" s="10">
        <f>IF($A325="","",IFERROR(VLOOKUP($A325,Clientes!$A$3:$C$1002,2,0),"NÃO CADASTRADO"))</f>
        <v/>
      </c>
      <c r="I325" s="11">
        <f>IF($A325="","",IFERROR(VLOOKUP($A325,Clientes!$A$3:$C$1002,3,0),"NÃO CADASTRADO"))</f>
        <v/>
      </c>
      <c r="J325" s="7">
        <f>IF($A325="","",IF($A325='Carteira do Cliente'!$B$4,COUNTIF($A$3:$A325,'Carteira do Cliente'!$B$4),""))</f>
        <v/>
      </c>
    </row>
    <row r="326">
      <c r="A326" s="5" t="n"/>
      <c r="B326" s="12" t="n"/>
      <c r="C326" s="6" t="n"/>
      <c r="D326" s="6" t="n"/>
      <c r="E326" s="13" t="n"/>
      <c r="F326" s="14" t="n"/>
      <c r="G326" s="12" t="n"/>
      <c r="H326" s="15">
        <f>IF($A326="","",IFERROR(VLOOKUP($A326,Clientes!$A$3:$C$1002,2,0),"NÃO CADASTRADO"))</f>
        <v/>
      </c>
      <c r="I326" s="16">
        <f>IF($A326="","",IFERROR(VLOOKUP($A326,Clientes!$A$3:$C$1002,3,0),"NÃO CADASTRADO"))</f>
        <v/>
      </c>
      <c r="J326" s="12">
        <f>IF($A326="","",IF($A326='Carteira do Cliente'!$B$4,COUNTIF($A$3:$A326,'Carteira do Cliente'!$B$4),""))</f>
        <v/>
      </c>
    </row>
    <row r="327">
      <c r="A327" s="3" t="n"/>
      <c r="B327" s="7" t="n"/>
      <c r="C327" s="4" t="n"/>
      <c r="D327" s="4" t="n"/>
      <c r="E327" s="8" t="n"/>
      <c r="F327" s="9" t="n"/>
      <c r="G327" s="7" t="n"/>
      <c r="H327" s="10">
        <f>IF($A327="","",IFERROR(VLOOKUP($A327,Clientes!$A$3:$C$1002,2,0),"NÃO CADASTRADO"))</f>
        <v/>
      </c>
      <c r="I327" s="11">
        <f>IF($A327="","",IFERROR(VLOOKUP($A327,Clientes!$A$3:$C$1002,3,0),"NÃO CADASTRADO"))</f>
        <v/>
      </c>
      <c r="J327" s="7">
        <f>IF($A327="","",IF($A327='Carteira do Cliente'!$B$4,COUNTIF($A$3:$A327,'Carteira do Cliente'!$B$4),""))</f>
        <v/>
      </c>
    </row>
    <row r="328">
      <c r="A328" s="5" t="n"/>
      <c r="B328" s="12" t="n"/>
      <c r="C328" s="6" t="n"/>
      <c r="D328" s="6" t="n"/>
      <c r="E328" s="13" t="n"/>
      <c r="F328" s="14" t="n"/>
      <c r="G328" s="12" t="n"/>
      <c r="H328" s="15">
        <f>IF($A328="","",IFERROR(VLOOKUP($A328,Clientes!$A$3:$C$1002,2,0),"NÃO CADASTRADO"))</f>
        <v/>
      </c>
      <c r="I328" s="16">
        <f>IF($A328="","",IFERROR(VLOOKUP($A328,Clientes!$A$3:$C$1002,3,0),"NÃO CADASTRADO"))</f>
        <v/>
      </c>
      <c r="J328" s="12">
        <f>IF($A328="","",IF($A328='Carteira do Cliente'!$B$4,COUNTIF($A$3:$A328,'Carteira do Cliente'!$B$4),""))</f>
        <v/>
      </c>
    </row>
    <row r="329">
      <c r="A329" s="3" t="n"/>
      <c r="B329" s="7" t="n"/>
      <c r="C329" s="4" t="n"/>
      <c r="D329" s="4" t="n"/>
      <c r="E329" s="8" t="n"/>
      <c r="F329" s="9" t="n"/>
      <c r="G329" s="7" t="n"/>
      <c r="H329" s="10">
        <f>IF($A329="","",IFERROR(VLOOKUP($A329,Clientes!$A$3:$C$1002,2,0),"NÃO CADASTRADO"))</f>
        <v/>
      </c>
      <c r="I329" s="11">
        <f>IF($A329="","",IFERROR(VLOOKUP($A329,Clientes!$A$3:$C$1002,3,0),"NÃO CADASTRADO"))</f>
        <v/>
      </c>
      <c r="J329" s="7">
        <f>IF($A329="","",IF($A329='Carteira do Cliente'!$B$4,COUNTIF($A$3:$A329,'Carteira do Cliente'!$B$4),""))</f>
        <v/>
      </c>
    </row>
    <row r="330">
      <c r="A330" s="5" t="n"/>
      <c r="B330" s="12" t="n"/>
      <c r="C330" s="6" t="n"/>
      <c r="D330" s="6" t="n"/>
      <c r="E330" s="13" t="n"/>
      <c r="F330" s="14" t="n"/>
      <c r="G330" s="12" t="n"/>
      <c r="H330" s="15">
        <f>IF($A330="","",IFERROR(VLOOKUP($A330,Clientes!$A$3:$C$1002,2,0),"NÃO CADASTRADO"))</f>
        <v/>
      </c>
      <c r="I330" s="16">
        <f>IF($A330="","",IFERROR(VLOOKUP($A330,Clientes!$A$3:$C$1002,3,0),"NÃO CADASTRADO"))</f>
        <v/>
      </c>
      <c r="J330" s="12">
        <f>IF($A330="","",IF($A330='Carteira do Cliente'!$B$4,COUNTIF($A$3:$A330,'Carteira do Cliente'!$B$4),""))</f>
        <v/>
      </c>
    </row>
    <row r="331">
      <c r="A331" s="3" t="n"/>
      <c r="B331" s="7" t="n"/>
      <c r="C331" s="4" t="n"/>
      <c r="D331" s="4" t="n"/>
      <c r="E331" s="8" t="n"/>
      <c r="F331" s="9" t="n"/>
      <c r="G331" s="7" t="n"/>
      <c r="H331" s="10">
        <f>IF($A331="","",IFERROR(VLOOKUP($A331,Clientes!$A$3:$C$1002,2,0),"NÃO CADASTRADO"))</f>
        <v/>
      </c>
      <c r="I331" s="11">
        <f>IF($A331="","",IFERROR(VLOOKUP($A331,Clientes!$A$3:$C$1002,3,0),"NÃO CADASTRADO"))</f>
        <v/>
      </c>
      <c r="J331" s="7">
        <f>IF($A331="","",IF($A331='Carteira do Cliente'!$B$4,COUNTIF($A$3:$A331,'Carteira do Cliente'!$B$4),""))</f>
        <v/>
      </c>
    </row>
    <row r="332">
      <c r="A332" s="5" t="n"/>
      <c r="B332" s="12" t="n"/>
      <c r="C332" s="6" t="n"/>
      <c r="D332" s="6" t="n"/>
      <c r="E332" s="13" t="n"/>
      <c r="F332" s="14" t="n"/>
      <c r="G332" s="12" t="n"/>
      <c r="H332" s="15">
        <f>IF($A332="","",IFERROR(VLOOKUP($A332,Clientes!$A$3:$C$1002,2,0),"NÃO CADASTRADO"))</f>
        <v/>
      </c>
      <c r="I332" s="16">
        <f>IF($A332="","",IFERROR(VLOOKUP($A332,Clientes!$A$3:$C$1002,3,0),"NÃO CADASTRADO"))</f>
        <v/>
      </c>
      <c r="J332" s="12">
        <f>IF($A332="","",IF($A332='Carteira do Cliente'!$B$4,COUNTIF($A$3:$A332,'Carteira do Cliente'!$B$4),""))</f>
        <v/>
      </c>
    </row>
    <row r="333">
      <c r="A333" s="3" t="n"/>
      <c r="B333" s="7" t="n"/>
      <c r="C333" s="4" t="n"/>
      <c r="D333" s="4" t="n"/>
      <c r="E333" s="8" t="n"/>
      <c r="F333" s="9" t="n"/>
      <c r="G333" s="7" t="n"/>
      <c r="H333" s="10">
        <f>IF($A333="","",IFERROR(VLOOKUP($A333,Clientes!$A$3:$C$1002,2,0),"NÃO CADASTRADO"))</f>
        <v/>
      </c>
      <c r="I333" s="11">
        <f>IF($A333="","",IFERROR(VLOOKUP($A333,Clientes!$A$3:$C$1002,3,0),"NÃO CADASTRADO"))</f>
        <v/>
      </c>
      <c r="J333" s="7">
        <f>IF($A333="","",IF($A333='Carteira do Cliente'!$B$4,COUNTIF($A$3:$A333,'Carteira do Cliente'!$B$4),""))</f>
        <v/>
      </c>
    </row>
    <row r="334">
      <c r="A334" s="5" t="n"/>
      <c r="B334" s="12" t="n"/>
      <c r="C334" s="6" t="n"/>
      <c r="D334" s="6" t="n"/>
      <c r="E334" s="13" t="n"/>
      <c r="F334" s="14" t="n"/>
      <c r="G334" s="12" t="n"/>
      <c r="H334" s="15">
        <f>IF($A334="","",IFERROR(VLOOKUP($A334,Clientes!$A$3:$C$1002,2,0),"NÃO CADASTRADO"))</f>
        <v/>
      </c>
      <c r="I334" s="16">
        <f>IF($A334="","",IFERROR(VLOOKUP($A334,Clientes!$A$3:$C$1002,3,0),"NÃO CADASTRADO"))</f>
        <v/>
      </c>
      <c r="J334" s="12">
        <f>IF($A334="","",IF($A334='Carteira do Cliente'!$B$4,COUNTIF($A$3:$A334,'Carteira do Cliente'!$B$4),""))</f>
        <v/>
      </c>
    </row>
    <row r="335">
      <c r="A335" s="3" t="n"/>
      <c r="B335" s="7" t="n"/>
      <c r="C335" s="4" t="n"/>
      <c r="D335" s="4" t="n"/>
      <c r="E335" s="8" t="n"/>
      <c r="F335" s="9" t="n"/>
      <c r="G335" s="7" t="n"/>
      <c r="H335" s="10">
        <f>IF($A335="","",IFERROR(VLOOKUP($A335,Clientes!$A$3:$C$1002,2,0),"NÃO CADASTRADO"))</f>
        <v/>
      </c>
      <c r="I335" s="11">
        <f>IF($A335="","",IFERROR(VLOOKUP($A335,Clientes!$A$3:$C$1002,3,0),"NÃO CADASTRADO"))</f>
        <v/>
      </c>
      <c r="J335" s="7">
        <f>IF($A335="","",IF($A335='Carteira do Cliente'!$B$4,COUNTIF($A$3:$A335,'Carteira do Cliente'!$B$4),""))</f>
        <v/>
      </c>
    </row>
    <row r="336">
      <c r="A336" s="5" t="n"/>
      <c r="B336" s="12" t="n"/>
      <c r="C336" s="6" t="n"/>
      <c r="D336" s="6" t="n"/>
      <c r="E336" s="13" t="n"/>
      <c r="F336" s="14" t="n"/>
      <c r="G336" s="12" t="n"/>
      <c r="H336" s="15">
        <f>IF($A336="","",IFERROR(VLOOKUP($A336,Clientes!$A$3:$C$1002,2,0),"NÃO CADASTRADO"))</f>
        <v/>
      </c>
      <c r="I336" s="16">
        <f>IF($A336="","",IFERROR(VLOOKUP($A336,Clientes!$A$3:$C$1002,3,0),"NÃO CADASTRADO"))</f>
        <v/>
      </c>
      <c r="J336" s="12">
        <f>IF($A336="","",IF($A336='Carteira do Cliente'!$B$4,COUNTIF($A$3:$A336,'Carteira do Cliente'!$B$4),""))</f>
        <v/>
      </c>
    </row>
    <row r="337">
      <c r="A337" s="3" t="n"/>
      <c r="B337" s="7" t="n"/>
      <c r="C337" s="4" t="n"/>
      <c r="D337" s="4" t="n"/>
      <c r="E337" s="8" t="n"/>
      <c r="F337" s="9" t="n"/>
      <c r="G337" s="7" t="n"/>
      <c r="H337" s="10">
        <f>IF($A337="","",IFERROR(VLOOKUP($A337,Clientes!$A$3:$C$1002,2,0),"NÃO CADASTRADO"))</f>
        <v/>
      </c>
      <c r="I337" s="11">
        <f>IF($A337="","",IFERROR(VLOOKUP($A337,Clientes!$A$3:$C$1002,3,0),"NÃO CADASTRADO"))</f>
        <v/>
      </c>
      <c r="J337" s="7">
        <f>IF($A337="","",IF($A337='Carteira do Cliente'!$B$4,COUNTIF($A$3:$A337,'Carteira do Cliente'!$B$4),""))</f>
        <v/>
      </c>
    </row>
    <row r="338">
      <c r="A338" s="5" t="n"/>
      <c r="B338" s="12" t="n"/>
      <c r="C338" s="6" t="n"/>
      <c r="D338" s="6" t="n"/>
      <c r="E338" s="13" t="n"/>
      <c r="F338" s="14" t="n"/>
      <c r="G338" s="12" t="n"/>
      <c r="H338" s="15">
        <f>IF($A338="","",IFERROR(VLOOKUP($A338,Clientes!$A$3:$C$1002,2,0),"NÃO CADASTRADO"))</f>
        <v/>
      </c>
      <c r="I338" s="16">
        <f>IF($A338="","",IFERROR(VLOOKUP($A338,Clientes!$A$3:$C$1002,3,0),"NÃO CADASTRADO"))</f>
        <v/>
      </c>
      <c r="J338" s="12">
        <f>IF($A338="","",IF($A338='Carteira do Cliente'!$B$4,COUNTIF($A$3:$A338,'Carteira do Cliente'!$B$4),""))</f>
        <v/>
      </c>
    </row>
    <row r="339">
      <c r="A339" s="3" t="n"/>
      <c r="B339" s="7" t="n"/>
      <c r="C339" s="4" t="n"/>
      <c r="D339" s="4" t="n"/>
      <c r="E339" s="8" t="n"/>
      <c r="F339" s="9" t="n"/>
      <c r="G339" s="7" t="n"/>
      <c r="H339" s="10">
        <f>IF($A339="","",IFERROR(VLOOKUP($A339,Clientes!$A$3:$C$1002,2,0),"NÃO CADASTRADO"))</f>
        <v/>
      </c>
      <c r="I339" s="11">
        <f>IF($A339="","",IFERROR(VLOOKUP($A339,Clientes!$A$3:$C$1002,3,0),"NÃO CADASTRADO"))</f>
        <v/>
      </c>
      <c r="J339" s="7">
        <f>IF($A339="","",IF($A339='Carteira do Cliente'!$B$4,COUNTIF($A$3:$A339,'Carteira do Cliente'!$B$4),""))</f>
        <v/>
      </c>
    </row>
    <row r="340">
      <c r="A340" s="5" t="n"/>
      <c r="B340" s="12" t="n"/>
      <c r="C340" s="6" t="n"/>
      <c r="D340" s="6" t="n"/>
      <c r="E340" s="13" t="n"/>
      <c r="F340" s="14" t="n"/>
      <c r="G340" s="12" t="n"/>
      <c r="H340" s="15">
        <f>IF($A340="","",IFERROR(VLOOKUP($A340,Clientes!$A$3:$C$1002,2,0),"NÃO CADASTRADO"))</f>
        <v/>
      </c>
      <c r="I340" s="16">
        <f>IF($A340="","",IFERROR(VLOOKUP($A340,Clientes!$A$3:$C$1002,3,0),"NÃO CADASTRADO"))</f>
        <v/>
      </c>
      <c r="J340" s="12">
        <f>IF($A340="","",IF($A340='Carteira do Cliente'!$B$4,COUNTIF($A$3:$A340,'Carteira do Cliente'!$B$4),""))</f>
        <v/>
      </c>
    </row>
    <row r="341">
      <c r="A341" s="3" t="n"/>
      <c r="B341" s="7" t="n"/>
      <c r="C341" s="4" t="n"/>
      <c r="D341" s="4" t="n"/>
      <c r="E341" s="8" t="n"/>
      <c r="F341" s="9" t="n"/>
      <c r="G341" s="7" t="n"/>
      <c r="H341" s="10">
        <f>IF($A341="","",IFERROR(VLOOKUP($A341,Clientes!$A$3:$C$1002,2,0),"NÃO CADASTRADO"))</f>
        <v/>
      </c>
      <c r="I341" s="11">
        <f>IF($A341="","",IFERROR(VLOOKUP($A341,Clientes!$A$3:$C$1002,3,0),"NÃO CADASTRADO"))</f>
        <v/>
      </c>
      <c r="J341" s="7">
        <f>IF($A341="","",IF($A341='Carteira do Cliente'!$B$4,COUNTIF($A$3:$A341,'Carteira do Cliente'!$B$4),""))</f>
        <v/>
      </c>
    </row>
    <row r="342">
      <c r="A342" s="5" t="n"/>
      <c r="B342" s="12" t="n"/>
      <c r="C342" s="6" t="n"/>
      <c r="D342" s="6" t="n"/>
      <c r="E342" s="13" t="n"/>
      <c r="F342" s="14" t="n"/>
      <c r="G342" s="12" t="n"/>
      <c r="H342" s="15">
        <f>IF($A342="","",IFERROR(VLOOKUP($A342,Clientes!$A$3:$C$1002,2,0),"NÃO CADASTRADO"))</f>
        <v/>
      </c>
      <c r="I342" s="16">
        <f>IF($A342="","",IFERROR(VLOOKUP($A342,Clientes!$A$3:$C$1002,3,0),"NÃO CADASTRADO"))</f>
        <v/>
      </c>
      <c r="J342" s="12">
        <f>IF($A342="","",IF($A342='Carteira do Cliente'!$B$4,COUNTIF($A$3:$A342,'Carteira do Cliente'!$B$4),""))</f>
        <v/>
      </c>
    </row>
    <row r="343">
      <c r="A343" s="3" t="n"/>
      <c r="B343" s="7" t="n"/>
      <c r="C343" s="4" t="n"/>
      <c r="D343" s="4" t="n"/>
      <c r="E343" s="8" t="n"/>
      <c r="F343" s="9" t="n"/>
      <c r="G343" s="7" t="n"/>
      <c r="H343" s="10">
        <f>IF($A343="","",IFERROR(VLOOKUP($A343,Clientes!$A$3:$C$1002,2,0),"NÃO CADASTRADO"))</f>
        <v/>
      </c>
      <c r="I343" s="11">
        <f>IF($A343="","",IFERROR(VLOOKUP($A343,Clientes!$A$3:$C$1002,3,0),"NÃO CADASTRADO"))</f>
        <v/>
      </c>
      <c r="J343" s="7">
        <f>IF($A343="","",IF($A343='Carteira do Cliente'!$B$4,COUNTIF($A$3:$A343,'Carteira do Cliente'!$B$4),""))</f>
        <v/>
      </c>
    </row>
    <row r="344">
      <c r="A344" s="5" t="n"/>
      <c r="B344" s="12" t="n"/>
      <c r="C344" s="6" t="n"/>
      <c r="D344" s="6" t="n"/>
      <c r="E344" s="13" t="n"/>
      <c r="F344" s="14" t="n"/>
      <c r="G344" s="12" t="n"/>
      <c r="H344" s="15">
        <f>IF($A344="","",IFERROR(VLOOKUP($A344,Clientes!$A$3:$C$1002,2,0),"NÃO CADASTRADO"))</f>
        <v/>
      </c>
      <c r="I344" s="16">
        <f>IF($A344="","",IFERROR(VLOOKUP($A344,Clientes!$A$3:$C$1002,3,0),"NÃO CADASTRADO"))</f>
        <v/>
      </c>
      <c r="J344" s="12">
        <f>IF($A344="","",IF($A344='Carteira do Cliente'!$B$4,COUNTIF($A$3:$A344,'Carteira do Cliente'!$B$4),""))</f>
        <v/>
      </c>
    </row>
    <row r="345">
      <c r="A345" s="3" t="n"/>
      <c r="B345" s="7" t="n"/>
      <c r="C345" s="4" t="n"/>
      <c r="D345" s="4" t="n"/>
      <c r="E345" s="8" t="n"/>
      <c r="F345" s="9" t="n"/>
      <c r="G345" s="7" t="n"/>
      <c r="H345" s="10">
        <f>IF($A345="","",IFERROR(VLOOKUP($A345,Clientes!$A$3:$C$1002,2,0),"NÃO CADASTRADO"))</f>
        <v/>
      </c>
      <c r="I345" s="11">
        <f>IF($A345="","",IFERROR(VLOOKUP($A345,Clientes!$A$3:$C$1002,3,0),"NÃO CADASTRADO"))</f>
        <v/>
      </c>
      <c r="J345" s="7">
        <f>IF($A345="","",IF($A345='Carteira do Cliente'!$B$4,COUNTIF($A$3:$A345,'Carteira do Cliente'!$B$4),""))</f>
        <v/>
      </c>
    </row>
    <row r="346">
      <c r="A346" s="5" t="n"/>
      <c r="B346" s="12" t="n"/>
      <c r="C346" s="6" t="n"/>
      <c r="D346" s="6" t="n"/>
      <c r="E346" s="13" t="n"/>
      <c r="F346" s="14" t="n"/>
      <c r="G346" s="12" t="n"/>
      <c r="H346" s="15">
        <f>IF($A346="","",IFERROR(VLOOKUP($A346,Clientes!$A$3:$C$1002,2,0),"NÃO CADASTRADO"))</f>
        <v/>
      </c>
      <c r="I346" s="16">
        <f>IF($A346="","",IFERROR(VLOOKUP($A346,Clientes!$A$3:$C$1002,3,0),"NÃO CADASTRADO"))</f>
        <v/>
      </c>
      <c r="J346" s="12">
        <f>IF($A346="","",IF($A346='Carteira do Cliente'!$B$4,COUNTIF($A$3:$A346,'Carteira do Cliente'!$B$4),""))</f>
        <v/>
      </c>
    </row>
    <row r="347">
      <c r="A347" s="3" t="n"/>
      <c r="B347" s="7" t="n"/>
      <c r="C347" s="4" t="n"/>
      <c r="D347" s="4" t="n"/>
      <c r="E347" s="8" t="n"/>
      <c r="F347" s="9" t="n"/>
      <c r="G347" s="7" t="n"/>
      <c r="H347" s="10">
        <f>IF($A347="","",IFERROR(VLOOKUP($A347,Clientes!$A$3:$C$1002,2,0),"NÃO CADASTRADO"))</f>
        <v/>
      </c>
      <c r="I347" s="11">
        <f>IF($A347="","",IFERROR(VLOOKUP($A347,Clientes!$A$3:$C$1002,3,0),"NÃO CADASTRADO"))</f>
        <v/>
      </c>
      <c r="J347" s="7">
        <f>IF($A347="","",IF($A347='Carteira do Cliente'!$B$4,COUNTIF($A$3:$A347,'Carteira do Cliente'!$B$4),""))</f>
        <v/>
      </c>
    </row>
    <row r="348">
      <c r="A348" s="5" t="n"/>
      <c r="B348" s="12" t="n"/>
      <c r="C348" s="6" t="n"/>
      <c r="D348" s="6" t="n"/>
      <c r="E348" s="13" t="n"/>
      <c r="F348" s="14" t="n"/>
      <c r="G348" s="12" t="n"/>
      <c r="H348" s="15">
        <f>IF($A348="","",IFERROR(VLOOKUP($A348,Clientes!$A$3:$C$1002,2,0),"NÃO CADASTRADO"))</f>
        <v/>
      </c>
      <c r="I348" s="16">
        <f>IF($A348="","",IFERROR(VLOOKUP($A348,Clientes!$A$3:$C$1002,3,0),"NÃO CADASTRADO"))</f>
        <v/>
      </c>
      <c r="J348" s="12">
        <f>IF($A348="","",IF($A348='Carteira do Cliente'!$B$4,COUNTIF($A$3:$A348,'Carteira do Cliente'!$B$4),""))</f>
        <v/>
      </c>
    </row>
    <row r="349">
      <c r="A349" s="3" t="n"/>
      <c r="B349" s="7" t="n"/>
      <c r="C349" s="4" t="n"/>
      <c r="D349" s="4" t="n"/>
      <c r="E349" s="8" t="n"/>
      <c r="F349" s="9" t="n"/>
      <c r="G349" s="7" t="n"/>
      <c r="H349" s="10">
        <f>IF($A349="","",IFERROR(VLOOKUP($A349,Clientes!$A$3:$C$1002,2,0),"NÃO CADASTRADO"))</f>
        <v/>
      </c>
      <c r="I349" s="11">
        <f>IF($A349="","",IFERROR(VLOOKUP($A349,Clientes!$A$3:$C$1002,3,0),"NÃO CADASTRADO"))</f>
        <v/>
      </c>
      <c r="J349" s="7">
        <f>IF($A349="","",IF($A349='Carteira do Cliente'!$B$4,COUNTIF($A$3:$A349,'Carteira do Cliente'!$B$4),""))</f>
        <v/>
      </c>
    </row>
    <row r="350">
      <c r="A350" s="5" t="n"/>
      <c r="B350" s="12" t="n"/>
      <c r="C350" s="6" t="n"/>
      <c r="D350" s="6" t="n"/>
      <c r="E350" s="13" t="n"/>
      <c r="F350" s="14" t="n"/>
      <c r="G350" s="12" t="n"/>
      <c r="H350" s="15">
        <f>IF($A350="","",IFERROR(VLOOKUP($A350,Clientes!$A$3:$C$1002,2,0),"NÃO CADASTRADO"))</f>
        <v/>
      </c>
      <c r="I350" s="16">
        <f>IF($A350="","",IFERROR(VLOOKUP($A350,Clientes!$A$3:$C$1002,3,0),"NÃO CADASTRADO"))</f>
        <v/>
      </c>
      <c r="J350" s="12">
        <f>IF($A350="","",IF($A350='Carteira do Cliente'!$B$4,COUNTIF($A$3:$A350,'Carteira do Cliente'!$B$4),""))</f>
        <v/>
      </c>
    </row>
    <row r="351">
      <c r="A351" s="3" t="n"/>
      <c r="B351" s="7" t="n"/>
      <c r="C351" s="4" t="n"/>
      <c r="D351" s="4" t="n"/>
      <c r="E351" s="8" t="n"/>
      <c r="F351" s="9" t="n"/>
      <c r="G351" s="7" t="n"/>
      <c r="H351" s="10">
        <f>IF($A351="","",IFERROR(VLOOKUP($A351,Clientes!$A$3:$C$1002,2,0),"NÃO CADASTRADO"))</f>
        <v/>
      </c>
      <c r="I351" s="11">
        <f>IF($A351="","",IFERROR(VLOOKUP($A351,Clientes!$A$3:$C$1002,3,0),"NÃO CADASTRADO"))</f>
        <v/>
      </c>
      <c r="J351" s="7">
        <f>IF($A351="","",IF($A351='Carteira do Cliente'!$B$4,COUNTIF($A$3:$A351,'Carteira do Cliente'!$B$4),""))</f>
        <v/>
      </c>
    </row>
    <row r="352">
      <c r="A352" s="5" t="n"/>
      <c r="B352" s="12" t="n"/>
      <c r="C352" s="6" t="n"/>
      <c r="D352" s="6" t="n"/>
      <c r="E352" s="13" t="n"/>
      <c r="F352" s="14" t="n"/>
      <c r="G352" s="12" t="n"/>
      <c r="H352" s="15">
        <f>IF($A352="","",IFERROR(VLOOKUP($A352,Clientes!$A$3:$C$1002,2,0),"NÃO CADASTRADO"))</f>
        <v/>
      </c>
      <c r="I352" s="16">
        <f>IF($A352="","",IFERROR(VLOOKUP($A352,Clientes!$A$3:$C$1002,3,0),"NÃO CADASTRADO"))</f>
        <v/>
      </c>
      <c r="J352" s="12">
        <f>IF($A352="","",IF($A352='Carteira do Cliente'!$B$4,COUNTIF($A$3:$A352,'Carteira do Cliente'!$B$4),""))</f>
        <v/>
      </c>
    </row>
    <row r="353">
      <c r="A353" s="3" t="n"/>
      <c r="B353" s="7" t="n"/>
      <c r="C353" s="4" t="n"/>
      <c r="D353" s="4" t="n"/>
      <c r="E353" s="8" t="n"/>
      <c r="F353" s="9" t="n"/>
      <c r="G353" s="7" t="n"/>
      <c r="H353" s="10">
        <f>IF($A353="","",IFERROR(VLOOKUP($A353,Clientes!$A$3:$C$1002,2,0),"NÃO CADASTRADO"))</f>
        <v/>
      </c>
      <c r="I353" s="11">
        <f>IF($A353="","",IFERROR(VLOOKUP($A353,Clientes!$A$3:$C$1002,3,0),"NÃO CADASTRADO"))</f>
        <v/>
      </c>
      <c r="J353" s="7">
        <f>IF($A353="","",IF($A353='Carteira do Cliente'!$B$4,COUNTIF($A$3:$A353,'Carteira do Cliente'!$B$4),""))</f>
        <v/>
      </c>
    </row>
    <row r="354">
      <c r="A354" s="5" t="n"/>
      <c r="B354" s="12" t="n"/>
      <c r="C354" s="6" t="n"/>
      <c r="D354" s="6" t="n"/>
      <c r="E354" s="13" t="n"/>
      <c r="F354" s="14" t="n"/>
      <c r="G354" s="12" t="n"/>
      <c r="H354" s="15">
        <f>IF($A354="","",IFERROR(VLOOKUP($A354,Clientes!$A$3:$C$1002,2,0),"NÃO CADASTRADO"))</f>
        <v/>
      </c>
      <c r="I354" s="16">
        <f>IF($A354="","",IFERROR(VLOOKUP($A354,Clientes!$A$3:$C$1002,3,0),"NÃO CADASTRADO"))</f>
        <v/>
      </c>
      <c r="J354" s="12">
        <f>IF($A354="","",IF($A354='Carteira do Cliente'!$B$4,COUNTIF($A$3:$A354,'Carteira do Cliente'!$B$4),""))</f>
        <v/>
      </c>
    </row>
    <row r="355">
      <c r="A355" s="3" t="n"/>
      <c r="B355" s="7" t="n"/>
      <c r="C355" s="4" t="n"/>
      <c r="D355" s="4" t="n"/>
      <c r="E355" s="8" t="n"/>
      <c r="F355" s="9" t="n"/>
      <c r="G355" s="7" t="n"/>
      <c r="H355" s="10">
        <f>IF($A355="","",IFERROR(VLOOKUP($A355,Clientes!$A$3:$C$1002,2,0),"NÃO CADASTRADO"))</f>
        <v/>
      </c>
      <c r="I355" s="11">
        <f>IF($A355="","",IFERROR(VLOOKUP($A355,Clientes!$A$3:$C$1002,3,0),"NÃO CADASTRADO"))</f>
        <v/>
      </c>
      <c r="J355" s="7">
        <f>IF($A355="","",IF($A355='Carteira do Cliente'!$B$4,COUNTIF($A$3:$A355,'Carteira do Cliente'!$B$4),""))</f>
        <v/>
      </c>
    </row>
    <row r="356">
      <c r="A356" s="5" t="n"/>
      <c r="B356" s="12" t="n"/>
      <c r="C356" s="6" t="n"/>
      <c r="D356" s="6" t="n"/>
      <c r="E356" s="13" t="n"/>
      <c r="F356" s="14" t="n"/>
      <c r="G356" s="12" t="n"/>
      <c r="H356" s="15">
        <f>IF($A356="","",IFERROR(VLOOKUP($A356,Clientes!$A$3:$C$1002,2,0),"NÃO CADASTRADO"))</f>
        <v/>
      </c>
      <c r="I356" s="16">
        <f>IF($A356="","",IFERROR(VLOOKUP($A356,Clientes!$A$3:$C$1002,3,0),"NÃO CADASTRADO"))</f>
        <v/>
      </c>
      <c r="J356" s="12">
        <f>IF($A356="","",IF($A356='Carteira do Cliente'!$B$4,COUNTIF($A$3:$A356,'Carteira do Cliente'!$B$4),""))</f>
        <v/>
      </c>
    </row>
    <row r="357">
      <c r="A357" s="3" t="n"/>
      <c r="B357" s="7" t="n"/>
      <c r="C357" s="4" t="n"/>
      <c r="D357" s="4" t="n"/>
      <c r="E357" s="8" t="n"/>
      <c r="F357" s="9" t="n"/>
      <c r="G357" s="7" t="n"/>
      <c r="H357" s="10">
        <f>IF($A357="","",IFERROR(VLOOKUP($A357,Clientes!$A$3:$C$1002,2,0),"NÃO CADASTRADO"))</f>
        <v/>
      </c>
      <c r="I357" s="11">
        <f>IF($A357="","",IFERROR(VLOOKUP($A357,Clientes!$A$3:$C$1002,3,0),"NÃO CADASTRADO"))</f>
        <v/>
      </c>
      <c r="J357" s="7">
        <f>IF($A357="","",IF($A357='Carteira do Cliente'!$B$4,COUNTIF($A$3:$A357,'Carteira do Cliente'!$B$4),""))</f>
        <v/>
      </c>
    </row>
    <row r="358">
      <c r="A358" s="5" t="n"/>
      <c r="B358" s="12" t="n"/>
      <c r="C358" s="6" t="n"/>
      <c r="D358" s="6" t="n"/>
      <c r="E358" s="13" t="n"/>
      <c r="F358" s="14" t="n"/>
      <c r="G358" s="12" t="n"/>
      <c r="H358" s="15">
        <f>IF($A358="","",IFERROR(VLOOKUP($A358,Clientes!$A$3:$C$1002,2,0),"NÃO CADASTRADO"))</f>
        <v/>
      </c>
      <c r="I358" s="16">
        <f>IF($A358="","",IFERROR(VLOOKUP($A358,Clientes!$A$3:$C$1002,3,0),"NÃO CADASTRADO"))</f>
        <v/>
      </c>
      <c r="J358" s="12">
        <f>IF($A358="","",IF($A358='Carteira do Cliente'!$B$4,COUNTIF($A$3:$A358,'Carteira do Cliente'!$B$4),""))</f>
        <v/>
      </c>
    </row>
    <row r="359">
      <c r="A359" s="3" t="n"/>
      <c r="B359" s="7" t="n"/>
      <c r="C359" s="4" t="n"/>
      <c r="D359" s="4" t="n"/>
      <c r="E359" s="8" t="n"/>
      <c r="F359" s="9" t="n"/>
      <c r="G359" s="7" t="n"/>
      <c r="H359" s="10">
        <f>IF($A359="","",IFERROR(VLOOKUP($A359,Clientes!$A$3:$C$1002,2,0),"NÃO CADASTRADO"))</f>
        <v/>
      </c>
      <c r="I359" s="11">
        <f>IF($A359="","",IFERROR(VLOOKUP($A359,Clientes!$A$3:$C$1002,3,0),"NÃO CADASTRADO"))</f>
        <v/>
      </c>
      <c r="J359" s="7">
        <f>IF($A359="","",IF($A359='Carteira do Cliente'!$B$4,COUNTIF($A$3:$A359,'Carteira do Cliente'!$B$4),""))</f>
        <v/>
      </c>
    </row>
    <row r="360">
      <c r="A360" s="5" t="n"/>
      <c r="B360" s="12" t="n"/>
      <c r="C360" s="6" t="n"/>
      <c r="D360" s="6" t="n"/>
      <c r="E360" s="13" t="n"/>
      <c r="F360" s="14" t="n"/>
      <c r="G360" s="12" t="n"/>
      <c r="H360" s="15">
        <f>IF($A360="","",IFERROR(VLOOKUP($A360,Clientes!$A$3:$C$1002,2,0),"NÃO CADASTRADO"))</f>
        <v/>
      </c>
      <c r="I360" s="16">
        <f>IF($A360="","",IFERROR(VLOOKUP($A360,Clientes!$A$3:$C$1002,3,0),"NÃO CADASTRADO"))</f>
        <v/>
      </c>
      <c r="J360" s="12">
        <f>IF($A360="","",IF($A360='Carteira do Cliente'!$B$4,COUNTIF($A$3:$A360,'Carteira do Cliente'!$B$4),""))</f>
        <v/>
      </c>
    </row>
    <row r="361">
      <c r="A361" s="3" t="n"/>
      <c r="B361" s="7" t="n"/>
      <c r="C361" s="4" t="n"/>
      <c r="D361" s="4" t="n"/>
      <c r="E361" s="8" t="n"/>
      <c r="F361" s="9" t="n"/>
      <c r="G361" s="7" t="n"/>
      <c r="H361" s="10">
        <f>IF($A361="","",IFERROR(VLOOKUP($A361,Clientes!$A$3:$C$1002,2,0),"NÃO CADASTRADO"))</f>
        <v/>
      </c>
      <c r="I361" s="11">
        <f>IF($A361="","",IFERROR(VLOOKUP($A361,Clientes!$A$3:$C$1002,3,0),"NÃO CADASTRADO"))</f>
        <v/>
      </c>
      <c r="J361" s="7">
        <f>IF($A361="","",IF($A361='Carteira do Cliente'!$B$4,COUNTIF($A$3:$A361,'Carteira do Cliente'!$B$4),""))</f>
        <v/>
      </c>
    </row>
    <row r="362">
      <c r="A362" s="5" t="n"/>
      <c r="B362" s="12" t="n"/>
      <c r="C362" s="6" t="n"/>
      <c r="D362" s="6" t="n"/>
      <c r="E362" s="13" t="n"/>
      <c r="F362" s="14" t="n"/>
      <c r="G362" s="12" t="n"/>
      <c r="H362" s="15">
        <f>IF($A362="","",IFERROR(VLOOKUP($A362,Clientes!$A$3:$C$1002,2,0),"NÃO CADASTRADO"))</f>
        <v/>
      </c>
      <c r="I362" s="16">
        <f>IF($A362="","",IFERROR(VLOOKUP($A362,Clientes!$A$3:$C$1002,3,0),"NÃO CADASTRADO"))</f>
        <v/>
      </c>
      <c r="J362" s="12">
        <f>IF($A362="","",IF($A362='Carteira do Cliente'!$B$4,COUNTIF($A$3:$A362,'Carteira do Cliente'!$B$4),""))</f>
        <v/>
      </c>
    </row>
    <row r="363">
      <c r="A363" s="3" t="n"/>
      <c r="B363" s="7" t="n"/>
      <c r="C363" s="4" t="n"/>
      <c r="D363" s="4" t="n"/>
      <c r="E363" s="8" t="n"/>
      <c r="F363" s="9" t="n"/>
      <c r="G363" s="7" t="n"/>
      <c r="H363" s="10">
        <f>IF($A363="","",IFERROR(VLOOKUP($A363,Clientes!$A$3:$C$1002,2,0),"NÃO CADASTRADO"))</f>
        <v/>
      </c>
      <c r="I363" s="11">
        <f>IF($A363="","",IFERROR(VLOOKUP($A363,Clientes!$A$3:$C$1002,3,0),"NÃO CADASTRADO"))</f>
        <v/>
      </c>
      <c r="J363" s="7">
        <f>IF($A363="","",IF($A363='Carteira do Cliente'!$B$4,COUNTIF($A$3:$A363,'Carteira do Cliente'!$B$4),""))</f>
        <v/>
      </c>
    </row>
    <row r="364">
      <c r="A364" s="5" t="n"/>
      <c r="B364" s="12" t="n"/>
      <c r="C364" s="6" t="n"/>
      <c r="D364" s="6" t="n"/>
      <c r="E364" s="13" t="n"/>
      <c r="F364" s="14" t="n"/>
      <c r="G364" s="12" t="n"/>
      <c r="H364" s="15">
        <f>IF($A364="","",IFERROR(VLOOKUP($A364,Clientes!$A$3:$C$1002,2,0),"NÃO CADASTRADO"))</f>
        <v/>
      </c>
      <c r="I364" s="16">
        <f>IF($A364="","",IFERROR(VLOOKUP($A364,Clientes!$A$3:$C$1002,3,0),"NÃO CADASTRADO"))</f>
        <v/>
      </c>
      <c r="J364" s="12">
        <f>IF($A364="","",IF($A364='Carteira do Cliente'!$B$4,COUNTIF($A$3:$A364,'Carteira do Cliente'!$B$4),""))</f>
        <v/>
      </c>
    </row>
    <row r="365">
      <c r="A365" s="3" t="n"/>
      <c r="B365" s="7" t="n"/>
      <c r="C365" s="4" t="n"/>
      <c r="D365" s="4" t="n"/>
      <c r="E365" s="8" t="n"/>
      <c r="F365" s="9" t="n"/>
      <c r="G365" s="7" t="n"/>
      <c r="H365" s="10">
        <f>IF($A365="","",IFERROR(VLOOKUP($A365,Clientes!$A$3:$C$1002,2,0),"NÃO CADASTRADO"))</f>
        <v/>
      </c>
      <c r="I365" s="11">
        <f>IF($A365="","",IFERROR(VLOOKUP($A365,Clientes!$A$3:$C$1002,3,0),"NÃO CADASTRADO"))</f>
        <v/>
      </c>
      <c r="J365" s="7">
        <f>IF($A365="","",IF($A365='Carteira do Cliente'!$B$4,COUNTIF($A$3:$A365,'Carteira do Cliente'!$B$4),""))</f>
        <v/>
      </c>
    </row>
    <row r="366">
      <c r="A366" s="5" t="n"/>
      <c r="B366" s="12" t="n"/>
      <c r="C366" s="6" t="n"/>
      <c r="D366" s="6" t="n"/>
      <c r="E366" s="13" t="n"/>
      <c r="F366" s="14" t="n"/>
      <c r="G366" s="12" t="n"/>
      <c r="H366" s="15">
        <f>IF($A366="","",IFERROR(VLOOKUP($A366,Clientes!$A$3:$C$1002,2,0),"NÃO CADASTRADO"))</f>
        <v/>
      </c>
      <c r="I366" s="16">
        <f>IF($A366="","",IFERROR(VLOOKUP($A366,Clientes!$A$3:$C$1002,3,0),"NÃO CADASTRADO"))</f>
        <v/>
      </c>
      <c r="J366" s="12">
        <f>IF($A366="","",IF($A366='Carteira do Cliente'!$B$4,COUNTIF($A$3:$A366,'Carteira do Cliente'!$B$4),""))</f>
        <v/>
      </c>
    </row>
    <row r="367">
      <c r="A367" s="3" t="n"/>
      <c r="B367" s="7" t="n"/>
      <c r="C367" s="4" t="n"/>
      <c r="D367" s="4" t="n"/>
      <c r="E367" s="8" t="n"/>
      <c r="F367" s="9" t="n"/>
      <c r="G367" s="7" t="n"/>
      <c r="H367" s="10">
        <f>IF($A367="","",IFERROR(VLOOKUP($A367,Clientes!$A$3:$C$1002,2,0),"NÃO CADASTRADO"))</f>
        <v/>
      </c>
      <c r="I367" s="11">
        <f>IF($A367="","",IFERROR(VLOOKUP($A367,Clientes!$A$3:$C$1002,3,0),"NÃO CADASTRADO"))</f>
        <v/>
      </c>
      <c r="J367" s="7">
        <f>IF($A367="","",IF($A367='Carteira do Cliente'!$B$4,COUNTIF($A$3:$A367,'Carteira do Cliente'!$B$4),""))</f>
        <v/>
      </c>
    </row>
    <row r="368">
      <c r="A368" s="5" t="n"/>
      <c r="B368" s="12" t="n"/>
      <c r="C368" s="6" t="n"/>
      <c r="D368" s="6" t="n"/>
      <c r="E368" s="13" t="n"/>
      <c r="F368" s="14" t="n"/>
      <c r="G368" s="12" t="n"/>
      <c r="H368" s="15">
        <f>IF($A368="","",IFERROR(VLOOKUP($A368,Clientes!$A$3:$C$1002,2,0),"NÃO CADASTRADO"))</f>
        <v/>
      </c>
      <c r="I368" s="16">
        <f>IF($A368="","",IFERROR(VLOOKUP($A368,Clientes!$A$3:$C$1002,3,0),"NÃO CADASTRADO"))</f>
        <v/>
      </c>
      <c r="J368" s="12">
        <f>IF($A368="","",IF($A368='Carteira do Cliente'!$B$4,COUNTIF($A$3:$A368,'Carteira do Cliente'!$B$4),""))</f>
        <v/>
      </c>
    </row>
    <row r="369">
      <c r="A369" s="3" t="n"/>
      <c r="B369" s="7" t="n"/>
      <c r="C369" s="4" t="n"/>
      <c r="D369" s="4" t="n"/>
      <c r="E369" s="8" t="n"/>
      <c r="F369" s="9" t="n"/>
      <c r="G369" s="7" t="n"/>
      <c r="H369" s="10">
        <f>IF($A369="","",IFERROR(VLOOKUP($A369,Clientes!$A$3:$C$1002,2,0),"NÃO CADASTRADO"))</f>
        <v/>
      </c>
      <c r="I369" s="11">
        <f>IF($A369="","",IFERROR(VLOOKUP($A369,Clientes!$A$3:$C$1002,3,0),"NÃO CADASTRADO"))</f>
        <v/>
      </c>
      <c r="J369" s="7">
        <f>IF($A369="","",IF($A369='Carteira do Cliente'!$B$4,COUNTIF($A$3:$A369,'Carteira do Cliente'!$B$4),""))</f>
        <v/>
      </c>
    </row>
    <row r="370">
      <c r="A370" s="5" t="n"/>
      <c r="B370" s="12" t="n"/>
      <c r="C370" s="6" t="n"/>
      <c r="D370" s="6" t="n"/>
      <c r="E370" s="13" t="n"/>
      <c r="F370" s="14" t="n"/>
      <c r="G370" s="12" t="n"/>
      <c r="H370" s="15">
        <f>IF($A370="","",IFERROR(VLOOKUP($A370,Clientes!$A$3:$C$1002,2,0),"NÃO CADASTRADO"))</f>
        <v/>
      </c>
      <c r="I370" s="16">
        <f>IF($A370="","",IFERROR(VLOOKUP($A370,Clientes!$A$3:$C$1002,3,0),"NÃO CADASTRADO"))</f>
        <v/>
      </c>
      <c r="J370" s="12">
        <f>IF($A370="","",IF($A370='Carteira do Cliente'!$B$4,COUNTIF($A$3:$A370,'Carteira do Cliente'!$B$4),""))</f>
        <v/>
      </c>
    </row>
    <row r="371">
      <c r="A371" s="3" t="n"/>
      <c r="B371" s="7" t="n"/>
      <c r="C371" s="4" t="n"/>
      <c r="D371" s="4" t="n"/>
      <c r="E371" s="8" t="n"/>
      <c r="F371" s="9" t="n"/>
      <c r="G371" s="7" t="n"/>
      <c r="H371" s="10">
        <f>IF($A371="","",IFERROR(VLOOKUP($A371,Clientes!$A$3:$C$1002,2,0),"NÃO CADASTRADO"))</f>
        <v/>
      </c>
      <c r="I371" s="11">
        <f>IF($A371="","",IFERROR(VLOOKUP($A371,Clientes!$A$3:$C$1002,3,0),"NÃO CADASTRADO"))</f>
        <v/>
      </c>
      <c r="J371" s="7">
        <f>IF($A371="","",IF($A371='Carteira do Cliente'!$B$4,COUNTIF($A$3:$A371,'Carteira do Cliente'!$B$4),""))</f>
        <v/>
      </c>
    </row>
    <row r="372">
      <c r="A372" s="5" t="n"/>
      <c r="B372" s="12" t="n"/>
      <c r="C372" s="6" t="n"/>
      <c r="D372" s="6" t="n"/>
      <c r="E372" s="13" t="n"/>
      <c r="F372" s="14" t="n"/>
      <c r="G372" s="12" t="n"/>
      <c r="H372" s="15">
        <f>IF($A372="","",IFERROR(VLOOKUP($A372,Clientes!$A$3:$C$1002,2,0),"NÃO CADASTRADO"))</f>
        <v/>
      </c>
      <c r="I372" s="16">
        <f>IF($A372="","",IFERROR(VLOOKUP($A372,Clientes!$A$3:$C$1002,3,0),"NÃO CADASTRADO"))</f>
        <v/>
      </c>
      <c r="J372" s="12">
        <f>IF($A372="","",IF($A372='Carteira do Cliente'!$B$4,COUNTIF($A$3:$A372,'Carteira do Cliente'!$B$4),""))</f>
        <v/>
      </c>
    </row>
    <row r="373">
      <c r="A373" s="3" t="n"/>
      <c r="B373" s="7" t="n"/>
      <c r="C373" s="4" t="n"/>
      <c r="D373" s="4" t="n"/>
      <c r="E373" s="8" t="n"/>
      <c r="F373" s="9" t="n"/>
      <c r="G373" s="7" t="n"/>
      <c r="H373" s="10">
        <f>IF($A373="","",IFERROR(VLOOKUP($A373,Clientes!$A$3:$C$1002,2,0),"NÃO CADASTRADO"))</f>
        <v/>
      </c>
      <c r="I373" s="11">
        <f>IF($A373="","",IFERROR(VLOOKUP($A373,Clientes!$A$3:$C$1002,3,0),"NÃO CADASTRADO"))</f>
        <v/>
      </c>
      <c r="J373" s="7">
        <f>IF($A373="","",IF($A373='Carteira do Cliente'!$B$4,COUNTIF($A$3:$A373,'Carteira do Cliente'!$B$4),""))</f>
        <v/>
      </c>
    </row>
    <row r="374">
      <c r="A374" s="5" t="n"/>
      <c r="B374" s="12" t="n"/>
      <c r="C374" s="6" t="n"/>
      <c r="D374" s="6" t="n"/>
      <c r="E374" s="13" t="n"/>
      <c r="F374" s="14" t="n"/>
      <c r="G374" s="12" t="n"/>
      <c r="H374" s="15">
        <f>IF($A374="","",IFERROR(VLOOKUP($A374,Clientes!$A$3:$C$1002,2,0),"NÃO CADASTRADO"))</f>
        <v/>
      </c>
      <c r="I374" s="16">
        <f>IF($A374="","",IFERROR(VLOOKUP($A374,Clientes!$A$3:$C$1002,3,0),"NÃO CADASTRADO"))</f>
        <v/>
      </c>
      <c r="J374" s="12">
        <f>IF($A374="","",IF($A374='Carteira do Cliente'!$B$4,COUNTIF($A$3:$A374,'Carteira do Cliente'!$B$4),""))</f>
        <v/>
      </c>
    </row>
    <row r="375">
      <c r="A375" s="3" t="n"/>
      <c r="B375" s="7" t="n"/>
      <c r="C375" s="4" t="n"/>
      <c r="D375" s="4" t="n"/>
      <c r="E375" s="8" t="n"/>
      <c r="F375" s="9" t="n"/>
      <c r="G375" s="7" t="n"/>
      <c r="H375" s="10">
        <f>IF($A375="","",IFERROR(VLOOKUP($A375,Clientes!$A$3:$C$1002,2,0),"NÃO CADASTRADO"))</f>
        <v/>
      </c>
      <c r="I375" s="11">
        <f>IF($A375="","",IFERROR(VLOOKUP($A375,Clientes!$A$3:$C$1002,3,0),"NÃO CADASTRADO"))</f>
        <v/>
      </c>
      <c r="J375" s="7">
        <f>IF($A375="","",IF($A375='Carteira do Cliente'!$B$4,COUNTIF($A$3:$A375,'Carteira do Cliente'!$B$4),""))</f>
        <v/>
      </c>
    </row>
    <row r="376">
      <c r="A376" s="5" t="n"/>
      <c r="B376" s="12" t="n"/>
      <c r="C376" s="6" t="n"/>
      <c r="D376" s="6" t="n"/>
      <c r="E376" s="13" t="n"/>
      <c r="F376" s="14" t="n"/>
      <c r="G376" s="12" t="n"/>
      <c r="H376" s="15">
        <f>IF($A376="","",IFERROR(VLOOKUP($A376,Clientes!$A$3:$C$1002,2,0),"NÃO CADASTRADO"))</f>
        <v/>
      </c>
      <c r="I376" s="16">
        <f>IF($A376="","",IFERROR(VLOOKUP($A376,Clientes!$A$3:$C$1002,3,0),"NÃO CADASTRADO"))</f>
        <v/>
      </c>
      <c r="J376" s="12">
        <f>IF($A376="","",IF($A376='Carteira do Cliente'!$B$4,COUNTIF($A$3:$A376,'Carteira do Cliente'!$B$4),""))</f>
        <v/>
      </c>
    </row>
    <row r="377">
      <c r="A377" s="3" t="n"/>
      <c r="B377" s="7" t="n"/>
      <c r="C377" s="4" t="n"/>
      <c r="D377" s="4" t="n"/>
      <c r="E377" s="8" t="n"/>
      <c r="F377" s="9" t="n"/>
      <c r="G377" s="7" t="n"/>
      <c r="H377" s="10">
        <f>IF($A377="","",IFERROR(VLOOKUP($A377,Clientes!$A$3:$C$1002,2,0),"NÃO CADASTRADO"))</f>
        <v/>
      </c>
      <c r="I377" s="11">
        <f>IF($A377="","",IFERROR(VLOOKUP($A377,Clientes!$A$3:$C$1002,3,0),"NÃO CADASTRADO"))</f>
        <v/>
      </c>
      <c r="J377" s="7">
        <f>IF($A377="","",IF($A377='Carteira do Cliente'!$B$4,COUNTIF($A$3:$A377,'Carteira do Cliente'!$B$4),""))</f>
        <v/>
      </c>
    </row>
    <row r="378">
      <c r="A378" s="5" t="n"/>
      <c r="B378" s="12" t="n"/>
      <c r="C378" s="6" t="n"/>
      <c r="D378" s="6" t="n"/>
      <c r="E378" s="13" t="n"/>
      <c r="F378" s="14" t="n"/>
      <c r="G378" s="12" t="n"/>
      <c r="H378" s="15">
        <f>IF($A378="","",IFERROR(VLOOKUP($A378,Clientes!$A$3:$C$1002,2,0),"NÃO CADASTRADO"))</f>
        <v/>
      </c>
      <c r="I378" s="16">
        <f>IF($A378="","",IFERROR(VLOOKUP($A378,Clientes!$A$3:$C$1002,3,0),"NÃO CADASTRADO"))</f>
        <v/>
      </c>
      <c r="J378" s="12">
        <f>IF($A378="","",IF($A378='Carteira do Cliente'!$B$4,COUNTIF($A$3:$A378,'Carteira do Cliente'!$B$4),""))</f>
        <v/>
      </c>
    </row>
    <row r="379">
      <c r="A379" s="3" t="n"/>
      <c r="B379" s="7" t="n"/>
      <c r="C379" s="4" t="n"/>
      <c r="D379" s="4" t="n"/>
      <c r="E379" s="8" t="n"/>
      <c r="F379" s="9" t="n"/>
      <c r="G379" s="7" t="n"/>
      <c r="H379" s="10">
        <f>IF($A379="","",IFERROR(VLOOKUP($A379,Clientes!$A$3:$C$1002,2,0),"NÃO CADASTRADO"))</f>
        <v/>
      </c>
      <c r="I379" s="11">
        <f>IF($A379="","",IFERROR(VLOOKUP($A379,Clientes!$A$3:$C$1002,3,0),"NÃO CADASTRADO"))</f>
        <v/>
      </c>
      <c r="J379" s="7">
        <f>IF($A379="","",IF($A379='Carteira do Cliente'!$B$4,COUNTIF($A$3:$A379,'Carteira do Cliente'!$B$4),""))</f>
        <v/>
      </c>
    </row>
    <row r="380">
      <c r="A380" s="5" t="n"/>
      <c r="B380" s="12" t="n"/>
      <c r="C380" s="6" t="n"/>
      <c r="D380" s="6" t="n"/>
      <c r="E380" s="13" t="n"/>
      <c r="F380" s="14" t="n"/>
      <c r="G380" s="12" t="n"/>
      <c r="H380" s="15">
        <f>IF($A380="","",IFERROR(VLOOKUP($A380,Clientes!$A$3:$C$1002,2,0),"NÃO CADASTRADO"))</f>
        <v/>
      </c>
      <c r="I380" s="16">
        <f>IF($A380="","",IFERROR(VLOOKUP($A380,Clientes!$A$3:$C$1002,3,0),"NÃO CADASTRADO"))</f>
        <v/>
      </c>
      <c r="J380" s="12">
        <f>IF($A380="","",IF($A380='Carteira do Cliente'!$B$4,COUNTIF($A$3:$A380,'Carteira do Cliente'!$B$4),""))</f>
        <v/>
      </c>
    </row>
    <row r="381">
      <c r="A381" s="3" t="n"/>
      <c r="B381" s="7" t="n"/>
      <c r="C381" s="4" t="n"/>
      <c r="D381" s="4" t="n"/>
      <c r="E381" s="8" t="n"/>
      <c r="F381" s="9" t="n"/>
      <c r="G381" s="7" t="n"/>
      <c r="H381" s="10">
        <f>IF($A381="","",IFERROR(VLOOKUP($A381,Clientes!$A$3:$C$1002,2,0),"NÃO CADASTRADO"))</f>
        <v/>
      </c>
      <c r="I381" s="11">
        <f>IF($A381="","",IFERROR(VLOOKUP($A381,Clientes!$A$3:$C$1002,3,0),"NÃO CADASTRADO"))</f>
        <v/>
      </c>
      <c r="J381" s="7">
        <f>IF($A381="","",IF($A381='Carteira do Cliente'!$B$4,COUNTIF($A$3:$A381,'Carteira do Cliente'!$B$4),""))</f>
        <v/>
      </c>
    </row>
    <row r="382">
      <c r="A382" s="5" t="n"/>
      <c r="B382" s="12" t="n"/>
      <c r="C382" s="6" t="n"/>
      <c r="D382" s="6" t="n"/>
      <c r="E382" s="13" t="n"/>
      <c r="F382" s="14" t="n"/>
      <c r="G382" s="12" t="n"/>
      <c r="H382" s="15">
        <f>IF($A382="","",IFERROR(VLOOKUP($A382,Clientes!$A$3:$C$1002,2,0),"NÃO CADASTRADO"))</f>
        <v/>
      </c>
      <c r="I382" s="16">
        <f>IF($A382="","",IFERROR(VLOOKUP($A382,Clientes!$A$3:$C$1002,3,0),"NÃO CADASTRADO"))</f>
        <v/>
      </c>
      <c r="J382" s="12">
        <f>IF($A382="","",IF($A382='Carteira do Cliente'!$B$4,COUNTIF($A$3:$A382,'Carteira do Cliente'!$B$4),""))</f>
        <v/>
      </c>
    </row>
    <row r="383">
      <c r="A383" s="3" t="n"/>
      <c r="B383" s="7" t="n"/>
      <c r="C383" s="4" t="n"/>
      <c r="D383" s="4" t="n"/>
      <c r="E383" s="8" t="n"/>
      <c r="F383" s="9" t="n"/>
      <c r="G383" s="7" t="n"/>
      <c r="H383" s="10">
        <f>IF($A383="","",IFERROR(VLOOKUP($A383,Clientes!$A$3:$C$1002,2,0),"NÃO CADASTRADO"))</f>
        <v/>
      </c>
      <c r="I383" s="11">
        <f>IF($A383="","",IFERROR(VLOOKUP($A383,Clientes!$A$3:$C$1002,3,0),"NÃO CADASTRADO"))</f>
        <v/>
      </c>
      <c r="J383" s="7">
        <f>IF($A383="","",IF($A383='Carteira do Cliente'!$B$4,COUNTIF($A$3:$A383,'Carteira do Cliente'!$B$4),""))</f>
        <v/>
      </c>
    </row>
    <row r="384">
      <c r="A384" s="5" t="n"/>
      <c r="B384" s="12" t="n"/>
      <c r="C384" s="6" t="n"/>
      <c r="D384" s="6" t="n"/>
      <c r="E384" s="13" t="n"/>
      <c r="F384" s="14" t="n"/>
      <c r="G384" s="12" t="n"/>
      <c r="H384" s="15">
        <f>IF($A384="","",IFERROR(VLOOKUP($A384,Clientes!$A$3:$C$1002,2,0),"NÃO CADASTRADO"))</f>
        <v/>
      </c>
      <c r="I384" s="16">
        <f>IF($A384="","",IFERROR(VLOOKUP($A384,Clientes!$A$3:$C$1002,3,0),"NÃO CADASTRADO"))</f>
        <v/>
      </c>
      <c r="J384" s="12">
        <f>IF($A384="","",IF($A384='Carteira do Cliente'!$B$4,COUNTIF($A$3:$A384,'Carteira do Cliente'!$B$4),""))</f>
        <v/>
      </c>
    </row>
    <row r="385">
      <c r="A385" s="3" t="n"/>
      <c r="B385" s="7" t="n"/>
      <c r="C385" s="4" t="n"/>
      <c r="D385" s="4" t="n"/>
      <c r="E385" s="8" t="n"/>
      <c r="F385" s="9" t="n"/>
      <c r="G385" s="7" t="n"/>
      <c r="H385" s="10">
        <f>IF($A385="","",IFERROR(VLOOKUP($A385,Clientes!$A$3:$C$1002,2,0),"NÃO CADASTRADO"))</f>
        <v/>
      </c>
      <c r="I385" s="11">
        <f>IF($A385="","",IFERROR(VLOOKUP($A385,Clientes!$A$3:$C$1002,3,0),"NÃO CADASTRADO"))</f>
        <v/>
      </c>
      <c r="J385" s="7">
        <f>IF($A385="","",IF($A385='Carteira do Cliente'!$B$4,COUNTIF($A$3:$A385,'Carteira do Cliente'!$B$4),""))</f>
        <v/>
      </c>
    </row>
    <row r="386">
      <c r="A386" s="5" t="n"/>
      <c r="B386" s="12" t="n"/>
      <c r="C386" s="6" t="n"/>
      <c r="D386" s="6" t="n"/>
      <c r="E386" s="13" t="n"/>
      <c r="F386" s="14" t="n"/>
      <c r="G386" s="12" t="n"/>
      <c r="H386" s="15">
        <f>IF($A386="","",IFERROR(VLOOKUP($A386,Clientes!$A$3:$C$1002,2,0),"NÃO CADASTRADO"))</f>
        <v/>
      </c>
      <c r="I386" s="16">
        <f>IF($A386="","",IFERROR(VLOOKUP($A386,Clientes!$A$3:$C$1002,3,0),"NÃO CADASTRADO"))</f>
        <v/>
      </c>
      <c r="J386" s="12">
        <f>IF($A386="","",IF($A386='Carteira do Cliente'!$B$4,COUNTIF($A$3:$A386,'Carteira do Cliente'!$B$4),""))</f>
        <v/>
      </c>
    </row>
    <row r="387">
      <c r="A387" s="3" t="n"/>
      <c r="B387" s="7" t="n"/>
      <c r="C387" s="4" t="n"/>
      <c r="D387" s="4" t="n"/>
      <c r="E387" s="8" t="n"/>
      <c r="F387" s="9" t="n"/>
      <c r="G387" s="7" t="n"/>
      <c r="H387" s="10">
        <f>IF($A387="","",IFERROR(VLOOKUP($A387,Clientes!$A$3:$C$1002,2,0),"NÃO CADASTRADO"))</f>
        <v/>
      </c>
      <c r="I387" s="11">
        <f>IF($A387="","",IFERROR(VLOOKUP($A387,Clientes!$A$3:$C$1002,3,0),"NÃO CADASTRADO"))</f>
        <v/>
      </c>
      <c r="J387" s="7">
        <f>IF($A387="","",IF($A387='Carteira do Cliente'!$B$4,COUNTIF($A$3:$A387,'Carteira do Cliente'!$B$4),""))</f>
        <v/>
      </c>
    </row>
    <row r="388">
      <c r="A388" s="5" t="n"/>
      <c r="B388" s="12" t="n"/>
      <c r="C388" s="6" t="n"/>
      <c r="D388" s="6" t="n"/>
      <c r="E388" s="13" t="n"/>
      <c r="F388" s="14" t="n"/>
      <c r="G388" s="12" t="n"/>
      <c r="H388" s="15">
        <f>IF($A388="","",IFERROR(VLOOKUP($A388,Clientes!$A$3:$C$1002,2,0),"NÃO CADASTRADO"))</f>
        <v/>
      </c>
      <c r="I388" s="16">
        <f>IF($A388="","",IFERROR(VLOOKUP($A388,Clientes!$A$3:$C$1002,3,0),"NÃO CADASTRADO"))</f>
        <v/>
      </c>
      <c r="J388" s="12">
        <f>IF($A388="","",IF($A388='Carteira do Cliente'!$B$4,COUNTIF($A$3:$A388,'Carteira do Cliente'!$B$4),""))</f>
        <v/>
      </c>
    </row>
    <row r="389">
      <c r="A389" s="3" t="n"/>
      <c r="B389" s="7" t="n"/>
      <c r="C389" s="4" t="n"/>
      <c r="D389" s="4" t="n"/>
      <c r="E389" s="8" t="n"/>
      <c r="F389" s="9" t="n"/>
      <c r="G389" s="7" t="n"/>
      <c r="H389" s="10">
        <f>IF($A389="","",IFERROR(VLOOKUP($A389,Clientes!$A$3:$C$1002,2,0),"NÃO CADASTRADO"))</f>
        <v/>
      </c>
      <c r="I389" s="11">
        <f>IF($A389="","",IFERROR(VLOOKUP($A389,Clientes!$A$3:$C$1002,3,0),"NÃO CADASTRADO"))</f>
        <v/>
      </c>
      <c r="J389" s="7">
        <f>IF($A389="","",IF($A389='Carteira do Cliente'!$B$4,COUNTIF($A$3:$A389,'Carteira do Cliente'!$B$4),""))</f>
        <v/>
      </c>
    </row>
    <row r="390">
      <c r="A390" s="5" t="n"/>
      <c r="B390" s="12" t="n"/>
      <c r="C390" s="6" t="n"/>
      <c r="D390" s="6" t="n"/>
      <c r="E390" s="13" t="n"/>
      <c r="F390" s="14" t="n"/>
      <c r="G390" s="12" t="n"/>
      <c r="H390" s="15">
        <f>IF($A390="","",IFERROR(VLOOKUP($A390,Clientes!$A$3:$C$1002,2,0),"NÃO CADASTRADO"))</f>
        <v/>
      </c>
      <c r="I390" s="16">
        <f>IF($A390="","",IFERROR(VLOOKUP($A390,Clientes!$A$3:$C$1002,3,0),"NÃO CADASTRADO"))</f>
        <v/>
      </c>
      <c r="J390" s="12">
        <f>IF($A390="","",IF($A390='Carteira do Cliente'!$B$4,COUNTIF($A$3:$A390,'Carteira do Cliente'!$B$4),""))</f>
        <v/>
      </c>
    </row>
    <row r="391">
      <c r="A391" s="3" t="n"/>
      <c r="B391" s="7" t="n"/>
      <c r="C391" s="4" t="n"/>
      <c r="D391" s="4" t="n"/>
      <c r="E391" s="8" t="n"/>
      <c r="F391" s="9" t="n"/>
      <c r="G391" s="7" t="n"/>
      <c r="H391" s="10">
        <f>IF($A391="","",IFERROR(VLOOKUP($A391,Clientes!$A$3:$C$1002,2,0),"NÃO CADASTRADO"))</f>
        <v/>
      </c>
      <c r="I391" s="11">
        <f>IF($A391="","",IFERROR(VLOOKUP($A391,Clientes!$A$3:$C$1002,3,0),"NÃO CADASTRADO"))</f>
        <v/>
      </c>
      <c r="J391" s="7">
        <f>IF($A391="","",IF($A391='Carteira do Cliente'!$B$4,COUNTIF($A$3:$A391,'Carteira do Cliente'!$B$4),""))</f>
        <v/>
      </c>
    </row>
    <row r="392">
      <c r="A392" s="5" t="n"/>
      <c r="B392" s="12" t="n"/>
      <c r="C392" s="6" t="n"/>
      <c r="D392" s="6" t="n"/>
      <c r="E392" s="13" t="n"/>
      <c r="F392" s="14" t="n"/>
      <c r="G392" s="12" t="n"/>
      <c r="H392" s="15">
        <f>IF($A392="","",IFERROR(VLOOKUP($A392,Clientes!$A$3:$C$1002,2,0),"NÃO CADASTRADO"))</f>
        <v/>
      </c>
      <c r="I392" s="16">
        <f>IF($A392="","",IFERROR(VLOOKUP($A392,Clientes!$A$3:$C$1002,3,0),"NÃO CADASTRADO"))</f>
        <v/>
      </c>
      <c r="J392" s="12">
        <f>IF($A392="","",IF($A392='Carteira do Cliente'!$B$4,COUNTIF($A$3:$A392,'Carteira do Cliente'!$B$4),""))</f>
        <v/>
      </c>
    </row>
    <row r="393">
      <c r="A393" s="3" t="n"/>
      <c r="B393" s="7" t="n"/>
      <c r="C393" s="4" t="n"/>
      <c r="D393" s="4" t="n"/>
      <c r="E393" s="8" t="n"/>
      <c r="F393" s="9" t="n"/>
      <c r="G393" s="7" t="n"/>
      <c r="H393" s="10">
        <f>IF($A393="","",IFERROR(VLOOKUP($A393,Clientes!$A$3:$C$1002,2,0),"NÃO CADASTRADO"))</f>
        <v/>
      </c>
      <c r="I393" s="11">
        <f>IF($A393="","",IFERROR(VLOOKUP($A393,Clientes!$A$3:$C$1002,3,0),"NÃO CADASTRADO"))</f>
        <v/>
      </c>
      <c r="J393" s="7">
        <f>IF($A393="","",IF($A393='Carteira do Cliente'!$B$4,COUNTIF($A$3:$A393,'Carteira do Cliente'!$B$4),""))</f>
        <v/>
      </c>
    </row>
    <row r="394">
      <c r="A394" s="5" t="n"/>
      <c r="B394" s="12" t="n"/>
      <c r="C394" s="6" t="n"/>
      <c r="D394" s="6" t="n"/>
      <c r="E394" s="13" t="n"/>
      <c r="F394" s="14" t="n"/>
      <c r="G394" s="12" t="n"/>
      <c r="H394" s="15">
        <f>IF($A394="","",IFERROR(VLOOKUP($A394,Clientes!$A$3:$C$1002,2,0),"NÃO CADASTRADO"))</f>
        <v/>
      </c>
      <c r="I394" s="16">
        <f>IF($A394="","",IFERROR(VLOOKUP($A394,Clientes!$A$3:$C$1002,3,0),"NÃO CADASTRADO"))</f>
        <v/>
      </c>
      <c r="J394" s="12">
        <f>IF($A394="","",IF($A394='Carteira do Cliente'!$B$4,COUNTIF($A$3:$A394,'Carteira do Cliente'!$B$4),""))</f>
        <v/>
      </c>
    </row>
    <row r="395">
      <c r="A395" s="3" t="n"/>
      <c r="B395" s="7" t="n"/>
      <c r="C395" s="4" t="n"/>
      <c r="D395" s="4" t="n"/>
      <c r="E395" s="8" t="n"/>
      <c r="F395" s="9" t="n"/>
      <c r="G395" s="7" t="n"/>
      <c r="H395" s="10">
        <f>IF($A395="","",IFERROR(VLOOKUP($A395,Clientes!$A$3:$C$1002,2,0),"NÃO CADASTRADO"))</f>
        <v/>
      </c>
      <c r="I395" s="11">
        <f>IF($A395="","",IFERROR(VLOOKUP($A395,Clientes!$A$3:$C$1002,3,0),"NÃO CADASTRADO"))</f>
        <v/>
      </c>
      <c r="J395" s="7">
        <f>IF($A395="","",IF($A395='Carteira do Cliente'!$B$4,COUNTIF($A$3:$A395,'Carteira do Cliente'!$B$4),""))</f>
        <v/>
      </c>
    </row>
    <row r="396">
      <c r="A396" s="5" t="n"/>
      <c r="B396" s="12" t="n"/>
      <c r="C396" s="6" t="n"/>
      <c r="D396" s="6" t="n"/>
      <c r="E396" s="13" t="n"/>
      <c r="F396" s="14" t="n"/>
      <c r="G396" s="12" t="n"/>
      <c r="H396" s="15">
        <f>IF($A396="","",IFERROR(VLOOKUP($A396,Clientes!$A$3:$C$1002,2,0),"NÃO CADASTRADO"))</f>
        <v/>
      </c>
      <c r="I396" s="16">
        <f>IF($A396="","",IFERROR(VLOOKUP($A396,Clientes!$A$3:$C$1002,3,0),"NÃO CADASTRADO"))</f>
        <v/>
      </c>
      <c r="J396" s="12">
        <f>IF($A396="","",IF($A396='Carteira do Cliente'!$B$4,COUNTIF($A$3:$A396,'Carteira do Cliente'!$B$4),""))</f>
        <v/>
      </c>
    </row>
    <row r="397">
      <c r="A397" s="3" t="n"/>
      <c r="B397" s="7" t="n"/>
      <c r="C397" s="4" t="n"/>
      <c r="D397" s="4" t="n"/>
      <c r="E397" s="8" t="n"/>
      <c r="F397" s="9" t="n"/>
      <c r="G397" s="7" t="n"/>
      <c r="H397" s="10">
        <f>IF($A397="","",IFERROR(VLOOKUP($A397,Clientes!$A$3:$C$1002,2,0),"NÃO CADASTRADO"))</f>
        <v/>
      </c>
      <c r="I397" s="11">
        <f>IF($A397="","",IFERROR(VLOOKUP($A397,Clientes!$A$3:$C$1002,3,0),"NÃO CADASTRADO"))</f>
        <v/>
      </c>
      <c r="J397" s="7">
        <f>IF($A397="","",IF($A397='Carteira do Cliente'!$B$4,COUNTIF($A$3:$A397,'Carteira do Cliente'!$B$4),""))</f>
        <v/>
      </c>
    </row>
    <row r="398">
      <c r="A398" s="5" t="n"/>
      <c r="B398" s="12" t="n"/>
      <c r="C398" s="6" t="n"/>
      <c r="D398" s="6" t="n"/>
      <c r="E398" s="13" t="n"/>
      <c r="F398" s="14" t="n"/>
      <c r="G398" s="12" t="n"/>
      <c r="H398" s="15">
        <f>IF($A398="","",IFERROR(VLOOKUP($A398,Clientes!$A$3:$C$1002,2,0),"NÃO CADASTRADO"))</f>
        <v/>
      </c>
      <c r="I398" s="16">
        <f>IF($A398="","",IFERROR(VLOOKUP($A398,Clientes!$A$3:$C$1002,3,0),"NÃO CADASTRADO"))</f>
        <v/>
      </c>
      <c r="J398" s="12">
        <f>IF($A398="","",IF($A398='Carteira do Cliente'!$B$4,COUNTIF($A$3:$A398,'Carteira do Cliente'!$B$4),""))</f>
        <v/>
      </c>
    </row>
    <row r="399">
      <c r="A399" s="3" t="n"/>
      <c r="B399" s="7" t="n"/>
      <c r="C399" s="4" t="n"/>
      <c r="D399" s="4" t="n"/>
      <c r="E399" s="8" t="n"/>
      <c r="F399" s="9" t="n"/>
      <c r="G399" s="7" t="n"/>
      <c r="H399" s="10">
        <f>IF($A399="","",IFERROR(VLOOKUP($A399,Clientes!$A$3:$C$1002,2,0),"NÃO CADASTRADO"))</f>
        <v/>
      </c>
      <c r="I399" s="11">
        <f>IF($A399="","",IFERROR(VLOOKUP($A399,Clientes!$A$3:$C$1002,3,0),"NÃO CADASTRADO"))</f>
        <v/>
      </c>
      <c r="J399" s="7">
        <f>IF($A399="","",IF($A399='Carteira do Cliente'!$B$4,COUNTIF($A$3:$A399,'Carteira do Cliente'!$B$4),""))</f>
        <v/>
      </c>
    </row>
    <row r="400">
      <c r="A400" s="5" t="n"/>
      <c r="B400" s="12" t="n"/>
      <c r="C400" s="6" t="n"/>
      <c r="D400" s="6" t="n"/>
      <c r="E400" s="13" t="n"/>
      <c r="F400" s="14" t="n"/>
      <c r="G400" s="12" t="n"/>
      <c r="H400" s="15">
        <f>IF($A400="","",IFERROR(VLOOKUP($A400,Clientes!$A$3:$C$1002,2,0),"NÃO CADASTRADO"))</f>
        <v/>
      </c>
      <c r="I400" s="16">
        <f>IF($A400="","",IFERROR(VLOOKUP($A400,Clientes!$A$3:$C$1002,3,0),"NÃO CADASTRADO"))</f>
        <v/>
      </c>
      <c r="J400" s="12">
        <f>IF($A400="","",IF($A400='Carteira do Cliente'!$B$4,COUNTIF($A$3:$A400,'Carteira do Cliente'!$B$4),""))</f>
        <v/>
      </c>
    </row>
    <row r="401">
      <c r="A401" s="3" t="n"/>
      <c r="B401" s="7" t="n"/>
      <c r="C401" s="4" t="n"/>
      <c r="D401" s="4" t="n"/>
      <c r="E401" s="8" t="n"/>
      <c r="F401" s="9" t="n"/>
      <c r="G401" s="7" t="n"/>
      <c r="H401" s="10">
        <f>IF($A401="","",IFERROR(VLOOKUP($A401,Clientes!$A$3:$C$1002,2,0),"NÃO CADASTRADO"))</f>
        <v/>
      </c>
      <c r="I401" s="11">
        <f>IF($A401="","",IFERROR(VLOOKUP($A401,Clientes!$A$3:$C$1002,3,0),"NÃO CADASTRADO"))</f>
        <v/>
      </c>
      <c r="J401" s="7">
        <f>IF($A401="","",IF($A401='Carteira do Cliente'!$B$4,COUNTIF($A$3:$A401,'Carteira do Cliente'!$B$4),""))</f>
        <v/>
      </c>
    </row>
    <row r="402">
      <c r="A402" s="5" t="n"/>
      <c r="B402" s="12" t="n"/>
      <c r="C402" s="6" t="n"/>
      <c r="D402" s="6" t="n"/>
      <c r="E402" s="13" t="n"/>
      <c r="F402" s="14" t="n"/>
      <c r="G402" s="12" t="n"/>
      <c r="H402" s="15">
        <f>IF($A402="","",IFERROR(VLOOKUP($A402,Clientes!$A$3:$C$1002,2,0),"NÃO CADASTRADO"))</f>
        <v/>
      </c>
      <c r="I402" s="16">
        <f>IF($A402="","",IFERROR(VLOOKUP($A402,Clientes!$A$3:$C$1002,3,0),"NÃO CADASTRADO"))</f>
        <v/>
      </c>
      <c r="J402" s="12">
        <f>IF($A402="","",IF($A402='Carteira do Cliente'!$B$4,COUNTIF($A$3:$A402,'Carteira do Cliente'!$B$4),""))</f>
        <v/>
      </c>
    </row>
    <row r="403">
      <c r="A403" s="3" t="n"/>
      <c r="B403" s="7" t="n"/>
      <c r="C403" s="4" t="n"/>
      <c r="D403" s="4" t="n"/>
      <c r="E403" s="8" t="n"/>
      <c r="F403" s="9" t="n"/>
      <c r="G403" s="7" t="n"/>
      <c r="H403" s="10">
        <f>IF($A403="","",IFERROR(VLOOKUP($A403,Clientes!$A$3:$C$1002,2,0),"NÃO CADASTRADO"))</f>
        <v/>
      </c>
      <c r="I403" s="11">
        <f>IF($A403="","",IFERROR(VLOOKUP($A403,Clientes!$A$3:$C$1002,3,0),"NÃO CADASTRADO"))</f>
        <v/>
      </c>
      <c r="J403" s="7">
        <f>IF($A403="","",IF($A403='Carteira do Cliente'!$B$4,COUNTIF($A$3:$A403,'Carteira do Cliente'!$B$4),""))</f>
        <v/>
      </c>
    </row>
    <row r="404">
      <c r="A404" s="5" t="n"/>
      <c r="B404" s="12" t="n"/>
      <c r="C404" s="6" t="n"/>
      <c r="D404" s="6" t="n"/>
      <c r="E404" s="13" t="n"/>
      <c r="F404" s="14" t="n"/>
      <c r="G404" s="12" t="n"/>
      <c r="H404" s="15">
        <f>IF($A404="","",IFERROR(VLOOKUP($A404,Clientes!$A$3:$C$1002,2,0),"NÃO CADASTRADO"))</f>
        <v/>
      </c>
      <c r="I404" s="16">
        <f>IF($A404="","",IFERROR(VLOOKUP($A404,Clientes!$A$3:$C$1002,3,0),"NÃO CADASTRADO"))</f>
        <v/>
      </c>
      <c r="J404" s="12">
        <f>IF($A404="","",IF($A404='Carteira do Cliente'!$B$4,COUNTIF($A$3:$A404,'Carteira do Cliente'!$B$4),""))</f>
        <v/>
      </c>
    </row>
    <row r="405">
      <c r="A405" s="3" t="n"/>
      <c r="B405" s="7" t="n"/>
      <c r="C405" s="4" t="n"/>
      <c r="D405" s="4" t="n"/>
      <c r="E405" s="8" t="n"/>
      <c r="F405" s="9" t="n"/>
      <c r="G405" s="7" t="n"/>
      <c r="H405" s="10">
        <f>IF($A405="","",IFERROR(VLOOKUP($A405,Clientes!$A$3:$C$1002,2,0),"NÃO CADASTRADO"))</f>
        <v/>
      </c>
      <c r="I405" s="11">
        <f>IF($A405="","",IFERROR(VLOOKUP($A405,Clientes!$A$3:$C$1002,3,0),"NÃO CADASTRADO"))</f>
        <v/>
      </c>
      <c r="J405" s="7">
        <f>IF($A405="","",IF($A405='Carteira do Cliente'!$B$4,COUNTIF($A$3:$A405,'Carteira do Cliente'!$B$4),""))</f>
        <v/>
      </c>
    </row>
    <row r="406">
      <c r="A406" s="5" t="n"/>
      <c r="B406" s="12" t="n"/>
      <c r="C406" s="6" t="n"/>
      <c r="D406" s="6" t="n"/>
      <c r="E406" s="13" t="n"/>
      <c r="F406" s="14" t="n"/>
      <c r="G406" s="12" t="n"/>
      <c r="H406" s="15">
        <f>IF($A406="","",IFERROR(VLOOKUP($A406,Clientes!$A$3:$C$1002,2,0),"NÃO CADASTRADO"))</f>
        <v/>
      </c>
      <c r="I406" s="16">
        <f>IF($A406="","",IFERROR(VLOOKUP($A406,Clientes!$A$3:$C$1002,3,0),"NÃO CADASTRADO"))</f>
        <v/>
      </c>
      <c r="J406" s="12">
        <f>IF($A406="","",IF($A406='Carteira do Cliente'!$B$4,COUNTIF($A$3:$A406,'Carteira do Cliente'!$B$4),""))</f>
        <v/>
      </c>
    </row>
    <row r="407">
      <c r="A407" s="3" t="n"/>
      <c r="B407" s="7" t="n"/>
      <c r="C407" s="4" t="n"/>
      <c r="D407" s="4" t="n"/>
      <c r="E407" s="8" t="n"/>
      <c r="F407" s="9" t="n"/>
      <c r="G407" s="7" t="n"/>
      <c r="H407" s="10">
        <f>IF($A407="","",IFERROR(VLOOKUP($A407,Clientes!$A$3:$C$1002,2,0),"NÃO CADASTRADO"))</f>
        <v/>
      </c>
      <c r="I407" s="11">
        <f>IF($A407="","",IFERROR(VLOOKUP($A407,Clientes!$A$3:$C$1002,3,0),"NÃO CADASTRADO"))</f>
        <v/>
      </c>
      <c r="J407" s="7">
        <f>IF($A407="","",IF($A407='Carteira do Cliente'!$B$4,COUNTIF($A$3:$A407,'Carteira do Cliente'!$B$4),""))</f>
        <v/>
      </c>
    </row>
    <row r="408">
      <c r="A408" s="5" t="n"/>
      <c r="B408" s="12" t="n"/>
      <c r="C408" s="6" t="n"/>
      <c r="D408" s="6" t="n"/>
      <c r="E408" s="13" t="n"/>
      <c r="F408" s="14" t="n"/>
      <c r="G408" s="12" t="n"/>
      <c r="H408" s="15">
        <f>IF($A408="","",IFERROR(VLOOKUP($A408,Clientes!$A$3:$C$1002,2,0),"NÃO CADASTRADO"))</f>
        <v/>
      </c>
      <c r="I408" s="16">
        <f>IF($A408="","",IFERROR(VLOOKUP($A408,Clientes!$A$3:$C$1002,3,0),"NÃO CADASTRADO"))</f>
        <v/>
      </c>
      <c r="J408" s="12">
        <f>IF($A408="","",IF($A408='Carteira do Cliente'!$B$4,COUNTIF($A$3:$A408,'Carteira do Cliente'!$B$4),""))</f>
        <v/>
      </c>
    </row>
    <row r="409">
      <c r="A409" s="3" t="n"/>
      <c r="B409" s="7" t="n"/>
      <c r="C409" s="4" t="n"/>
      <c r="D409" s="4" t="n"/>
      <c r="E409" s="8" t="n"/>
      <c r="F409" s="9" t="n"/>
      <c r="G409" s="7" t="n"/>
      <c r="H409" s="10">
        <f>IF($A409="","",IFERROR(VLOOKUP($A409,Clientes!$A$3:$C$1002,2,0),"NÃO CADASTRADO"))</f>
        <v/>
      </c>
      <c r="I409" s="11">
        <f>IF($A409="","",IFERROR(VLOOKUP($A409,Clientes!$A$3:$C$1002,3,0),"NÃO CADASTRADO"))</f>
        <v/>
      </c>
      <c r="J409" s="7">
        <f>IF($A409="","",IF($A409='Carteira do Cliente'!$B$4,COUNTIF($A$3:$A409,'Carteira do Cliente'!$B$4),""))</f>
        <v/>
      </c>
    </row>
    <row r="410">
      <c r="A410" s="5" t="n"/>
      <c r="B410" s="12" t="n"/>
      <c r="C410" s="6" t="n"/>
      <c r="D410" s="6" t="n"/>
      <c r="E410" s="13" t="n"/>
      <c r="F410" s="14" t="n"/>
      <c r="G410" s="12" t="n"/>
      <c r="H410" s="15">
        <f>IF($A410="","",IFERROR(VLOOKUP($A410,Clientes!$A$3:$C$1002,2,0),"NÃO CADASTRADO"))</f>
        <v/>
      </c>
      <c r="I410" s="16">
        <f>IF($A410="","",IFERROR(VLOOKUP($A410,Clientes!$A$3:$C$1002,3,0),"NÃO CADASTRADO"))</f>
        <v/>
      </c>
      <c r="J410" s="12">
        <f>IF($A410="","",IF($A410='Carteira do Cliente'!$B$4,COUNTIF($A$3:$A410,'Carteira do Cliente'!$B$4),""))</f>
        <v/>
      </c>
    </row>
    <row r="411">
      <c r="A411" s="3" t="n"/>
      <c r="B411" s="7" t="n"/>
      <c r="C411" s="4" t="n"/>
      <c r="D411" s="4" t="n"/>
      <c r="E411" s="8" t="n"/>
      <c r="F411" s="9" t="n"/>
      <c r="G411" s="7" t="n"/>
      <c r="H411" s="10">
        <f>IF($A411="","",IFERROR(VLOOKUP($A411,Clientes!$A$3:$C$1002,2,0),"NÃO CADASTRADO"))</f>
        <v/>
      </c>
      <c r="I411" s="11">
        <f>IF($A411="","",IFERROR(VLOOKUP($A411,Clientes!$A$3:$C$1002,3,0),"NÃO CADASTRADO"))</f>
        <v/>
      </c>
      <c r="J411" s="7">
        <f>IF($A411="","",IF($A411='Carteira do Cliente'!$B$4,COUNTIF($A$3:$A411,'Carteira do Cliente'!$B$4),""))</f>
        <v/>
      </c>
    </row>
    <row r="412">
      <c r="A412" s="5" t="n"/>
      <c r="B412" s="12" t="n"/>
      <c r="C412" s="6" t="n"/>
      <c r="D412" s="6" t="n"/>
      <c r="E412" s="13" t="n"/>
      <c r="F412" s="14" t="n"/>
      <c r="G412" s="12" t="n"/>
      <c r="H412" s="15">
        <f>IF($A412="","",IFERROR(VLOOKUP($A412,Clientes!$A$3:$C$1002,2,0),"NÃO CADASTRADO"))</f>
        <v/>
      </c>
      <c r="I412" s="16">
        <f>IF($A412="","",IFERROR(VLOOKUP($A412,Clientes!$A$3:$C$1002,3,0),"NÃO CADASTRADO"))</f>
        <v/>
      </c>
      <c r="J412" s="12">
        <f>IF($A412="","",IF($A412='Carteira do Cliente'!$B$4,COUNTIF($A$3:$A412,'Carteira do Cliente'!$B$4),""))</f>
        <v/>
      </c>
    </row>
    <row r="413">
      <c r="A413" s="3" t="n"/>
      <c r="B413" s="7" t="n"/>
      <c r="C413" s="4" t="n"/>
      <c r="D413" s="4" t="n"/>
      <c r="E413" s="8" t="n"/>
      <c r="F413" s="9" t="n"/>
      <c r="G413" s="7" t="n"/>
      <c r="H413" s="10">
        <f>IF($A413="","",IFERROR(VLOOKUP($A413,Clientes!$A$3:$C$1002,2,0),"NÃO CADASTRADO"))</f>
        <v/>
      </c>
      <c r="I413" s="11">
        <f>IF($A413="","",IFERROR(VLOOKUP($A413,Clientes!$A$3:$C$1002,3,0),"NÃO CADASTRADO"))</f>
        <v/>
      </c>
      <c r="J413" s="7">
        <f>IF($A413="","",IF($A413='Carteira do Cliente'!$B$4,COUNTIF($A$3:$A413,'Carteira do Cliente'!$B$4),""))</f>
        <v/>
      </c>
    </row>
    <row r="414">
      <c r="A414" s="5" t="n"/>
      <c r="B414" s="12" t="n"/>
      <c r="C414" s="6" t="n"/>
      <c r="D414" s="6" t="n"/>
      <c r="E414" s="13" t="n"/>
      <c r="F414" s="14" t="n"/>
      <c r="G414" s="12" t="n"/>
      <c r="H414" s="15">
        <f>IF($A414="","",IFERROR(VLOOKUP($A414,Clientes!$A$3:$C$1002,2,0),"NÃO CADASTRADO"))</f>
        <v/>
      </c>
      <c r="I414" s="16">
        <f>IF($A414="","",IFERROR(VLOOKUP($A414,Clientes!$A$3:$C$1002,3,0),"NÃO CADASTRADO"))</f>
        <v/>
      </c>
      <c r="J414" s="12">
        <f>IF($A414="","",IF($A414='Carteira do Cliente'!$B$4,COUNTIF($A$3:$A414,'Carteira do Cliente'!$B$4),""))</f>
        <v/>
      </c>
    </row>
    <row r="415">
      <c r="A415" s="3" t="n"/>
      <c r="B415" s="7" t="n"/>
      <c r="C415" s="4" t="n"/>
      <c r="D415" s="4" t="n"/>
      <c r="E415" s="8" t="n"/>
      <c r="F415" s="9" t="n"/>
      <c r="G415" s="7" t="n"/>
      <c r="H415" s="10">
        <f>IF($A415="","",IFERROR(VLOOKUP($A415,Clientes!$A$3:$C$1002,2,0),"NÃO CADASTRADO"))</f>
        <v/>
      </c>
      <c r="I415" s="11">
        <f>IF($A415="","",IFERROR(VLOOKUP($A415,Clientes!$A$3:$C$1002,3,0),"NÃO CADASTRADO"))</f>
        <v/>
      </c>
      <c r="J415" s="7">
        <f>IF($A415="","",IF($A415='Carteira do Cliente'!$B$4,COUNTIF($A$3:$A415,'Carteira do Cliente'!$B$4),""))</f>
        <v/>
      </c>
    </row>
    <row r="416">
      <c r="A416" s="5" t="n"/>
      <c r="B416" s="12" t="n"/>
      <c r="C416" s="6" t="n"/>
      <c r="D416" s="6" t="n"/>
      <c r="E416" s="13" t="n"/>
      <c r="F416" s="14" t="n"/>
      <c r="G416" s="12" t="n"/>
      <c r="H416" s="15">
        <f>IF($A416="","",IFERROR(VLOOKUP($A416,Clientes!$A$3:$C$1002,2,0),"NÃO CADASTRADO"))</f>
        <v/>
      </c>
      <c r="I416" s="16">
        <f>IF($A416="","",IFERROR(VLOOKUP($A416,Clientes!$A$3:$C$1002,3,0),"NÃO CADASTRADO"))</f>
        <v/>
      </c>
      <c r="J416" s="12">
        <f>IF($A416="","",IF($A416='Carteira do Cliente'!$B$4,COUNTIF($A$3:$A416,'Carteira do Cliente'!$B$4),""))</f>
        <v/>
      </c>
    </row>
    <row r="417">
      <c r="A417" s="3" t="n"/>
      <c r="B417" s="7" t="n"/>
      <c r="C417" s="4" t="n"/>
      <c r="D417" s="4" t="n"/>
      <c r="E417" s="8" t="n"/>
      <c r="F417" s="9" t="n"/>
      <c r="G417" s="7" t="n"/>
      <c r="H417" s="10">
        <f>IF($A417="","",IFERROR(VLOOKUP($A417,Clientes!$A$3:$C$1002,2,0),"NÃO CADASTRADO"))</f>
        <v/>
      </c>
      <c r="I417" s="11">
        <f>IF($A417="","",IFERROR(VLOOKUP($A417,Clientes!$A$3:$C$1002,3,0),"NÃO CADASTRADO"))</f>
        <v/>
      </c>
      <c r="J417" s="7">
        <f>IF($A417="","",IF($A417='Carteira do Cliente'!$B$4,COUNTIF($A$3:$A417,'Carteira do Cliente'!$B$4),""))</f>
        <v/>
      </c>
    </row>
    <row r="418">
      <c r="A418" s="5" t="n"/>
      <c r="B418" s="12" t="n"/>
      <c r="C418" s="6" t="n"/>
      <c r="D418" s="6" t="n"/>
      <c r="E418" s="13" t="n"/>
      <c r="F418" s="14" t="n"/>
      <c r="G418" s="12" t="n"/>
      <c r="H418" s="15">
        <f>IF($A418="","",IFERROR(VLOOKUP($A418,Clientes!$A$3:$C$1002,2,0),"NÃO CADASTRADO"))</f>
        <v/>
      </c>
      <c r="I418" s="16">
        <f>IF($A418="","",IFERROR(VLOOKUP($A418,Clientes!$A$3:$C$1002,3,0),"NÃO CADASTRADO"))</f>
        <v/>
      </c>
      <c r="J418" s="12">
        <f>IF($A418="","",IF($A418='Carteira do Cliente'!$B$4,COUNTIF($A$3:$A418,'Carteira do Cliente'!$B$4),""))</f>
        <v/>
      </c>
    </row>
    <row r="419">
      <c r="A419" s="3" t="n"/>
      <c r="B419" s="7" t="n"/>
      <c r="C419" s="4" t="n"/>
      <c r="D419" s="4" t="n"/>
      <c r="E419" s="8" t="n"/>
      <c r="F419" s="9" t="n"/>
      <c r="G419" s="7" t="n"/>
      <c r="H419" s="10">
        <f>IF($A419="","",IFERROR(VLOOKUP($A419,Clientes!$A$3:$C$1002,2,0),"NÃO CADASTRADO"))</f>
        <v/>
      </c>
      <c r="I419" s="11">
        <f>IF($A419="","",IFERROR(VLOOKUP($A419,Clientes!$A$3:$C$1002,3,0),"NÃO CADASTRADO"))</f>
        <v/>
      </c>
      <c r="J419" s="7">
        <f>IF($A419="","",IF($A419='Carteira do Cliente'!$B$4,COUNTIF($A$3:$A419,'Carteira do Cliente'!$B$4),""))</f>
        <v/>
      </c>
    </row>
    <row r="420">
      <c r="A420" s="5" t="n"/>
      <c r="B420" s="12" t="n"/>
      <c r="C420" s="6" t="n"/>
      <c r="D420" s="6" t="n"/>
      <c r="E420" s="13" t="n"/>
      <c r="F420" s="14" t="n"/>
      <c r="G420" s="12" t="n"/>
      <c r="H420" s="15">
        <f>IF($A420="","",IFERROR(VLOOKUP($A420,Clientes!$A$3:$C$1002,2,0),"NÃO CADASTRADO"))</f>
        <v/>
      </c>
      <c r="I420" s="16">
        <f>IF($A420="","",IFERROR(VLOOKUP($A420,Clientes!$A$3:$C$1002,3,0),"NÃO CADASTRADO"))</f>
        <v/>
      </c>
      <c r="J420" s="12">
        <f>IF($A420="","",IF($A420='Carteira do Cliente'!$B$4,COUNTIF($A$3:$A420,'Carteira do Cliente'!$B$4),""))</f>
        <v/>
      </c>
    </row>
    <row r="421">
      <c r="A421" s="3" t="n"/>
      <c r="B421" s="7" t="n"/>
      <c r="C421" s="4" t="n"/>
      <c r="D421" s="4" t="n"/>
      <c r="E421" s="8" t="n"/>
      <c r="F421" s="9" t="n"/>
      <c r="G421" s="7" t="n"/>
      <c r="H421" s="10">
        <f>IF($A421="","",IFERROR(VLOOKUP($A421,Clientes!$A$3:$C$1002,2,0),"NÃO CADASTRADO"))</f>
        <v/>
      </c>
      <c r="I421" s="11">
        <f>IF($A421="","",IFERROR(VLOOKUP($A421,Clientes!$A$3:$C$1002,3,0),"NÃO CADASTRADO"))</f>
        <v/>
      </c>
      <c r="J421" s="7">
        <f>IF($A421="","",IF($A421='Carteira do Cliente'!$B$4,COUNTIF($A$3:$A421,'Carteira do Cliente'!$B$4),""))</f>
        <v/>
      </c>
    </row>
    <row r="422">
      <c r="A422" s="5" t="n"/>
      <c r="B422" s="12" t="n"/>
      <c r="C422" s="6" t="n"/>
      <c r="D422" s="6" t="n"/>
      <c r="E422" s="13" t="n"/>
      <c r="F422" s="14" t="n"/>
      <c r="G422" s="12" t="n"/>
      <c r="H422" s="15">
        <f>IF($A422="","",IFERROR(VLOOKUP($A422,Clientes!$A$3:$C$1002,2,0),"NÃO CADASTRADO"))</f>
        <v/>
      </c>
      <c r="I422" s="16">
        <f>IF($A422="","",IFERROR(VLOOKUP($A422,Clientes!$A$3:$C$1002,3,0),"NÃO CADASTRADO"))</f>
        <v/>
      </c>
      <c r="J422" s="12">
        <f>IF($A422="","",IF($A422='Carteira do Cliente'!$B$4,COUNTIF($A$3:$A422,'Carteira do Cliente'!$B$4),""))</f>
        <v/>
      </c>
    </row>
    <row r="423">
      <c r="A423" s="3" t="n"/>
      <c r="B423" s="7" t="n"/>
      <c r="C423" s="4" t="n"/>
      <c r="D423" s="4" t="n"/>
      <c r="E423" s="8" t="n"/>
      <c r="F423" s="9" t="n"/>
      <c r="G423" s="7" t="n"/>
      <c r="H423" s="10">
        <f>IF($A423="","",IFERROR(VLOOKUP($A423,Clientes!$A$3:$C$1002,2,0),"NÃO CADASTRADO"))</f>
        <v/>
      </c>
      <c r="I423" s="11">
        <f>IF($A423="","",IFERROR(VLOOKUP($A423,Clientes!$A$3:$C$1002,3,0),"NÃO CADASTRADO"))</f>
        <v/>
      </c>
      <c r="J423" s="7">
        <f>IF($A423="","",IF($A423='Carteira do Cliente'!$B$4,COUNTIF($A$3:$A423,'Carteira do Cliente'!$B$4),""))</f>
        <v/>
      </c>
    </row>
    <row r="424">
      <c r="A424" s="5" t="n"/>
      <c r="B424" s="12" t="n"/>
      <c r="C424" s="6" t="n"/>
      <c r="D424" s="6" t="n"/>
      <c r="E424" s="13" t="n"/>
      <c r="F424" s="14" t="n"/>
      <c r="G424" s="12" t="n"/>
      <c r="H424" s="15">
        <f>IF($A424="","",IFERROR(VLOOKUP($A424,Clientes!$A$3:$C$1002,2,0),"NÃO CADASTRADO"))</f>
        <v/>
      </c>
      <c r="I424" s="16">
        <f>IF($A424="","",IFERROR(VLOOKUP($A424,Clientes!$A$3:$C$1002,3,0),"NÃO CADASTRADO"))</f>
        <v/>
      </c>
      <c r="J424" s="12">
        <f>IF($A424="","",IF($A424='Carteira do Cliente'!$B$4,COUNTIF($A$3:$A424,'Carteira do Cliente'!$B$4),""))</f>
        <v/>
      </c>
    </row>
    <row r="425">
      <c r="A425" s="3" t="n"/>
      <c r="B425" s="7" t="n"/>
      <c r="C425" s="4" t="n"/>
      <c r="D425" s="4" t="n"/>
      <c r="E425" s="8" t="n"/>
      <c r="F425" s="9" t="n"/>
      <c r="G425" s="7" t="n"/>
      <c r="H425" s="10">
        <f>IF($A425="","",IFERROR(VLOOKUP($A425,Clientes!$A$3:$C$1002,2,0),"NÃO CADASTRADO"))</f>
        <v/>
      </c>
      <c r="I425" s="11">
        <f>IF($A425="","",IFERROR(VLOOKUP($A425,Clientes!$A$3:$C$1002,3,0),"NÃO CADASTRADO"))</f>
        <v/>
      </c>
      <c r="J425" s="7">
        <f>IF($A425="","",IF($A425='Carteira do Cliente'!$B$4,COUNTIF($A$3:$A425,'Carteira do Cliente'!$B$4),""))</f>
        <v/>
      </c>
    </row>
    <row r="426">
      <c r="A426" s="5" t="n"/>
      <c r="B426" s="12" t="n"/>
      <c r="C426" s="6" t="n"/>
      <c r="D426" s="6" t="n"/>
      <c r="E426" s="13" t="n"/>
      <c r="F426" s="14" t="n"/>
      <c r="G426" s="12" t="n"/>
      <c r="H426" s="15">
        <f>IF($A426="","",IFERROR(VLOOKUP($A426,Clientes!$A$3:$C$1002,2,0),"NÃO CADASTRADO"))</f>
        <v/>
      </c>
      <c r="I426" s="16">
        <f>IF($A426="","",IFERROR(VLOOKUP($A426,Clientes!$A$3:$C$1002,3,0),"NÃO CADASTRADO"))</f>
        <v/>
      </c>
      <c r="J426" s="12">
        <f>IF($A426="","",IF($A426='Carteira do Cliente'!$B$4,COUNTIF($A$3:$A426,'Carteira do Cliente'!$B$4),""))</f>
        <v/>
      </c>
    </row>
    <row r="427">
      <c r="A427" s="3" t="n"/>
      <c r="B427" s="7" t="n"/>
      <c r="C427" s="4" t="n"/>
      <c r="D427" s="4" t="n"/>
      <c r="E427" s="8" t="n"/>
      <c r="F427" s="9" t="n"/>
      <c r="G427" s="7" t="n"/>
      <c r="H427" s="10">
        <f>IF($A427="","",IFERROR(VLOOKUP($A427,Clientes!$A$3:$C$1002,2,0),"NÃO CADASTRADO"))</f>
        <v/>
      </c>
      <c r="I427" s="11">
        <f>IF($A427="","",IFERROR(VLOOKUP($A427,Clientes!$A$3:$C$1002,3,0),"NÃO CADASTRADO"))</f>
        <v/>
      </c>
      <c r="J427" s="7">
        <f>IF($A427="","",IF($A427='Carteira do Cliente'!$B$4,COUNTIF($A$3:$A427,'Carteira do Cliente'!$B$4),""))</f>
        <v/>
      </c>
    </row>
    <row r="428">
      <c r="A428" s="5" t="n"/>
      <c r="B428" s="12" t="n"/>
      <c r="C428" s="6" t="n"/>
      <c r="D428" s="6" t="n"/>
      <c r="E428" s="13" t="n"/>
      <c r="F428" s="14" t="n"/>
      <c r="G428" s="12" t="n"/>
      <c r="H428" s="15">
        <f>IF($A428="","",IFERROR(VLOOKUP($A428,Clientes!$A$3:$C$1002,2,0),"NÃO CADASTRADO"))</f>
        <v/>
      </c>
      <c r="I428" s="16">
        <f>IF($A428="","",IFERROR(VLOOKUP($A428,Clientes!$A$3:$C$1002,3,0),"NÃO CADASTRADO"))</f>
        <v/>
      </c>
      <c r="J428" s="12">
        <f>IF($A428="","",IF($A428='Carteira do Cliente'!$B$4,COUNTIF($A$3:$A428,'Carteira do Cliente'!$B$4),""))</f>
        <v/>
      </c>
    </row>
    <row r="429">
      <c r="A429" s="3" t="n"/>
      <c r="B429" s="7" t="n"/>
      <c r="C429" s="4" t="n"/>
      <c r="D429" s="4" t="n"/>
      <c r="E429" s="8" t="n"/>
      <c r="F429" s="9" t="n"/>
      <c r="G429" s="7" t="n"/>
      <c r="H429" s="10">
        <f>IF($A429="","",IFERROR(VLOOKUP($A429,Clientes!$A$3:$C$1002,2,0),"NÃO CADASTRADO"))</f>
        <v/>
      </c>
      <c r="I429" s="11">
        <f>IF($A429="","",IFERROR(VLOOKUP($A429,Clientes!$A$3:$C$1002,3,0),"NÃO CADASTRADO"))</f>
        <v/>
      </c>
      <c r="J429" s="7">
        <f>IF($A429="","",IF($A429='Carteira do Cliente'!$B$4,COUNTIF($A$3:$A429,'Carteira do Cliente'!$B$4),""))</f>
        <v/>
      </c>
    </row>
    <row r="430">
      <c r="A430" s="5" t="n"/>
      <c r="B430" s="12" t="n"/>
      <c r="C430" s="6" t="n"/>
      <c r="D430" s="6" t="n"/>
      <c r="E430" s="13" t="n"/>
      <c r="F430" s="14" t="n"/>
      <c r="G430" s="12" t="n"/>
      <c r="H430" s="15">
        <f>IF($A430="","",IFERROR(VLOOKUP($A430,Clientes!$A$3:$C$1002,2,0),"NÃO CADASTRADO"))</f>
        <v/>
      </c>
      <c r="I430" s="16">
        <f>IF($A430="","",IFERROR(VLOOKUP($A430,Clientes!$A$3:$C$1002,3,0),"NÃO CADASTRADO"))</f>
        <v/>
      </c>
      <c r="J430" s="12">
        <f>IF($A430="","",IF($A430='Carteira do Cliente'!$B$4,COUNTIF($A$3:$A430,'Carteira do Cliente'!$B$4),""))</f>
        <v/>
      </c>
    </row>
    <row r="431">
      <c r="A431" s="3" t="n"/>
      <c r="B431" s="7" t="n"/>
      <c r="C431" s="4" t="n"/>
      <c r="D431" s="4" t="n"/>
      <c r="E431" s="8" t="n"/>
      <c r="F431" s="9" t="n"/>
      <c r="G431" s="7" t="n"/>
      <c r="H431" s="10">
        <f>IF($A431="","",IFERROR(VLOOKUP($A431,Clientes!$A$3:$C$1002,2,0),"NÃO CADASTRADO"))</f>
        <v/>
      </c>
      <c r="I431" s="11">
        <f>IF($A431="","",IFERROR(VLOOKUP($A431,Clientes!$A$3:$C$1002,3,0),"NÃO CADASTRADO"))</f>
        <v/>
      </c>
      <c r="J431" s="7">
        <f>IF($A431="","",IF($A431='Carteira do Cliente'!$B$4,COUNTIF($A$3:$A431,'Carteira do Cliente'!$B$4),""))</f>
        <v/>
      </c>
    </row>
    <row r="432">
      <c r="A432" s="5" t="n"/>
      <c r="B432" s="12" t="n"/>
      <c r="C432" s="6" t="n"/>
      <c r="D432" s="6" t="n"/>
      <c r="E432" s="13" t="n"/>
      <c r="F432" s="14" t="n"/>
      <c r="G432" s="12" t="n"/>
      <c r="H432" s="15">
        <f>IF($A432="","",IFERROR(VLOOKUP($A432,Clientes!$A$3:$C$1002,2,0),"NÃO CADASTRADO"))</f>
        <v/>
      </c>
      <c r="I432" s="16">
        <f>IF($A432="","",IFERROR(VLOOKUP($A432,Clientes!$A$3:$C$1002,3,0),"NÃO CADASTRADO"))</f>
        <v/>
      </c>
      <c r="J432" s="12">
        <f>IF($A432="","",IF($A432='Carteira do Cliente'!$B$4,COUNTIF($A$3:$A432,'Carteira do Cliente'!$B$4),""))</f>
        <v/>
      </c>
    </row>
    <row r="433">
      <c r="A433" s="3" t="n"/>
      <c r="B433" s="7" t="n"/>
      <c r="C433" s="4" t="n"/>
      <c r="D433" s="4" t="n"/>
      <c r="E433" s="8" t="n"/>
      <c r="F433" s="9" t="n"/>
      <c r="G433" s="7" t="n"/>
      <c r="H433" s="10">
        <f>IF($A433="","",IFERROR(VLOOKUP($A433,Clientes!$A$3:$C$1002,2,0),"NÃO CADASTRADO"))</f>
        <v/>
      </c>
      <c r="I433" s="11">
        <f>IF($A433="","",IFERROR(VLOOKUP($A433,Clientes!$A$3:$C$1002,3,0),"NÃO CADASTRADO"))</f>
        <v/>
      </c>
      <c r="J433" s="7">
        <f>IF($A433="","",IF($A433='Carteira do Cliente'!$B$4,COUNTIF($A$3:$A433,'Carteira do Cliente'!$B$4),""))</f>
        <v/>
      </c>
    </row>
    <row r="434">
      <c r="A434" s="5" t="n"/>
      <c r="B434" s="12" t="n"/>
      <c r="C434" s="6" t="n"/>
      <c r="D434" s="6" t="n"/>
      <c r="E434" s="13" t="n"/>
      <c r="F434" s="14" t="n"/>
      <c r="G434" s="12" t="n"/>
      <c r="H434" s="15">
        <f>IF($A434="","",IFERROR(VLOOKUP($A434,Clientes!$A$3:$C$1002,2,0),"NÃO CADASTRADO"))</f>
        <v/>
      </c>
      <c r="I434" s="16">
        <f>IF($A434="","",IFERROR(VLOOKUP($A434,Clientes!$A$3:$C$1002,3,0),"NÃO CADASTRADO"))</f>
        <v/>
      </c>
      <c r="J434" s="12">
        <f>IF($A434="","",IF($A434='Carteira do Cliente'!$B$4,COUNTIF($A$3:$A434,'Carteira do Cliente'!$B$4),""))</f>
        <v/>
      </c>
    </row>
    <row r="435">
      <c r="A435" s="3" t="n"/>
      <c r="B435" s="7" t="n"/>
      <c r="C435" s="4" t="n"/>
      <c r="D435" s="4" t="n"/>
      <c r="E435" s="8" t="n"/>
      <c r="F435" s="9" t="n"/>
      <c r="G435" s="7" t="n"/>
      <c r="H435" s="10">
        <f>IF($A435="","",IFERROR(VLOOKUP($A435,Clientes!$A$3:$C$1002,2,0),"NÃO CADASTRADO"))</f>
        <v/>
      </c>
      <c r="I435" s="11">
        <f>IF($A435="","",IFERROR(VLOOKUP($A435,Clientes!$A$3:$C$1002,3,0),"NÃO CADASTRADO"))</f>
        <v/>
      </c>
      <c r="J435" s="7">
        <f>IF($A435="","",IF($A435='Carteira do Cliente'!$B$4,COUNTIF($A$3:$A435,'Carteira do Cliente'!$B$4),""))</f>
        <v/>
      </c>
    </row>
    <row r="436">
      <c r="A436" s="5" t="n"/>
      <c r="B436" s="12" t="n"/>
      <c r="C436" s="6" t="n"/>
      <c r="D436" s="6" t="n"/>
      <c r="E436" s="13" t="n"/>
      <c r="F436" s="14" t="n"/>
      <c r="G436" s="12" t="n"/>
      <c r="H436" s="15">
        <f>IF($A436="","",IFERROR(VLOOKUP($A436,Clientes!$A$3:$C$1002,2,0),"NÃO CADASTRADO"))</f>
        <v/>
      </c>
      <c r="I436" s="16">
        <f>IF($A436="","",IFERROR(VLOOKUP($A436,Clientes!$A$3:$C$1002,3,0),"NÃO CADASTRADO"))</f>
        <v/>
      </c>
      <c r="J436" s="12">
        <f>IF($A436="","",IF($A436='Carteira do Cliente'!$B$4,COUNTIF($A$3:$A436,'Carteira do Cliente'!$B$4),""))</f>
        <v/>
      </c>
    </row>
    <row r="437">
      <c r="A437" s="3" t="n"/>
      <c r="B437" s="7" t="n"/>
      <c r="C437" s="4" t="n"/>
      <c r="D437" s="4" t="n"/>
      <c r="E437" s="8" t="n"/>
      <c r="F437" s="9" t="n"/>
      <c r="G437" s="7" t="n"/>
      <c r="H437" s="10">
        <f>IF($A437="","",IFERROR(VLOOKUP($A437,Clientes!$A$3:$C$1002,2,0),"NÃO CADASTRADO"))</f>
        <v/>
      </c>
      <c r="I437" s="11">
        <f>IF($A437="","",IFERROR(VLOOKUP($A437,Clientes!$A$3:$C$1002,3,0),"NÃO CADASTRADO"))</f>
        <v/>
      </c>
      <c r="J437" s="7">
        <f>IF($A437="","",IF($A437='Carteira do Cliente'!$B$4,COUNTIF($A$3:$A437,'Carteira do Cliente'!$B$4),""))</f>
        <v/>
      </c>
    </row>
    <row r="438">
      <c r="A438" s="5" t="n"/>
      <c r="B438" s="12" t="n"/>
      <c r="C438" s="6" t="n"/>
      <c r="D438" s="6" t="n"/>
      <c r="E438" s="13" t="n"/>
      <c r="F438" s="14" t="n"/>
      <c r="G438" s="12" t="n"/>
      <c r="H438" s="15">
        <f>IF($A438="","",IFERROR(VLOOKUP($A438,Clientes!$A$3:$C$1002,2,0),"NÃO CADASTRADO"))</f>
        <v/>
      </c>
      <c r="I438" s="16">
        <f>IF($A438="","",IFERROR(VLOOKUP($A438,Clientes!$A$3:$C$1002,3,0),"NÃO CADASTRADO"))</f>
        <v/>
      </c>
      <c r="J438" s="12">
        <f>IF($A438="","",IF($A438='Carteira do Cliente'!$B$4,COUNTIF($A$3:$A438,'Carteira do Cliente'!$B$4),""))</f>
        <v/>
      </c>
    </row>
    <row r="439">
      <c r="A439" s="3" t="n"/>
      <c r="B439" s="7" t="n"/>
      <c r="C439" s="4" t="n"/>
      <c r="D439" s="4" t="n"/>
      <c r="E439" s="8" t="n"/>
      <c r="F439" s="9" t="n"/>
      <c r="G439" s="7" t="n"/>
      <c r="H439" s="10">
        <f>IF($A439="","",IFERROR(VLOOKUP($A439,Clientes!$A$3:$C$1002,2,0),"NÃO CADASTRADO"))</f>
        <v/>
      </c>
      <c r="I439" s="11">
        <f>IF($A439="","",IFERROR(VLOOKUP($A439,Clientes!$A$3:$C$1002,3,0),"NÃO CADASTRADO"))</f>
        <v/>
      </c>
      <c r="J439" s="7">
        <f>IF($A439="","",IF($A439='Carteira do Cliente'!$B$4,COUNTIF($A$3:$A439,'Carteira do Cliente'!$B$4),""))</f>
        <v/>
      </c>
    </row>
    <row r="440">
      <c r="A440" s="5" t="n"/>
      <c r="B440" s="12" t="n"/>
      <c r="C440" s="6" t="n"/>
      <c r="D440" s="6" t="n"/>
      <c r="E440" s="13" t="n"/>
      <c r="F440" s="14" t="n"/>
      <c r="G440" s="12" t="n"/>
      <c r="H440" s="15">
        <f>IF($A440="","",IFERROR(VLOOKUP($A440,Clientes!$A$3:$C$1002,2,0),"NÃO CADASTRADO"))</f>
        <v/>
      </c>
      <c r="I440" s="16">
        <f>IF($A440="","",IFERROR(VLOOKUP($A440,Clientes!$A$3:$C$1002,3,0),"NÃO CADASTRADO"))</f>
        <v/>
      </c>
      <c r="J440" s="12">
        <f>IF($A440="","",IF($A440='Carteira do Cliente'!$B$4,COUNTIF($A$3:$A440,'Carteira do Cliente'!$B$4),""))</f>
        <v/>
      </c>
    </row>
    <row r="441">
      <c r="A441" s="3" t="n"/>
      <c r="B441" s="7" t="n"/>
      <c r="C441" s="4" t="n"/>
      <c r="D441" s="4" t="n"/>
      <c r="E441" s="8" t="n"/>
      <c r="F441" s="9" t="n"/>
      <c r="G441" s="7" t="n"/>
      <c r="H441" s="10">
        <f>IF($A441="","",IFERROR(VLOOKUP($A441,Clientes!$A$3:$C$1002,2,0),"NÃO CADASTRADO"))</f>
        <v/>
      </c>
      <c r="I441" s="11">
        <f>IF($A441="","",IFERROR(VLOOKUP($A441,Clientes!$A$3:$C$1002,3,0),"NÃO CADASTRADO"))</f>
        <v/>
      </c>
      <c r="J441" s="7">
        <f>IF($A441="","",IF($A441='Carteira do Cliente'!$B$4,COUNTIF($A$3:$A441,'Carteira do Cliente'!$B$4),""))</f>
        <v/>
      </c>
    </row>
    <row r="442">
      <c r="A442" s="5" t="n"/>
      <c r="B442" s="12" t="n"/>
      <c r="C442" s="6" t="n"/>
      <c r="D442" s="6" t="n"/>
      <c r="E442" s="13" t="n"/>
      <c r="F442" s="14" t="n"/>
      <c r="G442" s="12" t="n"/>
      <c r="H442" s="15">
        <f>IF($A442="","",IFERROR(VLOOKUP($A442,Clientes!$A$3:$C$1002,2,0),"NÃO CADASTRADO"))</f>
        <v/>
      </c>
      <c r="I442" s="16">
        <f>IF($A442="","",IFERROR(VLOOKUP($A442,Clientes!$A$3:$C$1002,3,0),"NÃO CADASTRADO"))</f>
        <v/>
      </c>
      <c r="J442" s="12">
        <f>IF($A442="","",IF($A442='Carteira do Cliente'!$B$4,COUNTIF($A$3:$A442,'Carteira do Cliente'!$B$4),""))</f>
        <v/>
      </c>
    </row>
    <row r="443">
      <c r="A443" s="3" t="n"/>
      <c r="B443" s="7" t="n"/>
      <c r="C443" s="4" t="n"/>
      <c r="D443" s="4" t="n"/>
      <c r="E443" s="8" t="n"/>
      <c r="F443" s="9" t="n"/>
      <c r="G443" s="7" t="n"/>
      <c r="H443" s="10">
        <f>IF($A443="","",IFERROR(VLOOKUP($A443,Clientes!$A$3:$C$1002,2,0),"NÃO CADASTRADO"))</f>
        <v/>
      </c>
      <c r="I443" s="11">
        <f>IF($A443="","",IFERROR(VLOOKUP($A443,Clientes!$A$3:$C$1002,3,0),"NÃO CADASTRADO"))</f>
        <v/>
      </c>
      <c r="J443" s="7">
        <f>IF($A443="","",IF($A443='Carteira do Cliente'!$B$4,COUNTIF($A$3:$A443,'Carteira do Cliente'!$B$4),""))</f>
        <v/>
      </c>
    </row>
    <row r="444">
      <c r="A444" s="5" t="n"/>
      <c r="B444" s="12" t="n"/>
      <c r="C444" s="6" t="n"/>
      <c r="D444" s="6" t="n"/>
      <c r="E444" s="13" t="n"/>
      <c r="F444" s="14" t="n"/>
      <c r="G444" s="12" t="n"/>
      <c r="H444" s="15">
        <f>IF($A444="","",IFERROR(VLOOKUP($A444,Clientes!$A$3:$C$1002,2,0),"NÃO CADASTRADO"))</f>
        <v/>
      </c>
      <c r="I444" s="16">
        <f>IF($A444="","",IFERROR(VLOOKUP($A444,Clientes!$A$3:$C$1002,3,0),"NÃO CADASTRADO"))</f>
        <v/>
      </c>
      <c r="J444" s="12">
        <f>IF($A444="","",IF($A444='Carteira do Cliente'!$B$4,COUNTIF($A$3:$A444,'Carteira do Cliente'!$B$4),""))</f>
        <v/>
      </c>
    </row>
    <row r="445">
      <c r="A445" s="3" t="n"/>
      <c r="B445" s="7" t="n"/>
      <c r="C445" s="4" t="n"/>
      <c r="D445" s="4" t="n"/>
      <c r="E445" s="8" t="n"/>
      <c r="F445" s="9" t="n"/>
      <c r="G445" s="7" t="n"/>
      <c r="H445" s="10">
        <f>IF($A445="","",IFERROR(VLOOKUP($A445,Clientes!$A$3:$C$1002,2,0),"NÃO CADASTRADO"))</f>
        <v/>
      </c>
      <c r="I445" s="11">
        <f>IF($A445="","",IFERROR(VLOOKUP($A445,Clientes!$A$3:$C$1002,3,0),"NÃO CADASTRADO"))</f>
        <v/>
      </c>
      <c r="J445" s="7">
        <f>IF($A445="","",IF($A445='Carteira do Cliente'!$B$4,COUNTIF($A$3:$A445,'Carteira do Cliente'!$B$4),""))</f>
        <v/>
      </c>
    </row>
    <row r="446">
      <c r="A446" s="5" t="n"/>
      <c r="B446" s="12" t="n"/>
      <c r="C446" s="6" t="n"/>
      <c r="D446" s="6" t="n"/>
      <c r="E446" s="13" t="n"/>
      <c r="F446" s="14" t="n"/>
      <c r="G446" s="12" t="n"/>
      <c r="H446" s="15">
        <f>IF($A446="","",IFERROR(VLOOKUP($A446,Clientes!$A$3:$C$1002,2,0),"NÃO CADASTRADO"))</f>
        <v/>
      </c>
      <c r="I446" s="16">
        <f>IF($A446="","",IFERROR(VLOOKUP($A446,Clientes!$A$3:$C$1002,3,0),"NÃO CADASTRADO"))</f>
        <v/>
      </c>
      <c r="J446" s="12">
        <f>IF($A446="","",IF($A446='Carteira do Cliente'!$B$4,COUNTIF($A$3:$A446,'Carteira do Cliente'!$B$4),""))</f>
        <v/>
      </c>
    </row>
    <row r="447">
      <c r="A447" s="3" t="n"/>
      <c r="B447" s="7" t="n"/>
      <c r="C447" s="4" t="n"/>
      <c r="D447" s="4" t="n"/>
      <c r="E447" s="8" t="n"/>
      <c r="F447" s="9" t="n"/>
      <c r="G447" s="7" t="n"/>
      <c r="H447" s="10">
        <f>IF($A447="","",IFERROR(VLOOKUP($A447,Clientes!$A$3:$C$1002,2,0),"NÃO CADASTRADO"))</f>
        <v/>
      </c>
      <c r="I447" s="11">
        <f>IF($A447="","",IFERROR(VLOOKUP($A447,Clientes!$A$3:$C$1002,3,0),"NÃO CADASTRADO"))</f>
        <v/>
      </c>
      <c r="J447" s="7">
        <f>IF($A447="","",IF($A447='Carteira do Cliente'!$B$4,COUNTIF($A$3:$A447,'Carteira do Cliente'!$B$4),""))</f>
        <v/>
      </c>
    </row>
    <row r="448">
      <c r="A448" s="5" t="n"/>
      <c r="B448" s="12" t="n"/>
      <c r="C448" s="6" t="n"/>
      <c r="D448" s="6" t="n"/>
      <c r="E448" s="13" t="n"/>
      <c r="F448" s="14" t="n"/>
      <c r="G448" s="12" t="n"/>
      <c r="H448" s="15">
        <f>IF($A448="","",IFERROR(VLOOKUP($A448,Clientes!$A$3:$C$1002,2,0),"NÃO CADASTRADO"))</f>
        <v/>
      </c>
      <c r="I448" s="16">
        <f>IF($A448="","",IFERROR(VLOOKUP($A448,Clientes!$A$3:$C$1002,3,0),"NÃO CADASTRADO"))</f>
        <v/>
      </c>
      <c r="J448" s="12">
        <f>IF($A448="","",IF($A448='Carteira do Cliente'!$B$4,COUNTIF($A$3:$A448,'Carteira do Cliente'!$B$4),""))</f>
        <v/>
      </c>
    </row>
    <row r="449">
      <c r="A449" s="3" t="n"/>
      <c r="B449" s="7" t="n"/>
      <c r="C449" s="4" t="n"/>
      <c r="D449" s="4" t="n"/>
      <c r="E449" s="8" t="n"/>
      <c r="F449" s="9" t="n"/>
      <c r="G449" s="7" t="n"/>
      <c r="H449" s="10">
        <f>IF($A449="","",IFERROR(VLOOKUP($A449,Clientes!$A$3:$C$1002,2,0),"NÃO CADASTRADO"))</f>
        <v/>
      </c>
      <c r="I449" s="11">
        <f>IF($A449="","",IFERROR(VLOOKUP($A449,Clientes!$A$3:$C$1002,3,0),"NÃO CADASTRADO"))</f>
        <v/>
      </c>
      <c r="J449" s="7">
        <f>IF($A449="","",IF($A449='Carteira do Cliente'!$B$4,COUNTIF($A$3:$A449,'Carteira do Cliente'!$B$4),""))</f>
        <v/>
      </c>
    </row>
    <row r="450">
      <c r="A450" s="5" t="n"/>
      <c r="B450" s="12" t="n"/>
      <c r="C450" s="6" t="n"/>
      <c r="D450" s="6" t="n"/>
      <c r="E450" s="13" t="n"/>
      <c r="F450" s="14" t="n"/>
      <c r="G450" s="12" t="n"/>
      <c r="H450" s="15">
        <f>IF($A450="","",IFERROR(VLOOKUP($A450,Clientes!$A$3:$C$1002,2,0),"NÃO CADASTRADO"))</f>
        <v/>
      </c>
      <c r="I450" s="16">
        <f>IF($A450="","",IFERROR(VLOOKUP($A450,Clientes!$A$3:$C$1002,3,0),"NÃO CADASTRADO"))</f>
        <v/>
      </c>
      <c r="J450" s="12">
        <f>IF($A450="","",IF($A450='Carteira do Cliente'!$B$4,COUNTIF($A$3:$A450,'Carteira do Cliente'!$B$4),""))</f>
        <v/>
      </c>
    </row>
    <row r="451">
      <c r="A451" s="3" t="n"/>
      <c r="B451" s="7" t="n"/>
      <c r="C451" s="4" t="n"/>
      <c r="D451" s="4" t="n"/>
      <c r="E451" s="8" t="n"/>
      <c r="F451" s="9" t="n"/>
      <c r="G451" s="7" t="n"/>
      <c r="H451" s="10">
        <f>IF($A451="","",IFERROR(VLOOKUP($A451,Clientes!$A$3:$C$1002,2,0),"NÃO CADASTRADO"))</f>
        <v/>
      </c>
      <c r="I451" s="11">
        <f>IF($A451="","",IFERROR(VLOOKUP($A451,Clientes!$A$3:$C$1002,3,0),"NÃO CADASTRADO"))</f>
        <v/>
      </c>
      <c r="J451" s="7">
        <f>IF($A451="","",IF($A451='Carteira do Cliente'!$B$4,COUNTIF($A$3:$A451,'Carteira do Cliente'!$B$4),""))</f>
        <v/>
      </c>
    </row>
    <row r="452">
      <c r="A452" s="5" t="n"/>
      <c r="B452" s="12" t="n"/>
      <c r="C452" s="6" t="n"/>
      <c r="D452" s="6" t="n"/>
      <c r="E452" s="13" t="n"/>
      <c r="F452" s="14" t="n"/>
      <c r="G452" s="12" t="n"/>
      <c r="H452" s="15">
        <f>IF($A452="","",IFERROR(VLOOKUP($A452,Clientes!$A$3:$C$1002,2,0),"NÃO CADASTRADO"))</f>
        <v/>
      </c>
      <c r="I452" s="16">
        <f>IF($A452="","",IFERROR(VLOOKUP($A452,Clientes!$A$3:$C$1002,3,0),"NÃO CADASTRADO"))</f>
        <v/>
      </c>
      <c r="J452" s="12">
        <f>IF($A452="","",IF($A452='Carteira do Cliente'!$B$4,COUNTIF($A$3:$A452,'Carteira do Cliente'!$B$4),""))</f>
        <v/>
      </c>
    </row>
    <row r="453">
      <c r="A453" s="3" t="n"/>
      <c r="B453" s="7" t="n"/>
      <c r="C453" s="4" t="n"/>
      <c r="D453" s="4" t="n"/>
      <c r="E453" s="8" t="n"/>
      <c r="F453" s="9" t="n"/>
      <c r="G453" s="7" t="n"/>
      <c r="H453" s="10">
        <f>IF($A453="","",IFERROR(VLOOKUP($A453,Clientes!$A$3:$C$1002,2,0),"NÃO CADASTRADO"))</f>
        <v/>
      </c>
      <c r="I453" s="11">
        <f>IF($A453="","",IFERROR(VLOOKUP($A453,Clientes!$A$3:$C$1002,3,0),"NÃO CADASTRADO"))</f>
        <v/>
      </c>
      <c r="J453" s="7">
        <f>IF($A453="","",IF($A453='Carteira do Cliente'!$B$4,COUNTIF($A$3:$A453,'Carteira do Cliente'!$B$4),""))</f>
        <v/>
      </c>
    </row>
    <row r="454">
      <c r="A454" s="5" t="n"/>
      <c r="B454" s="12" t="n"/>
      <c r="C454" s="6" t="n"/>
      <c r="D454" s="6" t="n"/>
      <c r="E454" s="13" t="n"/>
      <c r="F454" s="14" t="n"/>
      <c r="G454" s="12" t="n"/>
      <c r="H454" s="15">
        <f>IF($A454="","",IFERROR(VLOOKUP($A454,Clientes!$A$3:$C$1002,2,0),"NÃO CADASTRADO"))</f>
        <v/>
      </c>
      <c r="I454" s="16">
        <f>IF($A454="","",IFERROR(VLOOKUP($A454,Clientes!$A$3:$C$1002,3,0),"NÃO CADASTRADO"))</f>
        <v/>
      </c>
      <c r="J454" s="12">
        <f>IF($A454="","",IF($A454='Carteira do Cliente'!$B$4,COUNTIF($A$3:$A454,'Carteira do Cliente'!$B$4),""))</f>
        <v/>
      </c>
    </row>
    <row r="455">
      <c r="A455" s="3" t="n"/>
      <c r="B455" s="7" t="n"/>
      <c r="C455" s="4" t="n"/>
      <c r="D455" s="4" t="n"/>
      <c r="E455" s="8" t="n"/>
      <c r="F455" s="9" t="n"/>
      <c r="G455" s="7" t="n"/>
      <c r="H455" s="10">
        <f>IF($A455="","",IFERROR(VLOOKUP($A455,Clientes!$A$3:$C$1002,2,0),"NÃO CADASTRADO"))</f>
        <v/>
      </c>
      <c r="I455" s="11">
        <f>IF($A455="","",IFERROR(VLOOKUP($A455,Clientes!$A$3:$C$1002,3,0),"NÃO CADASTRADO"))</f>
        <v/>
      </c>
      <c r="J455" s="7">
        <f>IF($A455="","",IF($A455='Carteira do Cliente'!$B$4,COUNTIF($A$3:$A455,'Carteira do Cliente'!$B$4),""))</f>
        <v/>
      </c>
    </row>
    <row r="456">
      <c r="A456" s="5" t="n"/>
      <c r="B456" s="12" t="n"/>
      <c r="C456" s="6" t="n"/>
      <c r="D456" s="6" t="n"/>
      <c r="E456" s="13" t="n"/>
      <c r="F456" s="14" t="n"/>
      <c r="G456" s="12" t="n"/>
      <c r="H456" s="15">
        <f>IF($A456="","",IFERROR(VLOOKUP($A456,Clientes!$A$3:$C$1002,2,0),"NÃO CADASTRADO"))</f>
        <v/>
      </c>
      <c r="I456" s="16">
        <f>IF($A456="","",IFERROR(VLOOKUP($A456,Clientes!$A$3:$C$1002,3,0),"NÃO CADASTRADO"))</f>
        <v/>
      </c>
      <c r="J456" s="12">
        <f>IF($A456="","",IF($A456='Carteira do Cliente'!$B$4,COUNTIF($A$3:$A456,'Carteira do Cliente'!$B$4),""))</f>
        <v/>
      </c>
    </row>
    <row r="457">
      <c r="A457" s="3" t="n"/>
      <c r="B457" s="7" t="n"/>
      <c r="C457" s="4" t="n"/>
      <c r="D457" s="4" t="n"/>
      <c r="E457" s="8" t="n"/>
      <c r="F457" s="9" t="n"/>
      <c r="G457" s="7" t="n"/>
      <c r="H457" s="10">
        <f>IF($A457="","",IFERROR(VLOOKUP($A457,Clientes!$A$3:$C$1002,2,0),"NÃO CADASTRADO"))</f>
        <v/>
      </c>
      <c r="I457" s="11">
        <f>IF($A457="","",IFERROR(VLOOKUP($A457,Clientes!$A$3:$C$1002,3,0),"NÃO CADASTRADO"))</f>
        <v/>
      </c>
      <c r="J457" s="7">
        <f>IF($A457="","",IF($A457='Carteira do Cliente'!$B$4,COUNTIF($A$3:$A457,'Carteira do Cliente'!$B$4),""))</f>
        <v/>
      </c>
    </row>
    <row r="458">
      <c r="A458" s="5" t="n"/>
      <c r="B458" s="12" t="n"/>
      <c r="C458" s="6" t="n"/>
      <c r="D458" s="6" t="n"/>
      <c r="E458" s="13" t="n"/>
      <c r="F458" s="14" t="n"/>
      <c r="G458" s="12" t="n"/>
      <c r="H458" s="15">
        <f>IF($A458="","",IFERROR(VLOOKUP($A458,Clientes!$A$3:$C$1002,2,0),"NÃO CADASTRADO"))</f>
        <v/>
      </c>
      <c r="I458" s="16">
        <f>IF($A458="","",IFERROR(VLOOKUP($A458,Clientes!$A$3:$C$1002,3,0),"NÃO CADASTRADO"))</f>
        <v/>
      </c>
      <c r="J458" s="12">
        <f>IF($A458="","",IF($A458='Carteira do Cliente'!$B$4,COUNTIF($A$3:$A458,'Carteira do Cliente'!$B$4),""))</f>
        <v/>
      </c>
    </row>
    <row r="459">
      <c r="A459" s="3" t="n"/>
      <c r="B459" s="7" t="n"/>
      <c r="C459" s="4" t="n"/>
      <c r="D459" s="4" t="n"/>
      <c r="E459" s="8" t="n"/>
      <c r="F459" s="9" t="n"/>
      <c r="G459" s="7" t="n"/>
      <c r="H459" s="10">
        <f>IF($A459="","",IFERROR(VLOOKUP($A459,Clientes!$A$3:$C$1002,2,0),"NÃO CADASTRADO"))</f>
        <v/>
      </c>
      <c r="I459" s="11">
        <f>IF($A459="","",IFERROR(VLOOKUP($A459,Clientes!$A$3:$C$1002,3,0),"NÃO CADASTRADO"))</f>
        <v/>
      </c>
      <c r="J459" s="7">
        <f>IF($A459="","",IF($A459='Carteira do Cliente'!$B$4,COUNTIF($A$3:$A459,'Carteira do Cliente'!$B$4),""))</f>
        <v/>
      </c>
    </row>
    <row r="460">
      <c r="A460" s="5" t="n"/>
      <c r="B460" s="12" t="n"/>
      <c r="C460" s="6" t="n"/>
      <c r="D460" s="6" t="n"/>
      <c r="E460" s="13" t="n"/>
      <c r="F460" s="14" t="n"/>
      <c r="G460" s="12" t="n"/>
      <c r="H460" s="15">
        <f>IF($A460="","",IFERROR(VLOOKUP($A460,Clientes!$A$3:$C$1002,2,0),"NÃO CADASTRADO"))</f>
        <v/>
      </c>
      <c r="I460" s="16">
        <f>IF($A460="","",IFERROR(VLOOKUP($A460,Clientes!$A$3:$C$1002,3,0),"NÃO CADASTRADO"))</f>
        <v/>
      </c>
      <c r="J460" s="12">
        <f>IF($A460="","",IF($A460='Carteira do Cliente'!$B$4,COUNTIF($A$3:$A460,'Carteira do Cliente'!$B$4),""))</f>
        <v/>
      </c>
    </row>
    <row r="461">
      <c r="A461" s="3" t="n"/>
      <c r="B461" s="7" t="n"/>
      <c r="C461" s="4" t="n"/>
      <c r="D461" s="4" t="n"/>
      <c r="E461" s="8" t="n"/>
      <c r="F461" s="9" t="n"/>
      <c r="G461" s="7" t="n"/>
      <c r="H461" s="10">
        <f>IF($A461="","",IFERROR(VLOOKUP($A461,Clientes!$A$3:$C$1002,2,0),"NÃO CADASTRADO"))</f>
        <v/>
      </c>
      <c r="I461" s="11">
        <f>IF($A461="","",IFERROR(VLOOKUP($A461,Clientes!$A$3:$C$1002,3,0),"NÃO CADASTRADO"))</f>
        <v/>
      </c>
      <c r="J461" s="7">
        <f>IF($A461="","",IF($A461='Carteira do Cliente'!$B$4,COUNTIF($A$3:$A461,'Carteira do Cliente'!$B$4),""))</f>
        <v/>
      </c>
    </row>
    <row r="462">
      <c r="A462" s="5" t="n"/>
      <c r="B462" s="12" t="n"/>
      <c r="C462" s="6" t="n"/>
      <c r="D462" s="6" t="n"/>
      <c r="E462" s="13" t="n"/>
      <c r="F462" s="14" t="n"/>
      <c r="G462" s="12" t="n"/>
      <c r="H462" s="15">
        <f>IF($A462="","",IFERROR(VLOOKUP($A462,Clientes!$A$3:$C$1002,2,0),"NÃO CADASTRADO"))</f>
        <v/>
      </c>
      <c r="I462" s="16">
        <f>IF($A462="","",IFERROR(VLOOKUP($A462,Clientes!$A$3:$C$1002,3,0),"NÃO CADASTRADO"))</f>
        <v/>
      </c>
      <c r="J462" s="12">
        <f>IF($A462="","",IF($A462='Carteira do Cliente'!$B$4,COUNTIF($A$3:$A462,'Carteira do Cliente'!$B$4),""))</f>
        <v/>
      </c>
    </row>
    <row r="463">
      <c r="A463" s="3" t="n"/>
      <c r="B463" s="7" t="n"/>
      <c r="C463" s="4" t="n"/>
      <c r="D463" s="4" t="n"/>
      <c r="E463" s="8" t="n"/>
      <c r="F463" s="9" t="n"/>
      <c r="G463" s="7" t="n"/>
      <c r="H463" s="10">
        <f>IF($A463="","",IFERROR(VLOOKUP($A463,Clientes!$A$3:$C$1002,2,0),"NÃO CADASTRADO"))</f>
        <v/>
      </c>
      <c r="I463" s="11">
        <f>IF($A463="","",IFERROR(VLOOKUP($A463,Clientes!$A$3:$C$1002,3,0),"NÃO CADASTRADO"))</f>
        <v/>
      </c>
      <c r="J463" s="7">
        <f>IF($A463="","",IF($A463='Carteira do Cliente'!$B$4,COUNTIF($A$3:$A463,'Carteira do Cliente'!$B$4),""))</f>
        <v/>
      </c>
    </row>
    <row r="464">
      <c r="A464" s="5" t="n"/>
      <c r="B464" s="12" t="n"/>
      <c r="C464" s="6" t="n"/>
      <c r="D464" s="6" t="n"/>
      <c r="E464" s="13" t="n"/>
      <c r="F464" s="14" t="n"/>
      <c r="G464" s="12" t="n"/>
      <c r="H464" s="15">
        <f>IF($A464="","",IFERROR(VLOOKUP($A464,Clientes!$A$3:$C$1002,2,0),"NÃO CADASTRADO"))</f>
        <v/>
      </c>
      <c r="I464" s="16">
        <f>IF($A464="","",IFERROR(VLOOKUP($A464,Clientes!$A$3:$C$1002,3,0),"NÃO CADASTRADO"))</f>
        <v/>
      </c>
      <c r="J464" s="12">
        <f>IF($A464="","",IF($A464='Carteira do Cliente'!$B$4,COUNTIF($A$3:$A464,'Carteira do Cliente'!$B$4),""))</f>
        <v/>
      </c>
    </row>
    <row r="465">
      <c r="A465" s="3" t="n"/>
      <c r="B465" s="7" t="n"/>
      <c r="C465" s="4" t="n"/>
      <c r="D465" s="4" t="n"/>
      <c r="E465" s="8" t="n"/>
      <c r="F465" s="9" t="n"/>
      <c r="G465" s="7" t="n"/>
      <c r="H465" s="10">
        <f>IF($A465="","",IFERROR(VLOOKUP($A465,Clientes!$A$3:$C$1002,2,0),"NÃO CADASTRADO"))</f>
        <v/>
      </c>
      <c r="I465" s="11">
        <f>IF($A465="","",IFERROR(VLOOKUP($A465,Clientes!$A$3:$C$1002,3,0),"NÃO CADASTRADO"))</f>
        <v/>
      </c>
      <c r="J465" s="7">
        <f>IF($A465="","",IF($A465='Carteira do Cliente'!$B$4,COUNTIF($A$3:$A465,'Carteira do Cliente'!$B$4),""))</f>
        <v/>
      </c>
    </row>
    <row r="466">
      <c r="A466" s="5" t="n"/>
      <c r="B466" s="12" t="n"/>
      <c r="C466" s="6" t="n"/>
      <c r="D466" s="6" t="n"/>
      <c r="E466" s="13" t="n"/>
      <c r="F466" s="14" t="n"/>
      <c r="G466" s="12" t="n"/>
      <c r="H466" s="15">
        <f>IF($A466="","",IFERROR(VLOOKUP($A466,Clientes!$A$3:$C$1002,2,0),"NÃO CADASTRADO"))</f>
        <v/>
      </c>
      <c r="I466" s="16">
        <f>IF($A466="","",IFERROR(VLOOKUP($A466,Clientes!$A$3:$C$1002,3,0),"NÃO CADASTRADO"))</f>
        <v/>
      </c>
      <c r="J466" s="12">
        <f>IF($A466="","",IF($A466='Carteira do Cliente'!$B$4,COUNTIF($A$3:$A466,'Carteira do Cliente'!$B$4),""))</f>
        <v/>
      </c>
    </row>
    <row r="467">
      <c r="A467" s="3" t="n"/>
      <c r="B467" s="7" t="n"/>
      <c r="C467" s="4" t="n"/>
      <c r="D467" s="4" t="n"/>
      <c r="E467" s="8" t="n"/>
      <c r="F467" s="9" t="n"/>
      <c r="G467" s="7" t="n"/>
      <c r="H467" s="10">
        <f>IF($A467="","",IFERROR(VLOOKUP($A467,Clientes!$A$3:$C$1002,2,0),"NÃO CADASTRADO"))</f>
        <v/>
      </c>
      <c r="I467" s="11">
        <f>IF($A467="","",IFERROR(VLOOKUP($A467,Clientes!$A$3:$C$1002,3,0),"NÃO CADASTRADO"))</f>
        <v/>
      </c>
      <c r="J467" s="7">
        <f>IF($A467="","",IF($A467='Carteira do Cliente'!$B$4,COUNTIF($A$3:$A467,'Carteira do Cliente'!$B$4),""))</f>
        <v/>
      </c>
    </row>
    <row r="468">
      <c r="A468" s="5" t="n"/>
      <c r="B468" s="12" t="n"/>
      <c r="C468" s="6" t="n"/>
      <c r="D468" s="6" t="n"/>
      <c r="E468" s="13" t="n"/>
      <c r="F468" s="14" t="n"/>
      <c r="G468" s="12" t="n"/>
      <c r="H468" s="15">
        <f>IF($A468="","",IFERROR(VLOOKUP($A468,Clientes!$A$3:$C$1002,2,0),"NÃO CADASTRADO"))</f>
        <v/>
      </c>
      <c r="I468" s="16">
        <f>IF($A468="","",IFERROR(VLOOKUP($A468,Clientes!$A$3:$C$1002,3,0),"NÃO CADASTRADO"))</f>
        <v/>
      </c>
      <c r="J468" s="12">
        <f>IF($A468="","",IF($A468='Carteira do Cliente'!$B$4,COUNTIF($A$3:$A468,'Carteira do Cliente'!$B$4),""))</f>
        <v/>
      </c>
    </row>
    <row r="469">
      <c r="A469" s="3" t="n"/>
      <c r="B469" s="7" t="n"/>
      <c r="C469" s="4" t="n"/>
      <c r="D469" s="4" t="n"/>
      <c r="E469" s="8" t="n"/>
      <c r="F469" s="9" t="n"/>
      <c r="G469" s="7" t="n"/>
      <c r="H469" s="10">
        <f>IF($A469="","",IFERROR(VLOOKUP($A469,Clientes!$A$3:$C$1002,2,0),"NÃO CADASTRADO"))</f>
        <v/>
      </c>
      <c r="I469" s="11">
        <f>IF($A469="","",IFERROR(VLOOKUP($A469,Clientes!$A$3:$C$1002,3,0),"NÃO CADASTRADO"))</f>
        <v/>
      </c>
      <c r="J469" s="7">
        <f>IF($A469="","",IF($A469='Carteira do Cliente'!$B$4,COUNTIF($A$3:$A469,'Carteira do Cliente'!$B$4),""))</f>
        <v/>
      </c>
    </row>
    <row r="470">
      <c r="A470" s="5" t="n"/>
      <c r="B470" s="12" t="n"/>
      <c r="C470" s="6" t="n"/>
      <c r="D470" s="6" t="n"/>
      <c r="E470" s="13" t="n"/>
      <c r="F470" s="14" t="n"/>
      <c r="G470" s="12" t="n"/>
      <c r="H470" s="15">
        <f>IF($A470="","",IFERROR(VLOOKUP($A470,Clientes!$A$3:$C$1002,2,0),"NÃO CADASTRADO"))</f>
        <v/>
      </c>
      <c r="I470" s="16">
        <f>IF($A470="","",IFERROR(VLOOKUP($A470,Clientes!$A$3:$C$1002,3,0),"NÃO CADASTRADO"))</f>
        <v/>
      </c>
      <c r="J470" s="12">
        <f>IF($A470="","",IF($A470='Carteira do Cliente'!$B$4,COUNTIF($A$3:$A470,'Carteira do Cliente'!$B$4),""))</f>
        <v/>
      </c>
    </row>
    <row r="471">
      <c r="A471" s="3" t="n"/>
      <c r="B471" s="7" t="n"/>
      <c r="C471" s="4" t="n"/>
      <c r="D471" s="4" t="n"/>
      <c r="E471" s="8" t="n"/>
      <c r="F471" s="9" t="n"/>
      <c r="G471" s="7" t="n"/>
      <c r="H471" s="10">
        <f>IF($A471="","",IFERROR(VLOOKUP($A471,Clientes!$A$3:$C$1002,2,0),"NÃO CADASTRADO"))</f>
        <v/>
      </c>
      <c r="I471" s="11">
        <f>IF($A471="","",IFERROR(VLOOKUP($A471,Clientes!$A$3:$C$1002,3,0),"NÃO CADASTRADO"))</f>
        <v/>
      </c>
      <c r="J471" s="7">
        <f>IF($A471="","",IF($A471='Carteira do Cliente'!$B$4,COUNTIF($A$3:$A471,'Carteira do Cliente'!$B$4),""))</f>
        <v/>
      </c>
    </row>
    <row r="472">
      <c r="A472" s="5" t="n"/>
      <c r="B472" s="12" t="n"/>
      <c r="C472" s="6" t="n"/>
      <c r="D472" s="6" t="n"/>
      <c r="E472" s="13" t="n"/>
      <c r="F472" s="14" t="n"/>
      <c r="G472" s="12" t="n"/>
      <c r="H472" s="15">
        <f>IF($A472="","",IFERROR(VLOOKUP($A472,Clientes!$A$3:$C$1002,2,0),"NÃO CADASTRADO"))</f>
        <v/>
      </c>
      <c r="I472" s="16">
        <f>IF($A472="","",IFERROR(VLOOKUP($A472,Clientes!$A$3:$C$1002,3,0),"NÃO CADASTRADO"))</f>
        <v/>
      </c>
      <c r="J472" s="12">
        <f>IF($A472="","",IF($A472='Carteira do Cliente'!$B$4,COUNTIF($A$3:$A472,'Carteira do Cliente'!$B$4),""))</f>
        <v/>
      </c>
    </row>
    <row r="473">
      <c r="A473" s="3" t="n"/>
      <c r="B473" s="7" t="n"/>
      <c r="C473" s="4" t="n"/>
      <c r="D473" s="4" t="n"/>
      <c r="E473" s="8" t="n"/>
      <c r="F473" s="9" t="n"/>
      <c r="G473" s="7" t="n"/>
      <c r="H473" s="10">
        <f>IF($A473="","",IFERROR(VLOOKUP($A473,Clientes!$A$3:$C$1002,2,0),"NÃO CADASTRADO"))</f>
        <v/>
      </c>
      <c r="I473" s="11">
        <f>IF($A473="","",IFERROR(VLOOKUP($A473,Clientes!$A$3:$C$1002,3,0),"NÃO CADASTRADO"))</f>
        <v/>
      </c>
      <c r="J473" s="7">
        <f>IF($A473="","",IF($A473='Carteira do Cliente'!$B$4,COUNTIF($A$3:$A473,'Carteira do Cliente'!$B$4),""))</f>
        <v/>
      </c>
    </row>
    <row r="474">
      <c r="A474" s="5" t="n"/>
      <c r="B474" s="12" t="n"/>
      <c r="C474" s="6" t="n"/>
      <c r="D474" s="6" t="n"/>
      <c r="E474" s="13" t="n"/>
      <c r="F474" s="14" t="n"/>
      <c r="G474" s="12" t="n"/>
      <c r="H474" s="15">
        <f>IF($A474="","",IFERROR(VLOOKUP($A474,Clientes!$A$3:$C$1002,2,0),"NÃO CADASTRADO"))</f>
        <v/>
      </c>
      <c r="I474" s="16">
        <f>IF($A474="","",IFERROR(VLOOKUP($A474,Clientes!$A$3:$C$1002,3,0),"NÃO CADASTRADO"))</f>
        <v/>
      </c>
      <c r="J474" s="12">
        <f>IF($A474="","",IF($A474='Carteira do Cliente'!$B$4,COUNTIF($A$3:$A474,'Carteira do Cliente'!$B$4),""))</f>
        <v/>
      </c>
    </row>
    <row r="475">
      <c r="A475" s="3" t="n"/>
      <c r="B475" s="7" t="n"/>
      <c r="C475" s="4" t="n"/>
      <c r="D475" s="4" t="n"/>
      <c r="E475" s="8" t="n"/>
      <c r="F475" s="9" t="n"/>
      <c r="G475" s="7" t="n"/>
      <c r="H475" s="10">
        <f>IF($A475="","",IFERROR(VLOOKUP($A475,Clientes!$A$3:$C$1002,2,0),"NÃO CADASTRADO"))</f>
        <v/>
      </c>
      <c r="I475" s="11">
        <f>IF($A475="","",IFERROR(VLOOKUP($A475,Clientes!$A$3:$C$1002,3,0),"NÃO CADASTRADO"))</f>
        <v/>
      </c>
      <c r="J475" s="7">
        <f>IF($A475="","",IF($A475='Carteira do Cliente'!$B$4,COUNTIF($A$3:$A475,'Carteira do Cliente'!$B$4),""))</f>
        <v/>
      </c>
    </row>
    <row r="476">
      <c r="A476" s="5" t="n"/>
      <c r="B476" s="12" t="n"/>
      <c r="C476" s="6" t="n"/>
      <c r="D476" s="6" t="n"/>
      <c r="E476" s="13" t="n"/>
      <c r="F476" s="14" t="n"/>
      <c r="G476" s="12" t="n"/>
      <c r="H476" s="15">
        <f>IF($A476="","",IFERROR(VLOOKUP($A476,Clientes!$A$3:$C$1002,2,0),"NÃO CADASTRADO"))</f>
        <v/>
      </c>
      <c r="I476" s="16">
        <f>IF($A476="","",IFERROR(VLOOKUP($A476,Clientes!$A$3:$C$1002,3,0),"NÃO CADASTRADO"))</f>
        <v/>
      </c>
      <c r="J476" s="12">
        <f>IF($A476="","",IF($A476='Carteira do Cliente'!$B$4,COUNTIF($A$3:$A476,'Carteira do Cliente'!$B$4),""))</f>
        <v/>
      </c>
    </row>
    <row r="477">
      <c r="A477" s="3" t="n"/>
      <c r="B477" s="7" t="n"/>
      <c r="C477" s="4" t="n"/>
      <c r="D477" s="4" t="n"/>
      <c r="E477" s="8" t="n"/>
      <c r="F477" s="9" t="n"/>
      <c r="G477" s="7" t="n"/>
      <c r="H477" s="10">
        <f>IF($A477="","",IFERROR(VLOOKUP($A477,Clientes!$A$3:$C$1002,2,0),"NÃO CADASTRADO"))</f>
        <v/>
      </c>
      <c r="I477" s="11">
        <f>IF($A477="","",IFERROR(VLOOKUP($A477,Clientes!$A$3:$C$1002,3,0),"NÃO CADASTRADO"))</f>
        <v/>
      </c>
      <c r="J477" s="7">
        <f>IF($A477="","",IF($A477='Carteira do Cliente'!$B$4,COUNTIF($A$3:$A477,'Carteira do Cliente'!$B$4),""))</f>
        <v/>
      </c>
    </row>
    <row r="478">
      <c r="A478" s="5" t="n"/>
      <c r="B478" s="12" t="n"/>
      <c r="C478" s="6" t="n"/>
      <c r="D478" s="6" t="n"/>
      <c r="E478" s="13" t="n"/>
      <c r="F478" s="14" t="n"/>
      <c r="G478" s="12" t="n"/>
      <c r="H478" s="15">
        <f>IF($A478="","",IFERROR(VLOOKUP($A478,Clientes!$A$3:$C$1002,2,0),"NÃO CADASTRADO"))</f>
        <v/>
      </c>
      <c r="I478" s="16">
        <f>IF($A478="","",IFERROR(VLOOKUP($A478,Clientes!$A$3:$C$1002,3,0),"NÃO CADASTRADO"))</f>
        <v/>
      </c>
      <c r="J478" s="12">
        <f>IF($A478="","",IF($A478='Carteira do Cliente'!$B$4,COUNTIF($A$3:$A478,'Carteira do Cliente'!$B$4),""))</f>
        <v/>
      </c>
    </row>
    <row r="479">
      <c r="A479" s="3" t="n"/>
      <c r="B479" s="7" t="n"/>
      <c r="C479" s="4" t="n"/>
      <c r="D479" s="4" t="n"/>
      <c r="E479" s="8" t="n"/>
      <c r="F479" s="9" t="n"/>
      <c r="G479" s="7" t="n"/>
      <c r="H479" s="10">
        <f>IF($A479="","",IFERROR(VLOOKUP($A479,Clientes!$A$3:$C$1002,2,0),"NÃO CADASTRADO"))</f>
        <v/>
      </c>
      <c r="I479" s="11">
        <f>IF($A479="","",IFERROR(VLOOKUP($A479,Clientes!$A$3:$C$1002,3,0),"NÃO CADASTRADO"))</f>
        <v/>
      </c>
      <c r="J479" s="7">
        <f>IF($A479="","",IF($A479='Carteira do Cliente'!$B$4,COUNTIF($A$3:$A479,'Carteira do Cliente'!$B$4),""))</f>
        <v/>
      </c>
    </row>
    <row r="480">
      <c r="A480" s="5" t="n"/>
      <c r="B480" s="12" t="n"/>
      <c r="C480" s="6" t="n"/>
      <c r="D480" s="6" t="n"/>
      <c r="E480" s="13" t="n"/>
      <c r="F480" s="14" t="n"/>
      <c r="G480" s="12" t="n"/>
      <c r="H480" s="15">
        <f>IF($A480="","",IFERROR(VLOOKUP($A480,Clientes!$A$3:$C$1002,2,0),"NÃO CADASTRADO"))</f>
        <v/>
      </c>
      <c r="I480" s="16">
        <f>IF($A480="","",IFERROR(VLOOKUP($A480,Clientes!$A$3:$C$1002,3,0),"NÃO CADASTRADO"))</f>
        <v/>
      </c>
      <c r="J480" s="12">
        <f>IF($A480="","",IF($A480='Carteira do Cliente'!$B$4,COUNTIF($A$3:$A480,'Carteira do Cliente'!$B$4),""))</f>
        <v/>
      </c>
    </row>
    <row r="481">
      <c r="A481" s="3" t="n"/>
      <c r="B481" s="7" t="n"/>
      <c r="C481" s="4" t="n"/>
      <c r="D481" s="4" t="n"/>
      <c r="E481" s="8" t="n"/>
      <c r="F481" s="9" t="n"/>
      <c r="G481" s="7" t="n"/>
      <c r="H481" s="10">
        <f>IF($A481="","",IFERROR(VLOOKUP($A481,Clientes!$A$3:$C$1002,2,0),"NÃO CADASTRADO"))</f>
        <v/>
      </c>
      <c r="I481" s="11">
        <f>IF($A481="","",IFERROR(VLOOKUP($A481,Clientes!$A$3:$C$1002,3,0),"NÃO CADASTRADO"))</f>
        <v/>
      </c>
      <c r="J481" s="7">
        <f>IF($A481="","",IF($A481='Carteira do Cliente'!$B$4,COUNTIF($A$3:$A481,'Carteira do Cliente'!$B$4),""))</f>
        <v/>
      </c>
    </row>
    <row r="482">
      <c r="A482" s="5" t="n"/>
      <c r="B482" s="12" t="n"/>
      <c r="C482" s="6" t="n"/>
      <c r="D482" s="6" t="n"/>
      <c r="E482" s="13" t="n"/>
      <c r="F482" s="14" t="n"/>
      <c r="G482" s="12" t="n"/>
      <c r="H482" s="15">
        <f>IF($A482="","",IFERROR(VLOOKUP($A482,Clientes!$A$3:$C$1002,2,0),"NÃO CADASTRADO"))</f>
        <v/>
      </c>
      <c r="I482" s="16">
        <f>IF($A482="","",IFERROR(VLOOKUP($A482,Clientes!$A$3:$C$1002,3,0),"NÃO CADASTRADO"))</f>
        <v/>
      </c>
      <c r="J482" s="12">
        <f>IF($A482="","",IF($A482='Carteira do Cliente'!$B$4,COUNTIF($A$3:$A482,'Carteira do Cliente'!$B$4),""))</f>
        <v/>
      </c>
    </row>
    <row r="483">
      <c r="A483" s="3" t="n"/>
      <c r="B483" s="7" t="n"/>
      <c r="C483" s="4" t="n"/>
      <c r="D483" s="4" t="n"/>
      <c r="E483" s="8" t="n"/>
      <c r="F483" s="9" t="n"/>
      <c r="G483" s="7" t="n"/>
      <c r="H483" s="10">
        <f>IF($A483="","",IFERROR(VLOOKUP($A483,Clientes!$A$3:$C$1002,2,0),"NÃO CADASTRADO"))</f>
        <v/>
      </c>
      <c r="I483" s="11">
        <f>IF($A483="","",IFERROR(VLOOKUP($A483,Clientes!$A$3:$C$1002,3,0),"NÃO CADASTRADO"))</f>
        <v/>
      </c>
      <c r="J483" s="7">
        <f>IF($A483="","",IF($A483='Carteira do Cliente'!$B$4,COUNTIF($A$3:$A483,'Carteira do Cliente'!$B$4),""))</f>
        <v/>
      </c>
    </row>
    <row r="484">
      <c r="A484" s="5" t="n"/>
      <c r="B484" s="12" t="n"/>
      <c r="C484" s="6" t="n"/>
      <c r="D484" s="6" t="n"/>
      <c r="E484" s="13" t="n"/>
      <c r="F484" s="14" t="n"/>
      <c r="G484" s="12" t="n"/>
      <c r="H484" s="15">
        <f>IF($A484="","",IFERROR(VLOOKUP($A484,Clientes!$A$3:$C$1002,2,0),"NÃO CADASTRADO"))</f>
        <v/>
      </c>
      <c r="I484" s="16">
        <f>IF($A484="","",IFERROR(VLOOKUP($A484,Clientes!$A$3:$C$1002,3,0),"NÃO CADASTRADO"))</f>
        <v/>
      </c>
      <c r="J484" s="12">
        <f>IF($A484="","",IF($A484='Carteira do Cliente'!$B$4,COUNTIF($A$3:$A484,'Carteira do Cliente'!$B$4),""))</f>
        <v/>
      </c>
    </row>
    <row r="485">
      <c r="A485" s="3" t="n"/>
      <c r="B485" s="7" t="n"/>
      <c r="C485" s="4" t="n"/>
      <c r="D485" s="4" t="n"/>
      <c r="E485" s="8" t="n"/>
      <c r="F485" s="9" t="n"/>
      <c r="G485" s="7" t="n"/>
      <c r="H485" s="10">
        <f>IF($A485="","",IFERROR(VLOOKUP($A485,Clientes!$A$3:$C$1002,2,0),"NÃO CADASTRADO"))</f>
        <v/>
      </c>
      <c r="I485" s="11">
        <f>IF($A485="","",IFERROR(VLOOKUP($A485,Clientes!$A$3:$C$1002,3,0),"NÃO CADASTRADO"))</f>
        <v/>
      </c>
      <c r="J485" s="7">
        <f>IF($A485="","",IF($A485='Carteira do Cliente'!$B$4,COUNTIF($A$3:$A485,'Carteira do Cliente'!$B$4),""))</f>
        <v/>
      </c>
    </row>
    <row r="486">
      <c r="A486" s="5" t="n"/>
      <c r="B486" s="12" t="n"/>
      <c r="C486" s="6" t="n"/>
      <c r="D486" s="6" t="n"/>
      <c r="E486" s="13" t="n"/>
      <c r="F486" s="14" t="n"/>
      <c r="G486" s="12" t="n"/>
      <c r="H486" s="15">
        <f>IF($A486="","",IFERROR(VLOOKUP($A486,Clientes!$A$3:$C$1002,2,0),"NÃO CADASTRADO"))</f>
        <v/>
      </c>
      <c r="I486" s="16">
        <f>IF($A486="","",IFERROR(VLOOKUP($A486,Clientes!$A$3:$C$1002,3,0),"NÃO CADASTRADO"))</f>
        <v/>
      </c>
      <c r="J486" s="12">
        <f>IF($A486="","",IF($A486='Carteira do Cliente'!$B$4,COUNTIF($A$3:$A486,'Carteira do Cliente'!$B$4),""))</f>
        <v/>
      </c>
    </row>
    <row r="487">
      <c r="A487" s="3" t="n"/>
      <c r="B487" s="7" t="n"/>
      <c r="C487" s="4" t="n"/>
      <c r="D487" s="4" t="n"/>
      <c r="E487" s="8" t="n"/>
      <c r="F487" s="9" t="n"/>
      <c r="G487" s="7" t="n"/>
      <c r="H487" s="10">
        <f>IF($A487="","",IFERROR(VLOOKUP($A487,Clientes!$A$3:$C$1002,2,0),"NÃO CADASTRADO"))</f>
        <v/>
      </c>
      <c r="I487" s="11">
        <f>IF($A487="","",IFERROR(VLOOKUP($A487,Clientes!$A$3:$C$1002,3,0),"NÃO CADASTRADO"))</f>
        <v/>
      </c>
      <c r="J487" s="7">
        <f>IF($A487="","",IF($A487='Carteira do Cliente'!$B$4,COUNTIF($A$3:$A487,'Carteira do Cliente'!$B$4),""))</f>
        <v/>
      </c>
    </row>
    <row r="488">
      <c r="A488" s="5" t="n"/>
      <c r="B488" s="12" t="n"/>
      <c r="C488" s="6" t="n"/>
      <c r="D488" s="6" t="n"/>
      <c r="E488" s="13" t="n"/>
      <c r="F488" s="14" t="n"/>
      <c r="G488" s="12" t="n"/>
      <c r="H488" s="15">
        <f>IF($A488="","",IFERROR(VLOOKUP($A488,Clientes!$A$3:$C$1002,2,0),"NÃO CADASTRADO"))</f>
        <v/>
      </c>
      <c r="I488" s="16">
        <f>IF($A488="","",IFERROR(VLOOKUP($A488,Clientes!$A$3:$C$1002,3,0),"NÃO CADASTRADO"))</f>
        <v/>
      </c>
      <c r="J488" s="12">
        <f>IF($A488="","",IF($A488='Carteira do Cliente'!$B$4,COUNTIF($A$3:$A488,'Carteira do Cliente'!$B$4),""))</f>
        <v/>
      </c>
    </row>
    <row r="489">
      <c r="A489" s="3" t="n"/>
      <c r="B489" s="7" t="n"/>
      <c r="C489" s="4" t="n"/>
      <c r="D489" s="4" t="n"/>
      <c r="E489" s="8" t="n"/>
      <c r="F489" s="9" t="n"/>
      <c r="G489" s="7" t="n"/>
      <c r="H489" s="10">
        <f>IF($A489="","",IFERROR(VLOOKUP($A489,Clientes!$A$3:$C$1002,2,0),"NÃO CADASTRADO"))</f>
        <v/>
      </c>
      <c r="I489" s="11">
        <f>IF($A489="","",IFERROR(VLOOKUP($A489,Clientes!$A$3:$C$1002,3,0),"NÃO CADASTRADO"))</f>
        <v/>
      </c>
      <c r="J489" s="7">
        <f>IF($A489="","",IF($A489='Carteira do Cliente'!$B$4,COUNTIF($A$3:$A489,'Carteira do Cliente'!$B$4),""))</f>
        <v/>
      </c>
    </row>
    <row r="490">
      <c r="A490" s="5" t="n"/>
      <c r="B490" s="12" t="n"/>
      <c r="C490" s="6" t="n"/>
      <c r="D490" s="6" t="n"/>
      <c r="E490" s="13" t="n"/>
      <c r="F490" s="14" t="n"/>
      <c r="G490" s="12" t="n"/>
      <c r="H490" s="15">
        <f>IF($A490="","",IFERROR(VLOOKUP($A490,Clientes!$A$3:$C$1002,2,0),"NÃO CADASTRADO"))</f>
        <v/>
      </c>
      <c r="I490" s="16">
        <f>IF($A490="","",IFERROR(VLOOKUP($A490,Clientes!$A$3:$C$1002,3,0),"NÃO CADASTRADO"))</f>
        <v/>
      </c>
      <c r="J490" s="12">
        <f>IF($A490="","",IF($A490='Carteira do Cliente'!$B$4,COUNTIF($A$3:$A490,'Carteira do Cliente'!$B$4),""))</f>
        <v/>
      </c>
    </row>
    <row r="491">
      <c r="A491" s="3" t="n"/>
      <c r="B491" s="7" t="n"/>
      <c r="C491" s="4" t="n"/>
      <c r="D491" s="4" t="n"/>
      <c r="E491" s="8" t="n"/>
      <c r="F491" s="9" t="n"/>
      <c r="G491" s="7" t="n"/>
      <c r="H491" s="10">
        <f>IF($A491="","",IFERROR(VLOOKUP($A491,Clientes!$A$3:$C$1002,2,0),"NÃO CADASTRADO"))</f>
        <v/>
      </c>
      <c r="I491" s="11">
        <f>IF($A491="","",IFERROR(VLOOKUP($A491,Clientes!$A$3:$C$1002,3,0),"NÃO CADASTRADO"))</f>
        <v/>
      </c>
      <c r="J491" s="7">
        <f>IF($A491="","",IF($A491='Carteira do Cliente'!$B$4,COUNTIF($A$3:$A491,'Carteira do Cliente'!$B$4),""))</f>
        <v/>
      </c>
    </row>
    <row r="492">
      <c r="A492" s="5" t="n"/>
      <c r="B492" s="12" t="n"/>
      <c r="C492" s="6" t="n"/>
      <c r="D492" s="6" t="n"/>
      <c r="E492" s="13" t="n"/>
      <c r="F492" s="14" t="n"/>
      <c r="G492" s="12" t="n"/>
      <c r="H492" s="15">
        <f>IF($A492="","",IFERROR(VLOOKUP($A492,Clientes!$A$3:$C$1002,2,0),"NÃO CADASTRADO"))</f>
        <v/>
      </c>
      <c r="I492" s="16">
        <f>IF($A492="","",IFERROR(VLOOKUP($A492,Clientes!$A$3:$C$1002,3,0),"NÃO CADASTRADO"))</f>
        <v/>
      </c>
      <c r="J492" s="12">
        <f>IF($A492="","",IF($A492='Carteira do Cliente'!$B$4,COUNTIF($A$3:$A492,'Carteira do Cliente'!$B$4),""))</f>
        <v/>
      </c>
    </row>
    <row r="493">
      <c r="A493" s="3" t="n"/>
      <c r="B493" s="7" t="n"/>
      <c r="C493" s="4" t="n"/>
      <c r="D493" s="4" t="n"/>
      <c r="E493" s="8" t="n"/>
      <c r="F493" s="9" t="n"/>
      <c r="G493" s="7" t="n"/>
      <c r="H493" s="10">
        <f>IF($A493="","",IFERROR(VLOOKUP($A493,Clientes!$A$3:$C$1002,2,0),"NÃO CADASTRADO"))</f>
        <v/>
      </c>
      <c r="I493" s="11">
        <f>IF($A493="","",IFERROR(VLOOKUP($A493,Clientes!$A$3:$C$1002,3,0),"NÃO CADASTRADO"))</f>
        <v/>
      </c>
      <c r="J493" s="7">
        <f>IF($A493="","",IF($A493='Carteira do Cliente'!$B$4,COUNTIF($A$3:$A493,'Carteira do Cliente'!$B$4),""))</f>
        <v/>
      </c>
    </row>
    <row r="494">
      <c r="A494" s="5" t="n"/>
      <c r="B494" s="12" t="n"/>
      <c r="C494" s="6" t="n"/>
      <c r="D494" s="6" t="n"/>
      <c r="E494" s="13" t="n"/>
      <c r="F494" s="14" t="n"/>
      <c r="G494" s="12" t="n"/>
      <c r="H494" s="15">
        <f>IF($A494="","",IFERROR(VLOOKUP($A494,Clientes!$A$3:$C$1002,2,0),"NÃO CADASTRADO"))</f>
        <v/>
      </c>
      <c r="I494" s="16">
        <f>IF($A494="","",IFERROR(VLOOKUP($A494,Clientes!$A$3:$C$1002,3,0),"NÃO CADASTRADO"))</f>
        <v/>
      </c>
      <c r="J494" s="12">
        <f>IF($A494="","",IF($A494='Carteira do Cliente'!$B$4,COUNTIF($A$3:$A494,'Carteira do Cliente'!$B$4),""))</f>
        <v/>
      </c>
    </row>
    <row r="495">
      <c r="A495" s="3" t="n"/>
      <c r="B495" s="7" t="n"/>
      <c r="C495" s="4" t="n"/>
      <c r="D495" s="4" t="n"/>
      <c r="E495" s="8" t="n"/>
      <c r="F495" s="9" t="n"/>
      <c r="G495" s="7" t="n"/>
      <c r="H495" s="10">
        <f>IF($A495="","",IFERROR(VLOOKUP($A495,Clientes!$A$3:$C$1002,2,0),"NÃO CADASTRADO"))</f>
        <v/>
      </c>
      <c r="I495" s="11">
        <f>IF($A495="","",IFERROR(VLOOKUP($A495,Clientes!$A$3:$C$1002,3,0),"NÃO CADASTRADO"))</f>
        <v/>
      </c>
      <c r="J495" s="7">
        <f>IF($A495="","",IF($A495='Carteira do Cliente'!$B$4,COUNTIF($A$3:$A495,'Carteira do Cliente'!$B$4),""))</f>
        <v/>
      </c>
    </row>
    <row r="496">
      <c r="A496" s="5" t="n"/>
      <c r="B496" s="12" t="n"/>
      <c r="C496" s="6" t="n"/>
      <c r="D496" s="6" t="n"/>
      <c r="E496" s="13" t="n"/>
      <c r="F496" s="14" t="n"/>
      <c r="G496" s="12" t="n"/>
      <c r="H496" s="15">
        <f>IF($A496="","",IFERROR(VLOOKUP($A496,Clientes!$A$3:$C$1002,2,0),"NÃO CADASTRADO"))</f>
        <v/>
      </c>
      <c r="I496" s="16">
        <f>IF($A496="","",IFERROR(VLOOKUP($A496,Clientes!$A$3:$C$1002,3,0),"NÃO CADASTRADO"))</f>
        <v/>
      </c>
      <c r="J496" s="12">
        <f>IF($A496="","",IF($A496='Carteira do Cliente'!$B$4,COUNTIF($A$3:$A496,'Carteira do Cliente'!$B$4),""))</f>
        <v/>
      </c>
    </row>
    <row r="497">
      <c r="A497" s="3" t="n"/>
      <c r="B497" s="7" t="n"/>
      <c r="C497" s="4" t="n"/>
      <c r="D497" s="4" t="n"/>
      <c r="E497" s="8" t="n"/>
      <c r="F497" s="9" t="n"/>
      <c r="G497" s="7" t="n"/>
      <c r="H497" s="10">
        <f>IF($A497="","",IFERROR(VLOOKUP($A497,Clientes!$A$3:$C$1002,2,0),"NÃO CADASTRADO"))</f>
        <v/>
      </c>
      <c r="I497" s="11">
        <f>IF($A497="","",IFERROR(VLOOKUP($A497,Clientes!$A$3:$C$1002,3,0),"NÃO CADASTRADO"))</f>
        <v/>
      </c>
      <c r="J497" s="7">
        <f>IF($A497="","",IF($A497='Carteira do Cliente'!$B$4,COUNTIF($A$3:$A497,'Carteira do Cliente'!$B$4),""))</f>
        <v/>
      </c>
    </row>
    <row r="498">
      <c r="A498" s="5" t="n"/>
      <c r="B498" s="12" t="n"/>
      <c r="C498" s="6" t="n"/>
      <c r="D498" s="6" t="n"/>
      <c r="E498" s="13" t="n"/>
      <c r="F498" s="14" t="n"/>
      <c r="G498" s="12" t="n"/>
      <c r="H498" s="15">
        <f>IF($A498="","",IFERROR(VLOOKUP($A498,Clientes!$A$3:$C$1002,2,0),"NÃO CADASTRADO"))</f>
        <v/>
      </c>
      <c r="I498" s="16">
        <f>IF($A498="","",IFERROR(VLOOKUP($A498,Clientes!$A$3:$C$1002,3,0),"NÃO CADASTRADO"))</f>
        <v/>
      </c>
      <c r="J498" s="12">
        <f>IF($A498="","",IF($A498='Carteira do Cliente'!$B$4,COUNTIF($A$3:$A498,'Carteira do Cliente'!$B$4),""))</f>
        <v/>
      </c>
    </row>
    <row r="499">
      <c r="A499" s="3" t="n"/>
      <c r="B499" s="7" t="n"/>
      <c r="C499" s="4" t="n"/>
      <c r="D499" s="4" t="n"/>
      <c r="E499" s="8" t="n"/>
      <c r="F499" s="9" t="n"/>
      <c r="G499" s="7" t="n"/>
      <c r="H499" s="10">
        <f>IF($A499="","",IFERROR(VLOOKUP($A499,Clientes!$A$3:$C$1002,2,0),"NÃO CADASTRADO"))</f>
        <v/>
      </c>
      <c r="I499" s="11">
        <f>IF($A499="","",IFERROR(VLOOKUP($A499,Clientes!$A$3:$C$1002,3,0),"NÃO CADASTRADO"))</f>
        <v/>
      </c>
      <c r="J499" s="7">
        <f>IF($A499="","",IF($A499='Carteira do Cliente'!$B$4,COUNTIF($A$3:$A499,'Carteira do Cliente'!$B$4),""))</f>
        <v/>
      </c>
    </row>
    <row r="500">
      <c r="A500" s="5" t="n"/>
      <c r="B500" s="12" t="n"/>
      <c r="C500" s="6" t="n"/>
      <c r="D500" s="6" t="n"/>
      <c r="E500" s="13" t="n"/>
      <c r="F500" s="14" t="n"/>
      <c r="G500" s="12" t="n"/>
      <c r="H500" s="15">
        <f>IF($A500="","",IFERROR(VLOOKUP($A500,Clientes!$A$3:$C$1002,2,0),"NÃO CADASTRADO"))</f>
        <v/>
      </c>
      <c r="I500" s="16">
        <f>IF($A500="","",IFERROR(VLOOKUP($A500,Clientes!$A$3:$C$1002,3,0),"NÃO CADASTRADO"))</f>
        <v/>
      </c>
      <c r="J500" s="12">
        <f>IF($A500="","",IF($A500='Carteira do Cliente'!$B$4,COUNTIF($A$3:$A500,'Carteira do Cliente'!$B$4),""))</f>
        <v/>
      </c>
    </row>
    <row r="501">
      <c r="A501" s="3" t="n"/>
      <c r="B501" s="7" t="n"/>
      <c r="C501" s="4" t="n"/>
      <c r="D501" s="4" t="n"/>
      <c r="E501" s="8" t="n"/>
      <c r="F501" s="9" t="n"/>
      <c r="G501" s="7" t="n"/>
      <c r="H501" s="10">
        <f>IF($A501="","",IFERROR(VLOOKUP($A501,Clientes!$A$3:$C$1002,2,0),"NÃO CADASTRADO"))</f>
        <v/>
      </c>
      <c r="I501" s="11">
        <f>IF($A501="","",IFERROR(VLOOKUP($A501,Clientes!$A$3:$C$1002,3,0),"NÃO CADASTRADO"))</f>
        <v/>
      </c>
      <c r="J501" s="7">
        <f>IF($A501="","",IF($A501='Carteira do Cliente'!$B$4,COUNTIF($A$3:$A501,'Carteira do Cliente'!$B$4),""))</f>
        <v/>
      </c>
    </row>
    <row r="502">
      <c r="A502" s="5" t="n"/>
      <c r="B502" s="12" t="n"/>
      <c r="C502" s="6" t="n"/>
      <c r="D502" s="6" t="n"/>
      <c r="E502" s="13" t="n"/>
      <c r="F502" s="14" t="n"/>
      <c r="G502" s="12" t="n"/>
      <c r="H502" s="15">
        <f>IF($A502="","",IFERROR(VLOOKUP($A502,Clientes!$A$3:$C$1002,2,0),"NÃO CADASTRADO"))</f>
        <v/>
      </c>
      <c r="I502" s="16">
        <f>IF($A502="","",IFERROR(VLOOKUP($A502,Clientes!$A$3:$C$1002,3,0),"NÃO CADASTRADO"))</f>
        <v/>
      </c>
      <c r="J502" s="12">
        <f>IF($A502="","",IF($A502='Carteira do Cliente'!$B$4,COUNTIF($A$3:$A502,'Carteira do Cliente'!$B$4),""))</f>
        <v/>
      </c>
    </row>
    <row r="503">
      <c r="A503" s="3" t="n"/>
      <c r="B503" s="7" t="n"/>
      <c r="C503" s="4" t="n"/>
      <c r="D503" s="4" t="n"/>
      <c r="E503" s="8" t="n"/>
      <c r="F503" s="9" t="n"/>
      <c r="G503" s="7" t="n"/>
      <c r="H503" s="10">
        <f>IF($A503="","",IFERROR(VLOOKUP($A503,Clientes!$A$3:$C$1002,2,0),"NÃO CADASTRADO"))</f>
        <v/>
      </c>
      <c r="I503" s="11">
        <f>IF($A503="","",IFERROR(VLOOKUP($A503,Clientes!$A$3:$C$1002,3,0),"NÃO CADASTRADO"))</f>
        <v/>
      </c>
      <c r="J503" s="7">
        <f>IF($A503="","",IF($A503='Carteira do Cliente'!$B$4,COUNTIF($A$3:$A503,'Carteira do Cliente'!$B$4),""))</f>
        <v/>
      </c>
    </row>
    <row r="504">
      <c r="A504" s="5" t="n"/>
      <c r="B504" s="12" t="n"/>
      <c r="C504" s="6" t="n"/>
      <c r="D504" s="6" t="n"/>
      <c r="E504" s="13" t="n"/>
      <c r="F504" s="14" t="n"/>
      <c r="G504" s="12" t="n"/>
      <c r="H504" s="15">
        <f>IF($A504="","",IFERROR(VLOOKUP($A504,Clientes!$A$3:$C$1002,2,0),"NÃO CADASTRADO"))</f>
        <v/>
      </c>
      <c r="I504" s="16">
        <f>IF($A504="","",IFERROR(VLOOKUP($A504,Clientes!$A$3:$C$1002,3,0),"NÃO CADASTRADO"))</f>
        <v/>
      </c>
      <c r="J504" s="12">
        <f>IF($A504="","",IF($A504='Carteira do Cliente'!$B$4,COUNTIF($A$3:$A504,'Carteira do Cliente'!$B$4),""))</f>
        <v/>
      </c>
    </row>
    <row r="505">
      <c r="A505" s="3" t="n"/>
      <c r="B505" s="7" t="n"/>
      <c r="C505" s="4" t="n"/>
      <c r="D505" s="4" t="n"/>
      <c r="E505" s="8" t="n"/>
      <c r="F505" s="9" t="n"/>
      <c r="G505" s="7" t="n"/>
      <c r="H505" s="10">
        <f>IF($A505="","",IFERROR(VLOOKUP($A505,Clientes!$A$3:$C$1002,2,0),"NÃO CADASTRADO"))</f>
        <v/>
      </c>
      <c r="I505" s="11">
        <f>IF($A505="","",IFERROR(VLOOKUP($A505,Clientes!$A$3:$C$1002,3,0),"NÃO CADASTRADO"))</f>
        <v/>
      </c>
      <c r="J505" s="7">
        <f>IF($A505="","",IF($A505='Carteira do Cliente'!$B$4,COUNTIF($A$3:$A505,'Carteira do Cliente'!$B$4),""))</f>
        <v/>
      </c>
    </row>
    <row r="506">
      <c r="A506" s="5" t="n"/>
      <c r="B506" s="12" t="n"/>
      <c r="C506" s="6" t="n"/>
      <c r="D506" s="6" t="n"/>
      <c r="E506" s="13" t="n"/>
      <c r="F506" s="14" t="n"/>
      <c r="G506" s="12" t="n"/>
      <c r="H506" s="15">
        <f>IF($A506="","",IFERROR(VLOOKUP($A506,Clientes!$A$3:$C$1002,2,0),"NÃO CADASTRADO"))</f>
        <v/>
      </c>
      <c r="I506" s="16">
        <f>IF($A506="","",IFERROR(VLOOKUP($A506,Clientes!$A$3:$C$1002,3,0),"NÃO CADASTRADO"))</f>
        <v/>
      </c>
      <c r="J506" s="12">
        <f>IF($A506="","",IF($A506='Carteira do Cliente'!$B$4,COUNTIF($A$3:$A506,'Carteira do Cliente'!$B$4),""))</f>
        <v/>
      </c>
    </row>
    <row r="507">
      <c r="A507" s="3" t="n"/>
      <c r="B507" s="7" t="n"/>
      <c r="C507" s="4" t="n"/>
      <c r="D507" s="4" t="n"/>
      <c r="E507" s="8" t="n"/>
      <c r="F507" s="9" t="n"/>
      <c r="G507" s="7" t="n"/>
      <c r="H507" s="10">
        <f>IF($A507="","",IFERROR(VLOOKUP($A507,Clientes!$A$3:$C$1002,2,0),"NÃO CADASTRADO"))</f>
        <v/>
      </c>
      <c r="I507" s="11">
        <f>IF($A507="","",IFERROR(VLOOKUP($A507,Clientes!$A$3:$C$1002,3,0),"NÃO CADASTRADO"))</f>
        <v/>
      </c>
      <c r="J507" s="7">
        <f>IF($A507="","",IF($A507='Carteira do Cliente'!$B$4,COUNTIF($A$3:$A507,'Carteira do Cliente'!$B$4),""))</f>
        <v/>
      </c>
    </row>
    <row r="508">
      <c r="A508" s="5" t="n"/>
      <c r="B508" s="12" t="n"/>
      <c r="C508" s="6" t="n"/>
      <c r="D508" s="6" t="n"/>
      <c r="E508" s="13" t="n"/>
      <c r="F508" s="14" t="n"/>
      <c r="G508" s="12" t="n"/>
      <c r="H508" s="15">
        <f>IF($A508="","",IFERROR(VLOOKUP($A508,Clientes!$A$3:$C$1002,2,0),"NÃO CADASTRADO"))</f>
        <v/>
      </c>
      <c r="I508" s="16">
        <f>IF($A508="","",IFERROR(VLOOKUP($A508,Clientes!$A$3:$C$1002,3,0),"NÃO CADASTRADO"))</f>
        <v/>
      </c>
      <c r="J508" s="12">
        <f>IF($A508="","",IF($A508='Carteira do Cliente'!$B$4,COUNTIF($A$3:$A508,'Carteira do Cliente'!$B$4),""))</f>
        <v/>
      </c>
    </row>
    <row r="509">
      <c r="A509" s="3" t="n"/>
      <c r="B509" s="7" t="n"/>
      <c r="C509" s="4" t="n"/>
      <c r="D509" s="4" t="n"/>
      <c r="E509" s="8" t="n"/>
      <c r="F509" s="9" t="n"/>
      <c r="G509" s="7" t="n"/>
      <c r="H509" s="10">
        <f>IF($A509="","",IFERROR(VLOOKUP($A509,Clientes!$A$3:$C$1002,2,0),"NÃO CADASTRADO"))</f>
        <v/>
      </c>
      <c r="I509" s="11">
        <f>IF($A509="","",IFERROR(VLOOKUP($A509,Clientes!$A$3:$C$1002,3,0),"NÃO CADASTRADO"))</f>
        <v/>
      </c>
      <c r="J509" s="7">
        <f>IF($A509="","",IF($A509='Carteira do Cliente'!$B$4,COUNTIF($A$3:$A509,'Carteira do Cliente'!$B$4),""))</f>
        <v/>
      </c>
    </row>
    <row r="510">
      <c r="A510" s="5" t="n"/>
      <c r="B510" s="12" t="n"/>
      <c r="C510" s="6" t="n"/>
      <c r="D510" s="6" t="n"/>
      <c r="E510" s="13" t="n"/>
      <c r="F510" s="14" t="n"/>
      <c r="G510" s="12" t="n"/>
      <c r="H510" s="15">
        <f>IF($A510="","",IFERROR(VLOOKUP($A510,Clientes!$A$3:$C$1002,2,0),"NÃO CADASTRADO"))</f>
        <v/>
      </c>
      <c r="I510" s="16">
        <f>IF($A510="","",IFERROR(VLOOKUP($A510,Clientes!$A$3:$C$1002,3,0),"NÃO CADASTRADO"))</f>
        <v/>
      </c>
      <c r="J510" s="12">
        <f>IF($A510="","",IF($A510='Carteira do Cliente'!$B$4,COUNTIF($A$3:$A510,'Carteira do Cliente'!$B$4),""))</f>
        <v/>
      </c>
    </row>
    <row r="511">
      <c r="A511" s="3" t="n"/>
      <c r="B511" s="7" t="n"/>
      <c r="C511" s="4" t="n"/>
      <c r="D511" s="4" t="n"/>
      <c r="E511" s="8" t="n"/>
      <c r="F511" s="9" t="n"/>
      <c r="G511" s="7" t="n"/>
      <c r="H511" s="10">
        <f>IF($A511="","",IFERROR(VLOOKUP($A511,Clientes!$A$3:$C$1002,2,0),"NÃO CADASTRADO"))</f>
        <v/>
      </c>
      <c r="I511" s="11">
        <f>IF($A511="","",IFERROR(VLOOKUP($A511,Clientes!$A$3:$C$1002,3,0),"NÃO CADASTRADO"))</f>
        <v/>
      </c>
      <c r="J511" s="7">
        <f>IF($A511="","",IF($A511='Carteira do Cliente'!$B$4,COUNTIF($A$3:$A511,'Carteira do Cliente'!$B$4),""))</f>
        <v/>
      </c>
    </row>
    <row r="512">
      <c r="A512" s="5" t="n"/>
      <c r="B512" s="12" t="n"/>
      <c r="C512" s="6" t="n"/>
      <c r="D512" s="6" t="n"/>
      <c r="E512" s="13" t="n"/>
      <c r="F512" s="14" t="n"/>
      <c r="G512" s="12" t="n"/>
      <c r="H512" s="15">
        <f>IF($A512="","",IFERROR(VLOOKUP($A512,Clientes!$A$3:$C$1002,2,0),"NÃO CADASTRADO"))</f>
        <v/>
      </c>
      <c r="I512" s="16">
        <f>IF($A512="","",IFERROR(VLOOKUP($A512,Clientes!$A$3:$C$1002,3,0),"NÃO CADASTRADO"))</f>
        <v/>
      </c>
      <c r="J512" s="12">
        <f>IF($A512="","",IF($A512='Carteira do Cliente'!$B$4,COUNTIF($A$3:$A512,'Carteira do Cliente'!$B$4),""))</f>
        <v/>
      </c>
    </row>
    <row r="513">
      <c r="A513" s="3" t="n"/>
      <c r="B513" s="7" t="n"/>
      <c r="C513" s="4" t="n"/>
      <c r="D513" s="4" t="n"/>
      <c r="E513" s="8" t="n"/>
      <c r="F513" s="9" t="n"/>
      <c r="G513" s="7" t="n"/>
      <c r="H513" s="10">
        <f>IF($A513="","",IFERROR(VLOOKUP($A513,Clientes!$A$3:$C$1002,2,0),"NÃO CADASTRADO"))</f>
        <v/>
      </c>
      <c r="I513" s="11">
        <f>IF($A513="","",IFERROR(VLOOKUP($A513,Clientes!$A$3:$C$1002,3,0),"NÃO CADASTRADO"))</f>
        <v/>
      </c>
      <c r="J513" s="7">
        <f>IF($A513="","",IF($A513='Carteira do Cliente'!$B$4,COUNTIF($A$3:$A513,'Carteira do Cliente'!$B$4),""))</f>
        <v/>
      </c>
    </row>
    <row r="514">
      <c r="A514" s="5" t="n"/>
      <c r="B514" s="12" t="n"/>
      <c r="C514" s="6" t="n"/>
      <c r="D514" s="6" t="n"/>
      <c r="E514" s="13" t="n"/>
      <c r="F514" s="14" t="n"/>
      <c r="G514" s="12" t="n"/>
      <c r="H514" s="15">
        <f>IF($A514="","",IFERROR(VLOOKUP($A514,Clientes!$A$3:$C$1002,2,0),"NÃO CADASTRADO"))</f>
        <v/>
      </c>
      <c r="I514" s="16">
        <f>IF($A514="","",IFERROR(VLOOKUP($A514,Clientes!$A$3:$C$1002,3,0),"NÃO CADASTRADO"))</f>
        <v/>
      </c>
      <c r="J514" s="12">
        <f>IF($A514="","",IF($A514='Carteira do Cliente'!$B$4,COUNTIF($A$3:$A514,'Carteira do Cliente'!$B$4),""))</f>
        <v/>
      </c>
    </row>
    <row r="515">
      <c r="A515" s="3" t="n"/>
      <c r="B515" s="7" t="n"/>
      <c r="C515" s="4" t="n"/>
      <c r="D515" s="4" t="n"/>
      <c r="E515" s="8" t="n"/>
      <c r="F515" s="9" t="n"/>
      <c r="G515" s="7" t="n"/>
      <c r="H515" s="10">
        <f>IF($A515="","",IFERROR(VLOOKUP($A515,Clientes!$A$3:$C$1002,2,0),"NÃO CADASTRADO"))</f>
        <v/>
      </c>
      <c r="I515" s="11">
        <f>IF($A515="","",IFERROR(VLOOKUP($A515,Clientes!$A$3:$C$1002,3,0),"NÃO CADASTRADO"))</f>
        <v/>
      </c>
      <c r="J515" s="7">
        <f>IF($A515="","",IF($A515='Carteira do Cliente'!$B$4,COUNTIF($A$3:$A515,'Carteira do Cliente'!$B$4),""))</f>
        <v/>
      </c>
    </row>
    <row r="516">
      <c r="A516" s="5" t="n"/>
      <c r="B516" s="12" t="n"/>
      <c r="C516" s="6" t="n"/>
      <c r="D516" s="6" t="n"/>
      <c r="E516" s="13" t="n"/>
      <c r="F516" s="14" t="n"/>
      <c r="G516" s="12" t="n"/>
      <c r="H516" s="15">
        <f>IF($A516="","",IFERROR(VLOOKUP($A516,Clientes!$A$3:$C$1002,2,0),"NÃO CADASTRADO"))</f>
        <v/>
      </c>
      <c r="I516" s="16">
        <f>IF($A516="","",IFERROR(VLOOKUP($A516,Clientes!$A$3:$C$1002,3,0),"NÃO CADASTRADO"))</f>
        <v/>
      </c>
      <c r="J516" s="12">
        <f>IF($A516="","",IF($A516='Carteira do Cliente'!$B$4,COUNTIF($A$3:$A516,'Carteira do Cliente'!$B$4),""))</f>
        <v/>
      </c>
    </row>
    <row r="517">
      <c r="A517" s="3" t="n"/>
      <c r="B517" s="7" t="n"/>
      <c r="C517" s="4" t="n"/>
      <c r="D517" s="4" t="n"/>
      <c r="E517" s="8" t="n"/>
      <c r="F517" s="9" t="n"/>
      <c r="G517" s="7" t="n"/>
      <c r="H517" s="10">
        <f>IF($A517="","",IFERROR(VLOOKUP($A517,Clientes!$A$3:$C$1002,2,0),"NÃO CADASTRADO"))</f>
        <v/>
      </c>
      <c r="I517" s="11">
        <f>IF($A517="","",IFERROR(VLOOKUP($A517,Clientes!$A$3:$C$1002,3,0),"NÃO CADASTRADO"))</f>
        <v/>
      </c>
      <c r="J517" s="7">
        <f>IF($A517="","",IF($A517='Carteira do Cliente'!$B$4,COUNTIF($A$3:$A517,'Carteira do Cliente'!$B$4),""))</f>
        <v/>
      </c>
    </row>
    <row r="518">
      <c r="A518" s="5" t="n"/>
      <c r="B518" s="12" t="n"/>
      <c r="C518" s="6" t="n"/>
      <c r="D518" s="6" t="n"/>
      <c r="E518" s="13" t="n"/>
      <c r="F518" s="14" t="n"/>
      <c r="G518" s="12" t="n"/>
      <c r="H518" s="15">
        <f>IF($A518="","",IFERROR(VLOOKUP($A518,Clientes!$A$3:$C$1002,2,0),"NÃO CADASTRADO"))</f>
        <v/>
      </c>
      <c r="I518" s="16">
        <f>IF($A518="","",IFERROR(VLOOKUP($A518,Clientes!$A$3:$C$1002,3,0),"NÃO CADASTRADO"))</f>
        <v/>
      </c>
      <c r="J518" s="12">
        <f>IF($A518="","",IF($A518='Carteira do Cliente'!$B$4,COUNTIF($A$3:$A518,'Carteira do Cliente'!$B$4),""))</f>
        <v/>
      </c>
    </row>
    <row r="519">
      <c r="A519" s="3" t="n"/>
      <c r="B519" s="7" t="n"/>
      <c r="C519" s="4" t="n"/>
      <c r="D519" s="4" t="n"/>
      <c r="E519" s="8" t="n"/>
      <c r="F519" s="9" t="n"/>
      <c r="G519" s="7" t="n"/>
      <c r="H519" s="10">
        <f>IF($A519="","",IFERROR(VLOOKUP($A519,Clientes!$A$3:$C$1002,2,0),"NÃO CADASTRADO"))</f>
        <v/>
      </c>
      <c r="I519" s="11">
        <f>IF($A519="","",IFERROR(VLOOKUP($A519,Clientes!$A$3:$C$1002,3,0),"NÃO CADASTRADO"))</f>
        <v/>
      </c>
      <c r="J519" s="7">
        <f>IF($A519="","",IF($A519='Carteira do Cliente'!$B$4,COUNTIF($A$3:$A519,'Carteira do Cliente'!$B$4),""))</f>
        <v/>
      </c>
    </row>
    <row r="520">
      <c r="A520" s="5" t="n"/>
      <c r="B520" s="12" t="n"/>
      <c r="C520" s="6" t="n"/>
      <c r="D520" s="6" t="n"/>
      <c r="E520" s="13" t="n"/>
      <c r="F520" s="14" t="n"/>
      <c r="G520" s="12" t="n"/>
      <c r="H520" s="15">
        <f>IF($A520="","",IFERROR(VLOOKUP($A520,Clientes!$A$3:$C$1002,2,0),"NÃO CADASTRADO"))</f>
        <v/>
      </c>
      <c r="I520" s="16">
        <f>IF($A520="","",IFERROR(VLOOKUP($A520,Clientes!$A$3:$C$1002,3,0),"NÃO CADASTRADO"))</f>
        <v/>
      </c>
      <c r="J520" s="12">
        <f>IF($A520="","",IF($A520='Carteira do Cliente'!$B$4,COUNTIF($A$3:$A520,'Carteira do Cliente'!$B$4),""))</f>
        <v/>
      </c>
    </row>
    <row r="521">
      <c r="A521" s="3" t="n"/>
      <c r="B521" s="7" t="n"/>
      <c r="C521" s="4" t="n"/>
      <c r="D521" s="4" t="n"/>
      <c r="E521" s="8" t="n"/>
      <c r="F521" s="9" t="n"/>
      <c r="G521" s="7" t="n"/>
      <c r="H521" s="10">
        <f>IF($A521="","",IFERROR(VLOOKUP($A521,Clientes!$A$3:$C$1002,2,0),"NÃO CADASTRADO"))</f>
        <v/>
      </c>
      <c r="I521" s="11">
        <f>IF($A521="","",IFERROR(VLOOKUP($A521,Clientes!$A$3:$C$1002,3,0),"NÃO CADASTRADO"))</f>
        <v/>
      </c>
      <c r="J521" s="7">
        <f>IF($A521="","",IF($A521='Carteira do Cliente'!$B$4,COUNTIF($A$3:$A521,'Carteira do Cliente'!$B$4),""))</f>
        <v/>
      </c>
    </row>
    <row r="522">
      <c r="A522" s="5" t="n"/>
      <c r="B522" s="12" t="n"/>
      <c r="C522" s="6" t="n"/>
      <c r="D522" s="6" t="n"/>
      <c r="E522" s="13" t="n"/>
      <c r="F522" s="14" t="n"/>
      <c r="G522" s="12" t="n"/>
      <c r="H522" s="15">
        <f>IF($A522="","",IFERROR(VLOOKUP($A522,Clientes!$A$3:$C$1002,2,0),"NÃO CADASTRADO"))</f>
        <v/>
      </c>
      <c r="I522" s="16">
        <f>IF($A522="","",IFERROR(VLOOKUP($A522,Clientes!$A$3:$C$1002,3,0),"NÃO CADASTRADO"))</f>
        <v/>
      </c>
      <c r="J522" s="12">
        <f>IF($A522="","",IF($A522='Carteira do Cliente'!$B$4,COUNTIF($A$3:$A522,'Carteira do Cliente'!$B$4),""))</f>
        <v/>
      </c>
    </row>
    <row r="523">
      <c r="A523" s="3" t="n"/>
      <c r="B523" s="7" t="n"/>
      <c r="C523" s="4" t="n"/>
      <c r="D523" s="4" t="n"/>
      <c r="E523" s="8" t="n"/>
      <c r="F523" s="9" t="n"/>
      <c r="G523" s="7" t="n"/>
      <c r="H523" s="10">
        <f>IF($A523="","",IFERROR(VLOOKUP($A523,Clientes!$A$3:$C$1002,2,0),"NÃO CADASTRADO"))</f>
        <v/>
      </c>
      <c r="I523" s="11">
        <f>IF($A523="","",IFERROR(VLOOKUP($A523,Clientes!$A$3:$C$1002,3,0),"NÃO CADASTRADO"))</f>
        <v/>
      </c>
      <c r="J523" s="7">
        <f>IF($A523="","",IF($A523='Carteira do Cliente'!$B$4,COUNTIF($A$3:$A523,'Carteira do Cliente'!$B$4),""))</f>
        <v/>
      </c>
    </row>
    <row r="524">
      <c r="A524" s="5" t="n"/>
      <c r="B524" s="12" t="n"/>
      <c r="C524" s="6" t="n"/>
      <c r="D524" s="6" t="n"/>
      <c r="E524" s="13" t="n"/>
      <c r="F524" s="14" t="n"/>
      <c r="G524" s="12" t="n"/>
      <c r="H524" s="15">
        <f>IF($A524="","",IFERROR(VLOOKUP($A524,Clientes!$A$3:$C$1002,2,0),"NÃO CADASTRADO"))</f>
        <v/>
      </c>
      <c r="I524" s="16">
        <f>IF($A524="","",IFERROR(VLOOKUP($A524,Clientes!$A$3:$C$1002,3,0),"NÃO CADASTRADO"))</f>
        <v/>
      </c>
      <c r="J524" s="12">
        <f>IF($A524="","",IF($A524='Carteira do Cliente'!$B$4,COUNTIF($A$3:$A524,'Carteira do Cliente'!$B$4),""))</f>
        <v/>
      </c>
    </row>
    <row r="525">
      <c r="A525" s="3" t="n"/>
      <c r="B525" s="7" t="n"/>
      <c r="C525" s="4" t="n"/>
      <c r="D525" s="4" t="n"/>
      <c r="E525" s="8" t="n"/>
      <c r="F525" s="9" t="n"/>
      <c r="G525" s="7" t="n"/>
      <c r="H525" s="10">
        <f>IF($A525="","",IFERROR(VLOOKUP($A525,Clientes!$A$3:$C$1002,2,0),"NÃO CADASTRADO"))</f>
        <v/>
      </c>
      <c r="I525" s="11">
        <f>IF($A525="","",IFERROR(VLOOKUP($A525,Clientes!$A$3:$C$1002,3,0),"NÃO CADASTRADO"))</f>
        <v/>
      </c>
      <c r="J525" s="7">
        <f>IF($A525="","",IF($A525='Carteira do Cliente'!$B$4,COUNTIF($A$3:$A525,'Carteira do Cliente'!$B$4),""))</f>
        <v/>
      </c>
    </row>
    <row r="526">
      <c r="A526" s="5" t="n"/>
      <c r="B526" s="12" t="n"/>
      <c r="C526" s="6" t="n"/>
      <c r="D526" s="6" t="n"/>
      <c r="E526" s="13" t="n"/>
      <c r="F526" s="14" t="n"/>
      <c r="G526" s="12" t="n"/>
      <c r="H526" s="15">
        <f>IF($A526="","",IFERROR(VLOOKUP($A526,Clientes!$A$3:$C$1002,2,0),"NÃO CADASTRADO"))</f>
        <v/>
      </c>
      <c r="I526" s="16">
        <f>IF($A526="","",IFERROR(VLOOKUP($A526,Clientes!$A$3:$C$1002,3,0),"NÃO CADASTRADO"))</f>
        <v/>
      </c>
      <c r="J526" s="12">
        <f>IF($A526="","",IF($A526='Carteira do Cliente'!$B$4,COUNTIF($A$3:$A526,'Carteira do Cliente'!$B$4),""))</f>
        <v/>
      </c>
    </row>
    <row r="527">
      <c r="A527" s="3" t="n"/>
      <c r="B527" s="7" t="n"/>
      <c r="C527" s="4" t="n"/>
      <c r="D527" s="4" t="n"/>
      <c r="E527" s="8" t="n"/>
      <c r="F527" s="9" t="n"/>
      <c r="G527" s="7" t="n"/>
      <c r="H527" s="10">
        <f>IF($A527="","",IFERROR(VLOOKUP($A527,Clientes!$A$3:$C$1002,2,0),"NÃO CADASTRADO"))</f>
        <v/>
      </c>
      <c r="I527" s="11">
        <f>IF($A527="","",IFERROR(VLOOKUP($A527,Clientes!$A$3:$C$1002,3,0),"NÃO CADASTRADO"))</f>
        <v/>
      </c>
      <c r="J527" s="7">
        <f>IF($A527="","",IF($A527='Carteira do Cliente'!$B$4,COUNTIF($A$3:$A527,'Carteira do Cliente'!$B$4),""))</f>
        <v/>
      </c>
    </row>
    <row r="528">
      <c r="A528" s="5" t="n"/>
      <c r="B528" s="12" t="n"/>
      <c r="C528" s="6" t="n"/>
      <c r="D528" s="6" t="n"/>
      <c r="E528" s="13" t="n"/>
      <c r="F528" s="14" t="n"/>
      <c r="G528" s="12" t="n"/>
      <c r="H528" s="15">
        <f>IF($A528="","",IFERROR(VLOOKUP($A528,Clientes!$A$3:$C$1002,2,0),"NÃO CADASTRADO"))</f>
        <v/>
      </c>
      <c r="I528" s="16">
        <f>IF($A528="","",IFERROR(VLOOKUP($A528,Clientes!$A$3:$C$1002,3,0),"NÃO CADASTRADO"))</f>
        <v/>
      </c>
      <c r="J528" s="12">
        <f>IF($A528="","",IF($A528='Carteira do Cliente'!$B$4,COUNTIF($A$3:$A528,'Carteira do Cliente'!$B$4),""))</f>
        <v/>
      </c>
    </row>
    <row r="529">
      <c r="A529" s="3" t="n"/>
      <c r="B529" s="7" t="n"/>
      <c r="C529" s="4" t="n"/>
      <c r="D529" s="4" t="n"/>
      <c r="E529" s="8" t="n"/>
      <c r="F529" s="9" t="n"/>
      <c r="G529" s="7" t="n"/>
      <c r="H529" s="10">
        <f>IF($A529="","",IFERROR(VLOOKUP($A529,Clientes!$A$3:$C$1002,2,0),"NÃO CADASTRADO"))</f>
        <v/>
      </c>
      <c r="I529" s="11">
        <f>IF($A529="","",IFERROR(VLOOKUP($A529,Clientes!$A$3:$C$1002,3,0),"NÃO CADASTRADO"))</f>
        <v/>
      </c>
      <c r="J529" s="7">
        <f>IF($A529="","",IF($A529='Carteira do Cliente'!$B$4,COUNTIF($A$3:$A529,'Carteira do Cliente'!$B$4),""))</f>
        <v/>
      </c>
    </row>
    <row r="530">
      <c r="A530" s="5" t="n"/>
      <c r="B530" s="12" t="n"/>
      <c r="C530" s="6" t="n"/>
      <c r="D530" s="6" t="n"/>
      <c r="E530" s="13" t="n"/>
      <c r="F530" s="14" t="n"/>
      <c r="G530" s="12" t="n"/>
      <c r="H530" s="15">
        <f>IF($A530="","",IFERROR(VLOOKUP($A530,Clientes!$A$3:$C$1002,2,0),"NÃO CADASTRADO"))</f>
        <v/>
      </c>
      <c r="I530" s="16">
        <f>IF($A530="","",IFERROR(VLOOKUP($A530,Clientes!$A$3:$C$1002,3,0),"NÃO CADASTRADO"))</f>
        <v/>
      </c>
      <c r="J530" s="12">
        <f>IF($A530="","",IF($A530='Carteira do Cliente'!$B$4,COUNTIF($A$3:$A530,'Carteira do Cliente'!$B$4),""))</f>
        <v/>
      </c>
    </row>
    <row r="531">
      <c r="A531" s="3" t="n"/>
      <c r="B531" s="7" t="n"/>
      <c r="C531" s="4" t="n"/>
      <c r="D531" s="4" t="n"/>
      <c r="E531" s="8" t="n"/>
      <c r="F531" s="9" t="n"/>
      <c r="G531" s="7" t="n"/>
      <c r="H531" s="10">
        <f>IF($A531="","",IFERROR(VLOOKUP($A531,Clientes!$A$3:$C$1002,2,0),"NÃO CADASTRADO"))</f>
        <v/>
      </c>
      <c r="I531" s="11">
        <f>IF($A531="","",IFERROR(VLOOKUP($A531,Clientes!$A$3:$C$1002,3,0),"NÃO CADASTRADO"))</f>
        <v/>
      </c>
      <c r="J531" s="7">
        <f>IF($A531="","",IF($A531='Carteira do Cliente'!$B$4,COUNTIF($A$3:$A531,'Carteira do Cliente'!$B$4),""))</f>
        <v/>
      </c>
    </row>
    <row r="532">
      <c r="A532" s="5" t="n"/>
      <c r="B532" s="12" t="n"/>
      <c r="C532" s="6" t="n"/>
      <c r="D532" s="6" t="n"/>
      <c r="E532" s="13" t="n"/>
      <c r="F532" s="14" t="n"/>
      <c r="G532" s="12" t="n"/>
      <c r="H532" s="15">
        <f>IF($A532="","",IFERROR(VLOOKUP($A532,Clientes!$A$3:$C$1002,2,0),"NÃO CADASTRADO"))</f>
        <v/>
      </c>
      <c r="I532" s="16">
        <f>IF($A532="","",IFERROR(VLOOKUP($A532,Clientes!$A$3:$C$1002,3,0),"NÃO CADASTRADO"))</f>
        <v/>
      </c>
      <c r="J532" s="12">
        <f>IF($A532="","",IF($A532='Carteira do Cliente'!$B$4,COUNTIF($A$3:$A532,'Carteira do Cliente'!$B$4),""))</f>
        <v/>
      </c>
    </row>
    <row r="533">
      <c r="A533" s="3" t="n"/>
      <c r="B533" s="7" t="n"/>
      <c r="C533" s="4" t="n"/>
      <c r="D533" s="4" t="n"/>
      <c r="E533" s="8" t="n"/>
      <c r="F533" s="9" t="n"/>
      <c r="G533" s="7" t="n"/>
      <c r="H533" s="10">
        <f>IF($A533="","",IFERROR(VLOOKUP($A533,Clientes!$A$3:$C$1002,2,0),"NÃO CADASTRADO"))</f>
        <v/>
      </c>
      <c r="I533" s="11">
        <f>IF($A533="","",IFERROR(VLOOKUP($A533,Clientes!$A$3:$C$1002,3,0),"NÃO CADASTRADO"))</f>
        <v/>
      </c>
      <c r="J533" s="7">
        <f>IF($A533="","",IF($A533='Carteira do Cliente'!$B$4,COUNTIF($A$3:$A533,'Carteira do Cliente'!$B$4),""))</f>
        <v/>
      </c>
    </row>
    <row r="534">
      <c r="A534" s="5" t="n"/>
      <c r="B534" s="12" t="n"/>
      <c r="C534" s="6" t="n"/>
      <c r="D534" s="6" t="n"/>
      <c r="E534" s="13" t="n"/>
      <c r="F534" s="14" t="n"/>
      <c r="G534" s="12" t="n"/>
      <c r="H534" s="15">
        <f>IF($A534="","",IFERROR(VLOOKUP($A534,Clientes!$A$3:$C$1002,2,0),"NÃO CADASTRADO"))</f>
        <v/>
      </c>
      <c r="I534" s="16">
        <f>IF($A534="","",IFERROR(VLOOKUP($A534,Clientes!$A$3:$C$1002,3,0),"NÃO CADASTRADO"))</f>
        <v/>
      </c>
      <c r="J534" s="12">
        <f>IF($A534="","",IF($A534='Carteira do Cliente'!$B$4,COUNTIF($A$3:$A534,'Carteira do Cliente'!$B$4),""))</f>
        <v/>
      </c>
    </row>
    <row r="535">
      <c r="A535" s="3" t="n"/>
      <c r="B535" s="7" t="n"/>
      <c r="C535" s="4" t="n"/>
      <c r="D535" s="4" t="n"/>
      <c r="E535" s="8" t="n"/>
      <c r="F535" s="9" t="n"/>
      <c r="G535" s="7" t="n"/>
      <c r="H535" s="10">
        <f>IF($A535="","",IFERROR(VLOOKUP($A535,Clientes!$A$3:$C$1002,2,0),"NÃO CADASTRADO"))</f>
        <v/>
      </c>
      <c r="I535" s="11">
        <f>IF($A535="","",IFERROR(VLOOKUP($A535,Clientes!$A$3:$C$1002,3,0),"NÃO CADASTRADO"))</f>
        <v/>
      </c>
      <c r="J535" s="7">
        <f>IF($A535="","",IF($A535='Carteira do Cliente'!$B$4,COUNTIF($A$3:$A535,'Carteira do Cliente'!$B$4),""))</f>
        <v/>
      </c>
    </row>
    <row r="536">
      <c r="A536" s="5" t="n"/>
      <c r="B536" s="12" t="n"/>
      <c r="C536" s="6" t="n"/>
      <c r="D536" s="6" t="n"/>
      <c r="E536" s="13" t="n"/>
      <c r="F536" s="14" t="n"/>
      <c r="G536" s="12" t="n"/>
      <c r="H536" s="15">
        <f>IF($A536="","",IFERROR(VLOOKUP($A536,Clientes!$A$3:$C$1002,2,0),"NÃO CADASTRADO"))</f>
        <v/>
      </c>
      <c r="I536" s="16">
        <f>IF($A536="","",IFERROR(VLOOKUP($A536,Clientes!$A$3:$C$1002,3,0),"NÃO CADASTRADO"))</f>
        <v/>
      </c>
      <c r="J536" s="12">
        <f>IF($A536="","",IF($A536='Carteira do Cliente'!$B$4,COUNTIF($A$3:$A536,'Carteira do Cliente'!$B$4),""))</f>
        <v/>
      </c>
    </row>
    <row r="537">
      <c r="A537" s="3" t="n"/>
      <c r="B537" s="7" t="n"/>
      <c r="C537" s="4" t="n"/>
      <c r="D537" s="4" t="n"/>
      <c r="E537" s="8" t="n"/>
      <c r="F537" s="9" t="n"/>
      <c r="G537" s="7" t="n"/>
      <c r="H537" s="10">
        <f>IF($A537="","",IFERROR(VLOOKUP($A537,Clientes!$A$3:$C$1002,2,0),"NÃO CADASTRADO"))</f>
        <v/>
      </c>
      <c r="I537" s="11">
        <f>IF($A537="","",IFERROR(VLOOKUP($A537,Clientes!$A$3:$C$1002,3,0),"NÃO CADASTRADO"))</f>
        <v/>
      </c>
      <c r="J537" s="7">
        <f>IF($A537="","",IF($A537='Carteira do Cliente'!$B$4,COUNTIF($A$3:$A537,'Carteira do Cliente'!$B$4),""))</f>
        <v/>
      </c>
    </row>
    <row r="538">
      <c r="A538" s="5" t="n"/>
      <c r="B538" s="12" t="n"/>
      <c r="C538" s="6" t="n"/>
      <c r="D538" s="6" t="n"/>
      <c r="E538" s="13" t="n"/>
      <c r="F538" s="14" t="n"/>
      <c r="G538" s="12" t="n"/>
      <c r="H538" s="15">
        <f>IF($A538="","",IFERROR(VLOOKUP($A538,Clientes!$A$3:$C$1002,2,0),"NÃO CADASTRADO"))</f>
        <v/>
      </c>
      <c r="I538" s="16">
        <f>IF($A538="","",IFERROR(VLOOKUP($A538,Clientes!$A$3:$C$1002,3,0),"NÃO CADASTRADO"))</f>
        <v/>
      </c>
      <c r="J538" s="12">
        <f>IF($A538="","",IF($A538='Carteira do Cliente'!$B$4,COUNTIF($A$3:$A538,'Carteira do Cliente'!$B$4),""))</f>
        <v/>
      </c>
    </row>
    <row r="539">
      <c r="A539" s="3" t="n"/>
      <c r="B539" s="7" t="n"/>
      <c r="C539" s="4" t="n"/>
      <c r="D539" s="4" t="n"/>
      <c r="E539" s="8" t="n"/>
      <c r="F539" s="9" t="n"/>
      <c r="G539" s="7" t="n"/>
      <c r="H539" s="10">
        <f>IF($A539="","",IFERROR(VLOOKUP($A539,Clientes!$A$3:$C$1002,2,0),"NÃO CADASTRADO"))</f>
        <v/>
      </c>
      <c r="I539" s="11">
        <f>IF($A539="","",IFERROR(VLOOKUP($A539,Clientes!$A$3:$C$1002,3,0),"NÃO CADASTRADO"))</f>
        <v/>
      </c>
      <c r="J539" s="7">
        <f>IF($A539="","",IF($A539='Carteira do Cliente'!$B$4,COUNTIF($A$3:$A539,'Carteira do Cliente'!$B$4),""))</f>
        <v/>
      </c>
    </row>
    <row r="540">
      <c r="A540" s="5" t="n"/>
      <c r="B540" s="12" t="n"/>
      <c r="C540" s="6" t="n"/>
      <c r="D540" s="6" t="n"/>
      <c r="E540" s="13" t="n"/>
      <c r="F540" s="14" t="n"/>
      <c r="G540" s="12" t="n"/>
      <c r="H540" s="15">
        <f>IF($A540="","",IFERROR(VLOOKUP($A540,Clientes!$A$3:$C$1002,2,0),"NÃO CADASTRADO"))</f>
        <v/>
      </c>
      <c r="I540" s="16">
        <f>IF($A540="","",IFERROR(VLOOKUP($A540,Clientes!$A$3:$C$1002,3,0),"NÃO CADASTRADO"))</f>
        <v/>
      </c>
      <c r="J540" s="12">
        <f>IF($A540="","",IF($A540='Carteira do Cliente'!$B$4,COUNTIF($A$3:$A540,'Carteira do Cliente'!$B$4),""))</f>
        <v/>
      </c>
    </row>
    <row r="541">
      <c r="A541" s="3" t="n"/>
      <c r="B541" s="7" t="n"/>
      <c r="C541" s="4" t="n"/>
      <c r="D541" s="4" t="n"/>
      <c r="E541" s="8" t="n"/>
      <c r="F541" s="9" t="n"/>
      <c r="G541" s="7" t="n"/>
      <c r="H541" s="10">
        <f>IF($A541="","",IFERROR(VLOOKUP($A541,Clientes!$A$3:$C$1002,2,0),"NÃO CADASTRADO"))</f>
        <v/>
      </c>
      <c r="I541" s="11">
        <f>IF($A541="","",IFERROR(VLOOKUP($A541,Clientes!$A$3:$C$1002,3,0),"NÃO CADASTRADO"))</f>
        <v/>
      </c>
      <c r="J541" s="7">
        <f>IF($A541="","",IF($A541='Carteira do Cliente'!$B$4,COUNTIF($A$3:$A541,'Carteira do Cliente'!$B$4),""))</f>
        <v/>
      </c>
    </row>
    <row r="542">
      <c r="A542" s="5" t="n"/>
      <c r="B542" s="12" t="n"/>
      <c r="C542" s="6" t="n"/>
      <c r="D542" s="6" t="n"/>
      <c r="E542" s="13" t="n"/>
      <c r="F542" s="14" t="n"/>
      <c r="G542" s="12" t="n"/>
      <c r="H542" s="15">
        <f>IF($A542="","",IFERROR(VLOOKUP($A542,Clientes!$A$3:$C$1002,2,0),"NÃO CADASTRADO"))</f>
        <v/>
      </c>
      <c r="I542" s="16">
        <f>IF($A542="","",IFERROR(VLOOKUP($A542,Clientes!$A$3:$C$1002,3,0),"NÃO CADASTRADO"))</f>
        <v/>
      </c>
      <c r="J542" s="12">
        <f>IF($A542="","",IF($A542='Carteira do Cliente'!$B$4,COUNTIF($A$3:$A542,'Carteira do Cliente'!$B$4),""))</f>
        <v/>
      </c>
    </row>
    <row r="543">
      <c r="A543" s="3" t="n"/>
      <c r="B543" s="7" t="n"/>
      <c r="C543" s="4" t="n"/>
      <c r="D543" s="4" t="n"/>
      <c r="E543" s="8" t="n"/>
      <c r="F543" s="9" t="n"/>
      <c r="G543" s="7" t="n"/>
      <c r="H543" s="10">
        <f>IF($A543="","",IFERROR(VLOOKUP($A543,Clientes!$A$3:$C$1002,2,0),"NÃO CADASTRADO"))</f>
        <v/>
      </c>
      <c r="I543" s="11">
        <f>IF($A543="","",IFERROR(VLOOKUP($A543,Clientes!$A$3:$C$1002,3,0),"NÃO CADASTRADO"))</f>
        <v/>
      </c>
      <c r="J543" s="7">
        <f>IF($A543="","",IF($A543='Carteira do Cliente'!$B$4,COUNTIF($A$3:$A543,'Carteira do Cliente'!$B$4),""))</f>
        <v/>
      </c>
    </row>
    <row r="544">
      <c r="A544" s="5" t="n"/>
      <c r="B544" s="12" t="n"/>
      <c r="C544" s="6" t="n"/>
      <c r="D544" s="6" t="n"/>
      <c r="E544" s="13" t="n"/>
      <c r="F544" s="14" t="n"/>
      <c r="G544" s="12" t="n"/>
      <c r="H544" s="15">
        <f>IF($A544="","",IFERROR(VLOOKUP($A544,Clientes!$A$3:$C$1002,2,0),"NÃO CADASTRADO"))</f>
        <v/>
      </c>
      <c r="I544" s="16">
        <f>IF($A544="","",IFERROR(VLOOKUP($A544,Clientes!$A$3:$C$1002,3,0),"NÃO CADASTRADO"))</f>
        <v/>
      </c>
      <c r="J544" s="12">
        <f>IF($A544="","",IF($A544='Carteira do Cliente'!$B$4,COUNTIF($A$3:$A544,'Carteira do Cliente'!$B$4),""))</f>
        <v/>
      </c>
    </row>
    <row r="545">
      <c r="A545" s="3" t="n"/>
      <c r="B545" s="7" t="n"/>
      <c r="C545" s="4" t="n"/>
      <c r="D545" s="4" t="n"/>
      <c r="E545" s="8" t="n"/>
      <c r="F545" s="9" t="n"/>
      <c r="G545" s="7" t="n"/>
      <c r="H545" s="10">
        <f>IF($A545="","",IFERROR(VLOOKUP($A545,Clientes!$A$3:$C$1002,2,0),"NÃO CADASTRADO"))</f>
        <v/>
      </c>
      <c r="I545" s="11">
        <f>IF($A545="","",IFERROR(VLOOKUP($A545,Clientes!$A$3:$C$1002,3,0),"NÃO CADASTRADO"))</f>
        <v/>
      </c>
      <c r="J545" s="7">
        <f>IF($A545="","",IF($A545='Carteira do Cliente'!$B$4,COUNTIF($A$3:$A545,'Carteira do Cliente'!$B$4),""))</f>
        <v/>
      </c>
    </row>
    <row r="546">
      <c r="A546" s="5" t="n"/>
      <c r="B546" s="12" t="n"/>
      <c r="C546" s="6" t="n"/>
      <c r="D546" s="6" t="n"/>
      <c r="E546" s="13" t="n"/>
      <c r="F546" s="14" t="n"/>
      <c r="G546" s="12" t="n"/>
      <c r="H546" s="15">
        <f>IF($A546="","",IFERROR(VLOOKUP($A546,Clientes!$A$3:$C$1002,2,0),"NÃO CADASTRADO"))</f>
        <v/>
      </c>
      <c r="I546" s="16">
        <f>IF($A546="","",IFERROR(VLOOKUP($A546,Clientes!$A$3:$C$1002,3,0),"NÃO CADASTRADO"))</f>
        <v/>
      </c>
      <c r="J546" s="12">
        <f>IF($A546="","",IF($A546='Carteira do Cliente'!$B$4,COUNTIF($A$3:$A546,'Carteira do Cliente'!$B$4),""))</f>
        <v/>
      </c>
    </row>
    <row r="547">
      <c r="A547" s="3" t="n"/>
      <c r="B547" s="7" t="n"/>
      <c r="C547" s="4" t="n"/>
      <c r="D547" s="4" t="n"/>
      <c r="E547" s="8" t="n"/>
      <c r="F547" s="9" t="n"/>
      <c r="G547" s="7" t="n"/>
      <c r="H547" s="10">
        <f>IF($A547="","",IFERROR(VLOOKUP($A547,Clientes!$A$3:$C$1002,2,0),"NÃO CADASTRADO"))</f>
        <v/>
      </c>
      <c r="I547" s="11">
        <f>IF($A547="","",IFERROR(VLOOKUP($A547,Clientes!$A$3:$C$1002,3,0),"NÃO CADASTRADO"))</f>
        <v/>
      </c>
      <c r="J547" s="7">
        <f>IF($A547="","",IF($A547='Carteira do Cliente'!$B$4,COUNTIF($A$3:$A547,'Carteira do Cliente'!$B$4),""))</f>
        <v/>
      </c>
    </row>
    <row r="548">
      <c r="A548" s="5" t="n"/>
      <c r="B548" s="12" t="n"/>
      <c r="C548" s="6" t="n"/>
      <c r="D548" s="6" t="n"/>
      <c r="E548" s="13" t="n"/>
      <c r="F548" s="14" t="n"/>
      <c r="G548" s="12" t="n"/>
      <c r="H548" s="15">
        <f>IF($A548="","",IFERROR(VLOOKUP($A548,Clientes!$A$3:$C$1002,2,0),"NÃO CADASTRADO"))</f>
        <v/>
      </c>
      <c r="I548" s="16">
        <f>IF($A548="","",IFERROR(VLOOKUP($A548,Clientes!$A$3:$C$1002,3,0),"NÃO CADASTRADO"))</f>
        <v/>
      </c>
      <c r="J548" s="12">
        <f>IF($A548="","",IF($A548='Carteira do Cliente'!$B$4,COUNTIF($A$3:$A548,'Carteira do Cliente'!$B$4),""))</f>
        <v/>
      </c>
    </row>
    <row r="549">
      <c r="A549" s="3" t="n"/>
      <c r="B549" s="7" t="n"/>
      <c r="C549" s="4" t="n"/>
      <c r="D549" s="4" t="n"/>
      <c r="E549" s="8" t="n"/>
      <c r="F549" s="9" t="n"/>
      <c r="G549" s="7" t="n"/>
      <c r="H549" s="10">
        <f>IF($A549="","",IFERROR(VLOOKUP($A549,Clientes!$A$3:$C$1002,2,0),"NÃO CADASTRADO"))</f>
        <v/>
      </c>
      <c r="I549" s="11">
        <f>IF($A549="","",IFERROR(VLOOKUP($A549,Clientes!$A$3:$C$1002,3,0),"NÃO CADASTRADO"))</f>
        <v/>
      </c>
      <c r="J549" s="7">
        <f>IF($A549="","",IF($A549='Carteira do Cliente'!$B$4,COUNTIF($A$3:$A549,'Carteira do Cliente'!$B$4),""))</f>
        <v/>
      </c>
    </row>
    <row r="550">
      <c r="A550" s="5" t="n"/>
      <c r="B550" s="12" t="n"/>
      <c r="C550" s="6" t="n"/>
      <c r="D550" s="6" t="n"/>
      <c r="E550" s="13" t="n"/>
      <c r="F550" s="14" t="n"/>
      <c r="G550" s="12" t="n"/>
      <c r="H550" s="15">
        <f>IF($A550="","",IFERROR(VLOOKUP($A550,Clientes!$A$3:$C$1002,2,0),"NÃO CADASTRADO"))</f>
        <v/>
      </c>
      <c r="I550" s="16">
        <f>IF($A550="","",IFERROR(VLOOKUP($A550,Clientes!$A$3:$C$1002,3,0),"NÃO CADASTRADO"))</f>
        <v/>
      </c>
      <c r="J550" s="12">
        <f>IF($A550="","",IF($A550='Carteira do Cliente'!$B$4,COUNTIF($A$3:$A550,'Carteira do Cliente'!$B$4),""))</f>
        <v/>
      </c>
    </row>
    <row r="551">
      <c r="A551" s="3" t="n"/>
      <c r="B551" s="7" t="n"/>
      <c r="C551" s="4" t="n"/>
      <c r="D551" s="4" t="n"/>
      <c r="E551" s="8" t="n"/>
      <c r="F551" s="9" t="n"/>
      <c r="G551" s="7" t="n"/>
      <c r="H551" s="10">
        <f>IF($A551="","",IFERROR(VLOOKUP($A551,Clientes!$A$3:$C$1002,2,0),"NÃO CADASTRADO"))</f>
        <v/>
      </c>
      <c r="I551" s="11">
        <f>IF($A551="","",IFERROR(VLOOKUP($A551,Clientes!$A$3:$C$1002,3,0),"NÃO CADASTRADO"))</f>
        <v/>
      </c>
      <c r="J551" s="7">
        <f>IF($A551="","",IF($A551='Carteira do Cliente'!$B$4,COUNTIF($A$3:$A551,'Carteira do Cliente'!$B$4),""))</f>
        <v/>
      </c>
    </row>
    <row r="552">
      <c r="A552" s="5" t="n"/>
      <c r="B552" s="12" t="n"/>
      <c r="C552" s="6" t="n"/>
      <c r="D552" s="6" t="n"/>
      <c r="E552" s="13" t="n"/>
      <c r="F552" s="14" t="n"/>
      <c r="G552" s="12" t="n"/>
      <c r="H552" s="15">
        <f>IF($A552="","",IFERROR(VLOOKUP($A552,Clientes!$A$3:$C$1002,2,0),"NÃO CADASTRADO"))</f>
        <v/>
      </c>
      <c r="I552" s="16">
        <f>IF($A552="","",IFERROR(VLOOKUP($A552,Clientes!$A$3:$C$1002,3,0),"NÃO CADASTRADO"))</f>
        <v/>
      </c>
      <c r="J552" s="12">
        <f>IF($A552="","",IF($A552='Carteira do Cliente'!$B$4,COUNTIF($A$3:$A552,'Carteira do Cliente'!$B$4),""))</f>
        <v/>
      </c>
    </row>
    <row r="553">
      <c r="A553" s="3" t="n"/>
      <c r="B553" s="7" t="n"/>
      <c r="C553" s="4" t="n"/>
      <c r="D553" s="4" t="n"/>
      <c r="E553" s="8" t="n"/>
      <c r="F553" s="9" t="n"/>
      <c r="G553" s="7" t="n"/>
      <c r="H553" s="10">
        <f>IF($A553="","",IFERROR(VLOOKUP($A553,Clientes!$A$3:$C$1002,2,0),"NÃO CADASTRADO"))</f>
        <v/>
      </c>
      <c r="I553" s="11">
        <f>IF($A553="","",IFERROR(VLOOKUP($A553,Clientes!$A$3:$C$1002,3,0),"NÃO CADASTRADO"))</f>
        <v/>
      </c>
      <c r="J553" s="7">
        <f>IF($A553="","",IF($A553='Carteira do Cliente'!$B$4,COUNTIF($A$3:$A553,'Carteira do Cliente'!$B$4),""))</f>
        <v/>
      </c>
    </row>
    <row r="554">
      <c r="A554" s="5" t="n"/>
      <c r="B554" s="12" t="n"/>
      <c r="C554" s="6" t="n"/>
      <c r="D554" s="6" t="n"/>
      <c r="E554" s="13" t="n"/>
      <c r="F554" s="14" t="n"/>
      <c r="G554" s="12" t="n"/>
      <c r="H554" s="15">
        <f>IF($A554="","",IFERROR(VLOOKUP($A554,Clientes!$A$3:$C$1002,2,0),"NÃO CADASTRADO"))</f>
        <v/>
      </c>
      <c r="I554" s="16">
        <f>IF($A554="","",IFERROR(VLOOKUP($A554,Clientes!$A$3:$C$1002,3,0),"NÃO CADASTRADO"))</f>
        <v/>
      </c>
      <c r="J554" s="12">
        <f>IF($A554="","",IF($A554='Carteira do Cliente'!$B$4,COUNTIF($A$3:$A554,'Carteira do Cliente'!$B$4),""))</f>
        <v/>
      </c>
    </row>
    <row r="555">
      <c r="A555" s="3" t="n"/>
      <c r="B555" s="7" t="n"/>
      <c r="C555" s="4" t="n"/>
      <c r="D555" s="4" t="n"/>
      <c r="E555" s="8" t="n"/>
      <c r="F555" s="9" t="n"/>
      <c r="G555" s="7" t="n"/>
      <c r="H555" s="10">
        <f>IF($A555="","",IFERROR(VLOOKUP($A555,Clientes!$A$3:$C$1002,2,0),"NÃO CADASTRADO"))</f>
        <v/>
      </c>
      <c r="I555" s="11">
        <f>IF($A555="","",IFERROR(VLOOKUP($A555,Clientes!$A$3:$C$1002,3,0),"NÃO CADASTRADO"))</f>
        <v/>
      </c>
      <c r="J555" s="7">
        <f>IF($A555="","",IF($A555='Carteira do Cliente'!$B$4,COUNTIF($A$3:$A555,'Carteira do Cliente'!$B$4),""))</f>
        <v/>
      </c>
    </row>
    <row r="556">
      <c r="A556" s="5" t="n"/>
      <c r="B556" s="12" t="n"/>
      <c r="C556" s="6" t="n"/>
      <c r="D556" s="6" t="n"/>
      <c r="E556" s="13" t="n"/>
      <c r="F556" s="14" t="n"/>
      <c r="G556" s="12" t="n"/>
      <c r="H556" s="15">
        <f>IF($A556="","",IFERROR(VLOOKUP($A556,Clientes!$A$3:$C$1002,2,0),"NÃO CADASTRADO"))</f>
        <v/>
      </c>
      <c r="I556" s="16">
        <f>IF($A556="","",IFERROR(VLOOKUP($A556,Clientes!$A$3:$C$1002,3,0),"NÃO CADASTRADO"))</f>
        <v/>
      </c>
      <c r="J556" s="12">
        <f>IF($A556="","",IF($A556='Carteira do Cliente'!$B$4,COUNTIF($A$3:$A556,'Carteira do Cliente'!$B$4),""))</f>
        <v/>
      </c>
    </row>
    <row r="557">
      <c r="A557" s="3" t="n"/>
      <c r="B557" s="7" t="n"/>
      <c r="C557" s="4" t="n"/>
      <c r="D557" s="4" t="n"/>
      <c r="E557" s="8" t="n"/>
      <c r="F557" s="9" t="n"/>
      <c r="G557" s="7" t="n"/>
      <c r="H557" s="10">
        <f>IF($A557="","",IFERROR(VLOOKUP($A557,Clientes!$A$3:$C$1002,2,0),"NÃO CADASTRADO"))</f>
        <v/>
      </c>
      <c r="I557" s="11">
        <f>IF($A557="","",IFERROR(VLOOKUP($A557,Clientes!$A$3:$C$1002,3,0),"NÃO CADASTRADO"))</f>
        <v/>
      </c>
      <c r="J557" s="7">
        <f>IF($A557="","",IF($A557='Carteira do Cliente'!$B$4,COUNTIF($A$3:$A557,'Carteira do Cliente'!$B$4),""))</f>
        <v/>
      </c>
    </row>
    <row r="558">
      <c r="A558" s="5" t="n"/>
      <c r="B558" s="12" t="n"/>
      <c r="C558" s="6" t="n"/>
      <c r="D558" s="6" t="n"/>
      <c r="E558" s="13" t="n"/>
      <c r="F558" s="14" t="n"/>
      <c r="G558" s="12" t="n"/>
      <c r="H558" s="15">
        <f>IF($A558="","",IFERROR(VLOOKUP($A558,Clientes!$A$3:$C$1002,2,0),"NÃO CADASTRADO"))</f>
        <v/>
      </c>
      <c r="I558" s="16">
        <f>IF($A558="","",IFERROR(VLOOKUP($A558,Clientes!$A$3:$C$1002,3,0),"NÃO CADASTRADO"))</f>
        <v/>
      </c>
      <c r="J558" s="12">
        <f>IF($A558="","",IF($A558='Carteira do Cliente'!$B$4,COUNTIF($A$3:$A558,'Carteira do Cliente'!$B$4),""))</f>
        <v/>
      </c>
    </row>
    <row r="559">
      <c r="A559" s="3" t="n"/>
      <c r="B559" s="7" t="n"/>
      <c r="C559" s="4" t="n"/>
      <c r="D559" s="4" t="n"/>
      <c r="E559" s="8" t="n"/>
      <c r="F559" s="9" t="n"/>
      <c r="G559" s="7" t="n"/>
      <c r="H559" s="10">
        <f>IF($A559="","",IFERROR(VLOOKUP($A559,Clientes!$A$3:$C$1002,2,0),"NÃO CADASTRADO"))</f>
        <v/>
      </c>
      <c r="I559" s="11">
        <f>IF($A559="","",IFERROR(VLOOKUP($A559,Clientes!$A$3:$C$1002,3,0),"NÃO CADASTRADO"))</f>
        <v/>
      </c>
      <c r="J559" s="7">
        <f>IF($A559="","",IF($A559='Carteira do Cliente'!$B$4,COUNTIF($A$3:$A559,'Carteira do Cliente'!$B$4),""))</f>
        <v/>
      </c>
    </row>
    <row r="560">
      <c r="A560" s="5" t="n"/>
      <c r="B560" s="12" t="n"/>
      <c r="C560" s="6" t="n"/>
      <c r="D560" s="6" t="n"/>
      <c r="E560" s="13" t="n"/>
      <c r="F560" s="14" t="n"/>
      <c r="G560" s="12" t="n"/>
      <c r="H560" s="15">
        <f>IF($A560="","",IFERROR(VLOOKUP($A560,Clientes!$A$3:$C$1002,2,0),"NÃO CADASTRADO"))</f>
        <v/>
      </c>
      <c r="I560" s="16">
        <f>IF($A560="","",IFERROR(VLOOKUP($A560,Clientes!$A$3:$C$1002,3,0),"NÃO CADASTRADO"))</f>
        <v/>
      </c>
      <c r="J560" s="12">
        <f>IF($A560="","",IF($A560='Carteira do Cliente'!$B$4,COUNTIF($A$3:$A560,'Carteira do Cliente'!$B$4),""))</f>
        <v/>
      </c>
    </row>
    <row r="561">
      <c r="A561" s="3" t="n"/>
      <c r="B561" s="7" t="n"/>
      <c r="C561" s="4" t="n"/>
      <c r="D561" s="4" t="n"/>
      <c r="E561" s="8" t="n"/>
      <c r="F561" s="9" t="n"/>
      <c r="G561" s="7" t="n"/>
      <c r="H561" s="10">
        <f>IF($A561="","",IFERROR(VLOOKUP($A561,Clientes!$A$3:$C$1002,2,0),"NÃO CADASTRADO"))</f>
        <v/>
      </c>
      <c r="I561" s="11">
        <f>IF($A561="","",IFERROR(VLOOKUP($A561,Clientes!$A$3:$C$1002,3,0),"NÃO CADASTRADO"))</f>
        <v/>
      </c>
      <c r="J561" s="7">
        <f>IF($A561="","",IF($A561='Carteira do Cliente'!$B$4,COUNTIF($A$3:$A561,'Carteira do Cliente'!$B$4),""))</f>
        <v/>
      </c>
    </row>
    <row r="562">
      <c r="A562" s="5" t="n"/>
      <c r="B562" s="12" t="n"/>
      <c r="C562" s="6" t="n"/>
      <c r="D562" s="6" t="n"/>
      <c r="E562" s="13" t="n"/>
      <c r="F562" s="14" t="n"/>
      <c r="G562" s="12" t="n"/>
      <c r="H562" s="15">
        <f>IF($A562="","",IFERROR(VLOOKUP($A562,Clientes!$A$3:$C$1002,2,0),"NÃO CADASTRADO"))</f>
        <v/>
      </c>
      <c r="I562" s="16">
        <f>IF($A562="","",IFERROR(VLOOKUP($A562,Clientes!$A$3:$C$1002,3,0),"NÃO CADASTRADO"))</f>
        <v/>
      </c>
      <c r="J562" s="12">
        <f>IF($A562="","",IF($A562='Carteira do Cliente'!$B$4,COUNTIF($A$3:$A562,'Carteira do Cliente'!$B$4),""))</f>
        <v/>
      </c>
    </row>
    <row r="563">
      <c r="A563" s="3" t="n"/>
      <c r="B563" s="7" t="n"/>
      <c r="C563" s="4" t="n"/>
      <c r="D563" s="4" t="n"/>
      <c r="E563" s="8" t="n"/>
      <c r="F563" s="9" t="n"/>
      <c r="G563" s="7" t="n"/>
      <c r="H563" s="10">
        <f>IF($A563="","",IFERROR(VLOOKUP($A563,Clientes!$A$3:$C$1002,2,0),"NÃO CADASTRADO"))</f>
        <v/>
      </c>
      <c r="I563" s="11">
        <f>IF($A563="","",IFERROR(VLOOKUP($A563,Clientes!$A$3:$C$1002,3,0),"NÃO CADASTRADO"))</f>
        <v/>
      </c>
      <c r="J563" s="7">
        <f>IF($A563="","",IF($A563='Carteira do Cliente'!$B$4,COUNTIF($A$3:$A563,'Carteira do Cliente'!$B$4),""))</f>
        <v/>
      </c>
    </row>
    <row r="564">
      <c r="A564" s="5" t="n"/>
      <c r="B564" s="12" t="n"/>
      <c r="C564" s="6" t="n"/>
      <c r="D564" s="6" t="n"/>
      <c r="E564" s="13" t="n"/>
      <c r="F564" s="14" t="n"/>
      <c r="G564" s="12" t="n"/>
      <c r="H564" s="15">
        <f>IF($A564="","",IFERROR(VLOOKUP($A564,Clientes!$A$3:$C$1002,2,0),"NÃO CADASTRADO"))</f>
        <v/>
      </c>
      <c r="I564" s="16">
        <f>IF($A564="","",IFERROR(VLOOKUP($A564,Clientes!$A$3:$C$1002,3,0),"NÃO CADASTRADO"))</f>
        <v/>
      </c>
      <c r="J564" s="12">
        <f>IF($A564="","",IF($A564='Carteira do Cliente'!$B$4,COUNTIF($A$3:$A564,'Carteira do Cliente'!$B$4),""))</f>
        <v/>
      </c>
    </row>
    <row r="565">
      <c r="A565" s="3" t="n"/>
      <c r="B565" s="7" t="n"/>
      <c r="C565" s="4" t="n"/>
      <c r="D565" s="4" t="n"/>
      <c r="E565" s="8" t="n"/>
      <c r="F565" s="9" t="n"/>
      <c r="G565" s="7" t="n"/>
      <c r="H565" s="10">
        <f>IF($A565="","",IFERROR(VLOOKUP($A565,Clientes!$A$3:$C$1002,2,0),"NÃO CADASTRADO"))</f>
        <v/>
      </c>
      <c r="I565" s="11">
        <f>IF($A565="","",IFERROR(VLOOKUP($A565,Clientes!$A$3:$C$1002,3,0),"NÃO CADASTRADO"))</f>
        <v/>
      </c>
      <c r="J565" s="7">
        <f>IF($A565="","",IF($A565='Carteira do Cliente'!$B$4,COUNTIF($A$3:$A565,'Carteira do Cliente'!$B$4),""))</f>
        <v/>
      </c>
    </row>
    <row r="566">
      <c r="A566" s="5" t="n"/>
      <c r="B566" s="12" t="n"/>
      <c r="C566" s="6" t="n"/>
      <c r="D566" s="6" t="n"/>
      <c r="E566" s="13" t="n"/>
      <c r="F566" s="14" t="n"/>
      <c r="G566" s="12" t="n"/>
      <c r="H566" s="15">
        <f>IF($A566="","",IFERROR(VLOOKUP($A566,Clientes!$A$3:$C$1002,2,0),"NÃO CADASTRADO"))</f>
        <v/>
      </c>
      <c r="I566" s="16">
        <f>IF($A566="","",IFERROR(VLOOKUP($A566,Clientes!$A$3:$C$1002,3,0),"NÃO CADASTRADO"))</f>
        <v/>
      </c>
      <c r="J566" s="12">
        <f>IF($A566="","",IF($A566='Carteira do Cliente'!$B$4,COUNTIF($A$3:$A566,'Carteira do Cliente'!$B$4),""))</f>
        <v/>
      </c>
    </row>
    <row r="567">
      <c r="A567" s="3" t="n"/>
      <c r="B567" s="7" t="n"/>
      <c r="C567" s="4" t="n"/>
      <c r="D567" s="4" t="n"/>
      <c r="E567" s="8" t="n"/>
      <c r="F567" s="9" t="n"/>
      <c r="G567" s="7" t="n"/>
      <c r="H567" s="10">
        <f>IF($A567="","",IFERROR(VLOOKUP($A567,Clientes!$A$3:$C$1002,2,0),"NÃO CADASTRADO"))</f>
        <v/>
      </c>
      <c r="I567" s="11">
        <f>IF($A567="","",IFERROR(VLOOKUP($A567,Clientes!$A$3:$C$1002,3,0),"NÃO CADASTRADO"))</f>
        <v/>
      </c>
      <c r="J567" s="7">
        <f>IF($A567="","",IF($A567='Carteira do Cliente'!$B$4,COUNTIF($A$3:$A567,'Carteira do Cliente'!$B$4),""))</f>
        <v/>
      </c>
    </row>
    <row r="568">
      <c r="A568" s="5" t="n"/>
      <c r="B568" s="12" t="n"/>
      <c r="C568" s="6" t="n"/>
      <c r="D568" s="6" t="n"/>
      <c r="E568" s="13" t="n"/>
      <c r="F568" s="14" t="n"/>
      <c r="G568" s="12" t="n"/>
      <c r="H568" s="15">
        <f>IF($A568="","",IFERROR(VLOOKUP($A568,Clientes!$A$3:$C$1002,2,0),"NÃO CADASTRADO"))</f>
        <v/>
      </c>
      <c r="I568" s="16">
        <f>IF($A568="","",IFERROR(VLOOKUP($A568,Clientes!$A$3:$C$1002,3,0),"NÃO CADASTRADO"))</f>
        <v/>
      </c>
      <c r="J568" s="12">
        <f>IF($A568="","",IF($A568='Carteira do Cliente'!$B$4,COUNTIF($A$3:$A568,'Carteira do Cliente'!$B$4),""))</f>
        <v/>
      </c>
    </row>
    <row r="569">
      <c r="A569" s="3" t="n"/>
      <c r="B569" s="7" t="n"/>
      <c r="C569" s="4" t="n"/>
      <c r="D569" s="4" t="n"/>
      <c r="E569" s="8" t="n"/>
      <c r="F569" s="9" t="n"/>
      <c r="G569" s="7" t="n"/>
      <c r="H569" s="10">
        <f>IF($A569="","",IFERROR(VLOOKUP($A569,Clientes!$A$3:$C$1002,2,0),"NÃO CADASTRADO"))</f>
        <v/>
      </c>
      <c r="I569" s="11">
        <f>IF($A569="","",IFERROR(VLOOKUP($A569,Clientes!$A$3:$C$1002,3,0),"NÃO CADASTRADO"))</f>
        <v/>
      </c>
      <c r="J569" s="7">
        <f>IF($A569="","",IF($A569='Carteira do Cliente'!$B$4,COUNTIF($A$3:$A569,'Carteira do Cliente'!$B$4),""))</f>
        <v/>
      </c>
    </row>
    <row r="570">
      <c r="A570" s="5" t="n"/>
      <c r="B570" s="12" t="n"/>
      <c r="C570" s="6" t="n"/>
      <c r="D570" s="6" t="n"/>
      <c r="E570" s="13" t="n"/>
      <c r="F570" s="14" t="n"/>
      <c r="G570" s="12" t="n"/>
      <c r="H570" s="15">
        <f>IF($A570="","",IFERROR(VLOOKUP($A570,Clientes!$A$3:$C$1002,2,0),"NÃO CADASTRADO"))</f>
        <v/>
      </c>
      <c r="I570" s="16">
        <f>IF($A570="","",IFERROR(VLOOKUP($A570,Clientes!$A$3:$C$1002,3,0),"NÃO CADASTRADO"))</f>
        <v/>
      </c>
      <c r="J570" s="12">
        <f>IF($A570="","",IF($A570='Carteira do Cliente'!$B$4,COUNTIF($A$3:$A570,'Carteira do Cliente'!$B$4),""))</f>
        <v/>
      </c>
    </row>
    <row r="571">
      <c r="A571" s="3" t="n"/>
      <c r="B571" s="7" t="n"/>
      <c r="C571" s="4" t="n"/>
      <c r="D571" s="4" t="n"/>
      <c r="E571" s="8" t="n"/>
      <c r="F571" s="9" t="n"/>
      <c r="G571" s="7" t="n"/>
      <c r="H571" s="10">
        <f>IF($A571="","",IFERROR(VLOOKUP($A571,Clientes!$A$3:$C$1002,2,0),"NÃO CADASTRADO"))</f>
        <v/>
      </c>
      <c r="I571" s="11">
        <f>IF($A571="","",IFERROR(VLOOKUP($A571,Clientes!$A$3:$C$1002,3,0),"NÃO CADASTRADO"))</f>
        <v/>
      </c>
      <c r="J571" s="7">
        <f>IF($A571="","",IF($A571='Carteira do Cliente'!$B$4,COUNTIF($A$3:$A571,'Carteira do Cliente'!$B$4),""))</f>
        <v/>
      </c>
    </row>
    <row r="572">
      <c r="A572" s="5" t="n"/>
      <c r="B572" s="12" t="n"/>
      <c r="C572" s="6" t="n"/>
      <c r="D572" s="6" t="n"/>
      <c r="E572" s="13" t="n"/>
      <c r="F572" s="14" t="n"/>
      <c r="G572" s="12" t="n"/>
      <c r="H572" s="15">
        <f>IF($A572="","",IFERROR(VLOOKUP($A572,Clientes!$A$3:$C$1002,2,0),"NÃO CADASTRADO"))</f>
        <v/>
      </c>
      <c r="I572" s="16">
        <f>IF($A572="","",IFERROR(VLOOKUP($A572,Clientes!$A$3:$C$1002,3,0),"NÃO CADASTRADO"))</f>
        <v/>
      </c>
      <c r="J572" s="12">
        <f>IF($A572="","",IF($A572='Carteira do Cliente'!$B$4,COUNTIF($A$3:$A572,'Carteira do Cliente'!$B$4),""))</f>
        <v/>
      </c>
    </row>
    <row r="573">
      <c r="A573" s="3" t="n"/>
      <c r="B573" s="7" t="n"/>
      <c r="C573" s="4" t="n"/>
      <c r="D573" s="4" t="n"/>
      <c r="E573" s="8" t="n"/>
      <c r="F573" s="9" t="n"/>
      <c r="G573" s="7" t="n"/>
      <c r="H573" s="10">
        <f>IF($A573="","",IFERROR(VLOOKUP($A573,Clientes!$A$3:$C$1002,2,0),"NÃO CADASTRADO"))</f>
        <v/>
      </c>
      <c r="I573" s="11">
        <f>IF($A573="","",IFERROR(VLOOKUP($A573,Clientes!$A$3:$C$1002,3,0),"NÃO CADASTRADO"))</f>
        <v/>
      </c>
      <c r="J573" s="7">
        <f>IF($A573="","",IF($A573='Carteira do Cliente'!$B$4,COUNTIF($A$3:$A573,'Carteira do Cliente'!$B$4),""))</f>
        <v/>
      </c>
    </row>
    <row r="574">
      <c r="A574" s="5" t="n"/>
      <c r="B574" s="12" t="n"/>
      <c r="C574" s="6" t="n"/>
      <c r="D574" s="6" t="n"/>
      <c r="E574" s="13" t="n"/>
      <c r="F574" s="14" t="n"/>
      <c r="G574" s="12" t="n"/>
      <c r="H574" s="15">
        <f>IF($A574="","",IFERROR(VLOOKUP($A574,Clientes!$A$3:$C$1002,2,0),"NÃO CADASTRADO"))</f>
        <v/>
      </c>
      <c r="I574" s="16">
        <f>IF($A574="","",IFERROR(VLOOKUP($A574,Clientes!$A$3:$C$1002,3,0),"NÃO CADASTRADO"))</f>
        <v/>
      </c>
      <c r="J574" s="12">
        <f>IF($A574="","",IF($A574='Carteira do Cliente'!$B$4,COUNTIF($A$3:$A574,'Carteira do Cliente'!$B$4),""))</f>
        <v/>
      </c>
    </row>
    <row r="575">
      <c r="A575" s="3" t="n"/>
      <c r="B575" s="7" t="n"/>
      <c r="C575" s="4" t="n"/>
      <c r="D575" s="4" t="n"/>
      <c r="E575" s="8" t="n"/>
      <c r="F575" s="9" t="n"/>
      <c r="G575" s="7" t="n"/>
      <c r="H575" s="10">
        <f>IF($A575="","",IFERROR(VLOOKUP($A575,Clientes!$A$3:$C$1002,2,0),"NÃO CADASTRADO"))</f>
        <v/>
      </c>
      <c r="I575" s="11">
        <f>IF($A575="","",IFERROR(VLOOKUP($A575,Clientes!$A$3:$C$1002,3,0),"NÃO CADASTRADO"))</f>
        <v/>
      </c>
      <c r="J575" s="7">
        <f>IF($A575="","",IF($A575='Carteira do Cliente'!$B$4,COUNTIF($A$3:$A575,'Carteira do Cliente'!$B$4),""))</f>
        <v/>
      </c>
    </row>
    <row r="576">
      <c r="A576" s="5" t="n"/>
      <c r="B576" s="12" t="n"/>
      <c r="C576" s="6" t="n"/>
      <c r="D576" s="6" t="n"/>
      <c r="E576" s="13" t="n"/>
      <c r="F576" s="14" t="n"/>
      <c r="G576" s="12" t="n"/>
      <c r="H576" s="15">
        <f>IF($A576="","",IFERROR(VLOOKUP($A576,Clientes!$A$3:$C$1002,2,0),"NÃO CADASTRADO"))</f>
        <v/>
      </c>
      <c r="I576" s="16">
        <f>IF($A576="","",IFERROR(VLOOKUP($A576,Clientes!$A$3:$C$1002,3,0),"NÃO CADASTRADO"))</f>
        <v/>
      </c>
      <c r="J576" s="12">
        <f>IF($A576="","",IF($A576='Carteira do Cliente'!$B$4,COUNTIF($A$3:$A576,'Carteira do Cliente'!$B$4),""))</f>
        <v/>
      </c>
    </row>
    <row r="577">
      <c r="A577" s="3" t="n"/>
      <c r="B577" s="7" t="n"/>
      <c r="C577" s="4" t="n"/>
      <c r="D577" s="4" t="n"/>
      <c r="E577" s="8" t="n"/>
      <c r="F577" s="9" t="n"/>
      <c r="G577" s="7" t="n"/>
      <c r="H577" s="10">
        <f>IF($A577="","",IFERROR(VLOOKUP($A577,Clientes!$A$3:$C$1002,2,0),"NÃO CADASTRADO"))</f>
        <v/>
      </c>
      <c r="I577" s="11">
        <f>IF($A577="","",IFERROR(VLOOKUP($A577,Clientes!$A$3:$C$1002,3,0),"NÃO CADASTRADO"))</f>
        <v/>
      </c>
      <c r="J577" s="7">
        <f>IF($A577="","",IF($A577='Carteira do Cliente'!$B$4,COUNTIF($A$3:$A577,'Carteira do Cliente'!$B$4),""))</f>
        <v/>
      </c>
    </row>
    <row r="578">
      <c r="A578" s="5" t="n"/>
      <c r="B578" s="12" t="n"/>
      <c r="C578" s="6" t="n"/>
      <c r="D578" s="6" t="n"/>
      <c r="E578" s="13" t="n"/>
      <c r="F578" s="14" t="n"/>
      <c r="G578" s="12" t="n"/>
      <c r="H578" s="15">
        <f>IF($A578="","",IFERROR(VLOOKUP($A578,Clientes!$A$3:$C$1002,2,0),"NÃO CADASTRADO"))</f>
        <v/>
      </c>
      <c r="I578" s="16">
        <f>IF($A578="","",IFERROR(VLOOKUP($A578,Clientes!$A$3:$C$1002,3,0),"NÃO CADASTRADO"))</f>
        <v/>
      </c>
      <c r="J578" s="12">
        <f>IF($A578="","",IF($A578='Carteira do Cliente'!$B$4,COUNTIF($A$3:$A578,'Carteira do Cliente'!$B$4),""))</f>
        <v/>
      </c>
    </row>
    <row r="579">
      <c r="A579" s="3" t="n"/>
      <c r="B579" s="7" t="n"/>
      <c r="C579" s="4" t="n"/>
      <c r="D579" s="4" t="n"/>
      <c r="E579" s="8" t="n"/>
      <c r="F579" s="9" t="n"/>
      <c r="G579" s="7" t="n"/>
      <c r="H579" s="10">
        <f>IF($A579="","",IFERROR(VLOOKUP($A579,Clientes!$A$3:$C$1002,2,0),"NÃO CADASTRADO"))</f>
        <v/>
      </c>
      <c r="I579" s="11">
        <f>IF($A579="","",IFERROR(VLOOKUP($A579,Clientes!$A$3:$C$1002,3,0),"NÃO CADASTRADO"))</f>
        <v/>
      </c>
      <c r="J579" s="7">
        <f>IF($A579="","",IF($A579='Carteira do Cliente'!$B$4,COUNTIF($A$3:$A579,'Carteira do Cliente'!$B$4),""))</f>
        <v/>
      </c>
    </row>
    <row r="580">
      <c r="A580" s="5" t="n"/>
      <c r="B580" s="12" t="n"/>
      <c r="C580" s="6" t="n"/>
      <c r="D580" s="6" t="n"/>
      <c r="E580" s="13" t="n"/>
      <c r="F580" s="14" t="n"/>
      <c r="G580" s="12" t="n"/>
      <c r="H580" s="15">
        <f>IF($A580="","",IFERROR(VLOOKUP($A580,Clientes!$A$3:$C$1002,2,0),"NÃO CADASTRADO"))</f>
        <v/>
      </c>
      <c r="I580" s="16">
        <f>IF($A580="","",IFERROR(VLOOKUP($A580,Clientes!$A$3:$C$1002,3,0),"NÃO CADASTRADO"))</f>
        <v/>
      </c>
      <c r="J580" s="12">
        <f>IF($A580="","",IF($A580='Carteira do Cliente'!$B$4,COUNTIF($A$3:$A580,'Carteira do Cliente'!$B$4),""))</f>
        <v/>
      </c>
    </row>
    <row r="581">
      <c r="A581" s="3" t="n"/>
      <c r="B581" s="7" t="n"/>
      <c r="C581" s="4" t="n"/>
      <c r="D581" s="4" t="n"/>
      <c r="E581" s="8" t="n"/>
      <c r="F581" s="9" t="n"/>
      <c r="G581" s="7" t="n"/>
      <c r="H581" s="10">
        <f>IF($A581="","",IFERROR(VLOOKUP($A581,Clientes!$A$3:$C$1002,2,0),"NÃO CADASTRADO"))</f>
        <v/>
      </c>
      <c r="I581" s="11">
        <f>IF($A581="","",IFERROR(VLOOKUP($A581,Clientes!$A$3:$C$1002,3,0),"NÃO CADASTRADO"))</f>
        <v/>
      </c>
      <c r="J581" s="7">
        <f>IF($A581="","",IF($A581='Carteira do Cliente'!$B$4,COUNTIF($A$3:$A581,'Carteira do Cliente'!$B$4),""))</f>
        <v/>
      </c>
    </row>
    <row r="582">
      <c r="A582" s="5" t="n"/>
      <c r="B582" s="12" t="n"/>
      <c r="C582" s="6" t="n"/>
      <c r="D582" s="6" t="n"/>
      <c r="E582" s="13" t="n"/>
      <c r="F582" s="14" t="n"/>
      <c r="G582" s="12" t="n"/>
      <c r="H582" s="15">
        <f>IF($A582="","",IFERROR(VLOOKUP($A582,Clientes!$A$3:$C$1002,2,0),"NÃO CADASTRADO"))</f>
        <v/>
      </c>
      <c r="I582" s="16">
        <f>IF($A582="","",IFERROR(VLOOKUP($A582,Clientes!$A$3:$C$1002,3,0),"NÃO CADASTRADO"))</f>
        <v/>
      </c>
      <c r="J582" s="12">
        <f>IF($A582="","",IF($A582='Carteira do Cliente'!$B$4,COUNTIF($A$3:$A582,'Carteira do Cliente'!$B$4),""))</f>
        <v/>
      </c>
    </row>
    <row r="583">
      <c r="A583" s="3" t="n"/>
      <c r="B583" s="7" t="n"/>
      <c r="C583" s="4" t="n"/>
      <c r="D583" s="4" t="n"/>
      <c r="E583" s="8" t="n"/>
      <c r="F583" s="9" t="n"/>
      <c r="G583" s="7" t="n"/>
      <c r="H583" s="10">
        <f>IF($A583="","",IFERROR(VLOOKUP($A583,Clientes!$A$3:$C$1002,2,0),"NÃO CADASTRADO"))</f>
        <v/>
      </c>
      <c r="I583" s="11">
        <f>IF($A583="","",IFERROR(VLOOKUP($A583,Clientes!$A$3:$C$1002,3,0),"NÃO CADASTRADO"))</f>
        <v/>
      </c>
      <c r="J583" s="7">
        <f>IF($A583="","",IF($A583='Carteira do Cliente'!$B$4,COUNTIF($A$3:$A583,'Carteira do Cliente'!$B$4),""))</f>
        <v/>
      </c>
    </row>
    <row r="584">
      <c r="A584" s="5" t="n"/>
      <c r="B584" s="12" t="n"/>
      <c r="C584" s="6" t="n"/>
      <c r="D584" s="6" t="n"/>
      <c r="E584" s="13" t="n"/>
      <c r="F584" s="14" t="n"/>
      <c r="G584" s="12" t="n"/>
      <c r="H584" s="15">
        <f>IF($A584="","",IFERROR(VLOOKUP($A584,Clientes!$A$3:$C$1002,2,0),"NÃO CADASTRADO"))</f>
        <v/>
      </c>
      <c r="I584" s="16">
        <f>IF($A584="","",IFERROR(VLOOKUP($A584,Clientes!$A$3:$C$1002,3,0),"NÃO CADASTRADO"))</f>
        <v/>
      </c>
      <c r="J584" s="12">
        <f>IF($A584="","",IF($A584='Carteira do Cliente'!$B$4,COUNTIF($A$3:$A584,'Carteira do Cliente'!$B$4),""))</f>
        <v/>
      </c>
    </row>
    <row r="585">
      <c r="A585" s="3" t="n"/>
      <c r="B585" s="7" t="n"/>
      <c r="C585" s="4" t="n"/>
      <c r="D585" s="4" t="n"/>
      <c r="E585" s="8" t="n"/>
      <c r="F585" s="9" t="n"/>
      <c r="G585" s="7" t="n"/>
      <c r="H585" s="10">
        <f>IF($A585="","",IFERROR(VLOOKUP($A585,Clientes!$A$3:$C$1002,2,0),"NÃO CADASTRADO"))</f>
        <v/>
      </c>
      <c r="I585" s="11">
        <f>IF($A585="","",IFERROR(VLOOKUP($A585,Clientes!$A$3:$C$1002,3,0),"NÃO CADASTRADO"))</f>
        <v/>
      </c>
      <c r="J585" s="7">
        <f>IF($A585="","",IF($A585='Carteira do Cliente'!$B$4,COUNTIF($A$3:$A585,'Carteira do Cliente'!$B$4),""))</f>
        <v/>
      </c>
    </row>
    <row r="586">
      <c r="A586" s="5" t="n"/>
      <c r="B586" s="12" t="n"/>
      <c r="C586" s="6" t="n"/>
      <c r="D586" s="6" t="n"/>
      <c r="E586" s="13" t="n"/>
      <c r="F586" s="14" t="n"/>
      <c r="G586" s="12" t="n"/>
      <c r="H586" s="15">
        <f>IF($A586="","",IFERROR(VLOOKUP($A586,Clientes!$A$3:$C$1002,2,0),"NÃO CADASTRADO"))</f>
        <v/>
      </c>
      <c r="I586" s="16">
        <f>IF($A586="","",IFERROR(VLOOKUP($A586,Clientes!$A$3:$C$1002,3,0),"NÃO CADASTRADO"))</f>
        <v/>
      </c>
      <c r="J586" s="12">
        <f>IF($A586="","",IF($A586='Carteira do Cliente'!$B$4,COUNTIF($A$3:$A586,'Carteira do Cliente'!$B$4),""))</f>
        <v/>
      </c>
    </row>
    <row r="587">
      <c r="A587" s="3" t="n"/>
      <c r="B587" s="7" t="n"/>
      <c r="C587" s="4" t="n"/>
      <c r="D587" s="4" t="n"/>
      <c r="E587" s="8" t="n"/>
      <c r="F587" s="9" t="n"/>
      <c r="G587" s="7" t="n"/>
      <c r="H587" s="10">
        <f>IF($A587="","",IFERROR(VLOOKUP($A587,Clientes!$A$3:$C$1002,2,0),"NÃO CADASTRADO"))</f>
        <v/>
      </c>
      <c r="I587" s="11">
        <f>IF($A587="","",IFERROR(VLOOKUP($A587,Clientes!$A$3:$C$1002,3,0),"NÃO CADASTRADO"))</f>
        <v/>
      </c>
      <c r="J587" s="7">
        <f>IF($A587="","",IF($A587='Carteira do Cliente'!$B$4,COUNTIF($A$3:$A587,'Carteira do Cliente'!$B$4),""))</f>
        <v/>
      </c>
    </row>
    <row r="588">
      <c r="A588" s="5" t="n"/>
      <c r="B588" s="12" t="n"/>
      <c r="C588" s="6" t="n"/>
      <c r="D588" s="6" t="n"/>
      <c r="E588" s="13" t="n"/>
      <c r="F588" s="14" t="n"/>
      <c r="G588" s="12" t="n"/>
      <c r="H588" s="15">
        <f>IF($A588="","",IFERROR(VLOOKUP($A588,Clientes!$A$3:$C$1002,2,0),"NÃO CADASTRADO"))</f>
        <v/>
      </c>
      <c r="I588" s="16">
        <f>IF($A588="","",IFERROR(VLOOKUP($A588,Clientes!$A$3:$C$1002,3,0),"NÃO CADASTRADO"))</f>
        <v/>
      </c>
      <c r="J588" s="12">
        <f>IF($A588="","",IF($A588='Carteira do Cliente'!$B$4,COUNTIF($A$3:$A588,'Carteira do Cliente'!$B$4),""))</f>
        <v/>
      </c>
    </row>
    <row r="589">
      <c r="A589" s="3" t="n"/>
      <c r="B589" s="7" t="n"/>
      <c r="C589" s="4" t="n"/>
      <c r="D589" s="4" t="n"/>
      <c r="E589" s="8" t="n"/>
      <c r="F589" s="9" t="n"/>
      <c r="G589" s="7" t="n"/>
      <c r="H589" s="10">
        <f>IF($A589="","",IFERROR(VLOOKUP($A589,Clientes!$A$3:$C$1002,2,0),"NÃO CADASTRADO"))</f>
        <v/>
      </c>
      <c r="I589" s="11">
        <f>IF($A589="","",IFERROR(VLOOKUP($A589,Clientes!$A$3:$C$1002,3,0),"NÃO CADASTRADO"))</f>
        <v/>
      </c>
      <c r="J589" s="7">
        <f>IF($A589="","",IF($A589='Carteira do Cliente'!$B$4,COUNTIF($A$3:$A589,'Carteira do Cliente'!$B$4),""))</f>
        <v/>
      </c>
    </row>
    <row r="590">
      <c r="A590" s="5" t="n"/>
      <c r="B590" s="12" t="n"/>
      <c r="C590" s="6" t="n"/>
      <c r="D590" s="6" t="n"/>
      <c r="E590" s="13" t="n"/>
      <c r="F590" s="14" t="n"/>
      <c r="G590" s="12" t="n"/>
      <c r="H590" s="15">
        <f>IF($A590="","",IFERROR(VLOOKUP($A590,Clientes!$A$3:$C$1002,2,0),"NÃO CADASTRADO"))</f>
        <v/>
      </c>
      <c r="I590" s="16">
        <f>IF($A590="","",IFERROR(VLOOKUP($A590,Clientes!$A$3:$C$1002,3,0),"NÃO CADASTRADO"))</f>
        <v/>
      </c>
      <c r="J590" s="12">
        <f>IF($A590="","",IF($A590='Carteira do Cliente'!$B$4,COUNTIF($A$3:$A590,'Carteira do Cliente'!$B$4),""))</f>
        <v/>
      </c>
    </row>
    <row r="591">
      <c r="A591" s="3" t="n"/>
      <c r="B591" s="7" t="n"/>
      <c r="C591" s="4" t="n"/>
      <c r="D591" s="4" t="n"/>
      <c r="E591" s="8" t="n"/>
      <c r="F591" s="9" t="n"/>
      <c r="G591" s="7" t="n"/>
      <c r="H591" s="10">
        <f>IF($A591="","",IFERROR(VLOOKUP($A591,Clientes!$A$3:$C$1002,2,0),"NÃO CADASTRADO"))</f>
        <v/>
      </c>
      <c r="I591" s="11">
        <f>IF($A591="","",IFERROR(VLOOKUP($A591,Clientes!$A$3:$C$1002,3,0),"NÃO CADASTRADO"))</f>
        <v/>
      </c>
      <c r="J591" s="7">
        <f>IF($A591="","",IF($A591='Carteira do Cliente'!$B$4,COUNTIF($A$3:$A591,'Carteira do Cliente'!$B$4),""))</f>
        <v/>
      </c>
    </row>
    <row r="592">
      <c r="A592" s="5" t="n"/>
      <c r="B592" s="12" t="n"/>
      <c r="C592" s="6" t="n"/>
      <c r="D592" s="6" t="n"/>
      <c r="E592" s="13" t="n"/>
      <c r="F592" s="14" t="n"/>
      <c r="G592" s="12" t="n"/>
      <c r="H592" s="15">
        <f>IF($A592="","",IFERROR(VLOOKUP($A592,Clientes!$A$3:$C$1002,2,0),"NÃO CADASTRADO"))</f>
        <v/>
      </c>
      <c r="I592" s="16">
        <f>IF($A592="","",IFERROR(VLOOKUP($A592,Clientes!$A$3:$C$1002,3,0),"NÃO CADASTRADO"))</f>
        <v/>
      </c>
      <c r="J592" s="12">
        <f>IF($A592="","",IF($A592='Carteira do Cliente'!$B$4,COUNTIF($A$3:$A592,'Carteira do Cliente'!$B$4),""))</f>
        <v/>
      </c>
    </row>
    <row r="593">
      <c r="A593" s="3" t="n"/>
      <c r="B593" s="7" t="n"/>
      <c r="C593" s="4" t="n"/>
      <c r="D593" s="4" t="n"/>
      <c r="E593" s="8" t="n"/>
      <c r="F593" s="9" t="n"/>
      <c r="G593" s="7" t="n"/>
      <c r="H593" s="10">
        <f>IF($A593="","",IFERROR(VLOOKUP($A593,Clientes!$A$3:$C$1002,2,0),"NÃO CADASTRADO"))</f>
        <v/>
      </c>
      <c r="I593" s="11">
        <f>IF($A593="","",IFERROR(VLOOKUP($A593,Clientes!$A$3:$C$1002,3,0),"NÃO CADASTRADO"))</f>
        <v/>
      </c>
      <c r="J593" s="7">
        <f>IF($A593="","",IF($A593='Carteira do Cliente'!$B$4,COUNTIF($A$3:$A593,'Carteira do Cliente'!$B$4),""))</f>
        <v/>
      </c>
    </row>
    <row r="594">
      <c r="A594" s="5" t="n"/>
      <c r="B594" s="12" t="n"/>
      <c r="C594" s="6" t="n"/>
      <c r="D594" s="6" t="n"/>
      <c r="E594" s="13" t="n"/>
      <c r="F594" s="14" t="n"/>
      <c r="G594" s="12" t="n"/>
      <c r="H594" s="15">
        <f>IF($A594="","",IFERROR(VLOOKUP($A594,Clientes!$A$3:$C$1002,2,0),"NÃO CADASTRADO"))</f>
        <v/>
      </c>
      <c r="I594" s="16">
        <f>IF($A594="","",IFERROR(VLOOKUP($A594,Clientes!$A$3:$C$1002,3,0),"NÃO CADASTRADO"))</f>
        <v/>
      </c>
      <c r="J594" s="12">
        <f>IF($A594="","",IF($A594='Carteira do Cliente'!$B$4,COUNTIF($A$3:$A594,'Carteira do Cliente'!$B$4),""))</f>
        <v/>
      </c>
    </row>
    <row r="595">
      <c r="A595" s="3" t="n"/>
      <c r="B595" s="7" t="n"/>
      <c r="C595" s="4" t="n"/>
      <c r="D595" s="4" t="n"/>
      <c r="E595" s="8" t="n"/>
      <c r="F595" s="9" t="n"/>
      <c r="G595" s="7" t="n"/>
      <c r="H595" s="10">
        <f>IF($A595="","",IFERROR(VLOOKUP($A595,Clientes!$A$3:$C$1002,2,0),"NÃO CADASTRADO"))</f>
        <v/>
      </c>
      <c r="I595" s="11">
        <f>IF($A595="","",IFERROR(VLOOKUP($A595,Clientes!$A$3:$C$1002,3,0),"NÃO CADASTRADO"))</f>
        <v/>
      </c>
      <c r="J595" s="7">
        <f>IF($A595="","",IF($A595='Carteira do Cliente'!$B$4,COUNTIF($A$3:$A595,'Carteira do Cliente'!$B$4),""))</f>
        <v/>
      </c>
    </row>
    <row r="596">
      <c r="A596" s="5" t="n"/>
      <c r="B596" s="12" t="n"/>
      <c r="C596" s="6" t="n"/>
      <c r="D596" s="6" t="n"/>
      <c r="E596" s="13" t="n"/>
      <c r="F596" s="14" t="n"/>
      <c r="G596" s="12" t="n"/>
      <c r="H596" s="15">
        <f>IF($A596="","",IFERROR(VLOOKUP($A596,Clientes!$A$3:$C$1002,2,0),"NÃO CADASTRADO"))</f>
        <v/>
      </c>
      <c r="I596" s="16">
        <f>IF($A596="","",IFERROR(VLOOKUP($A596,Clientes!$A$3:$C$1002,3,0),"NÃO CADASTRADO"))</f>
        <v/>
      </c>
      <c r="J596" s="12">
        <f>IF($A596="","",IF($A596='Carteira do Cliente'!$B$4,COUNTIF($A$3:$A596,'Carteira do Cliente'!$B$4),""))</f>
        <v/>
      </c>
    </row>
    <row r="597">
      <c r="A597" s="3" t="n"/>
      <c r="B597" s="7" t="n"/>
      <c r="C597" s="4" t="n"/>
      <c r="D597" s="4" t="n"/>
      <c r="E597" s="8" t="n"/>
      <c r="F597" s="9" t="n"/>
      <c r="G597" s="7" t="n"/>
      <c r="H597" s="10">
        <f>IF($A597="","",IFERROR(VLOOKUP($A597,Clientes!$A$3:$C$1002,2,0),"NÃO CADASTRADO"))</f>
        <v/>
      </c>
      <c r="I597" s="11">
        <f>IF($A597="","",IFERROR(VLOOKUP($A597,Clientes!$A$3:$C$1002,3,0),"NÃO CADASTRADO"))</f>
        <v/>
      </c>
      <c r="J597" s="7">
        <f>IF($A597="","",IF($A597='Carteira do Cliente'!$B$4,COUNTIF($A$3:$A597,'Carteira do Cliente'!$B$4),""))</f>
        <v/>
      </c>
    </row>
    <row r="598">
      <c r="A598" s="5" t="n"/>
      <c r="B598" s="12" t="n"/>
      <c r="C598" s="6" t="n"/>
      <c r="D598" s="6" t="n"/>
      <c r="E598" s="13" t="n"/>
      <c r="F598" s="14" t="n"/>
      <c r="G598" s="12" t="n"/>
      <c r="H598" s="15">
        <f>IF($A598="","",IFERROR(VLOOKUP($A598,Clientes!$A$3:$C$1002,2,0),"NÃO CADASTRADO"))</f>
        <v/>
      </c>
      <c r="I598" s="16">
        <f>IF($A598="","",IFERROR(VLOOKUP($A598,Clientes!$A$3:$C$1002,3,0),"NÃO CADASTRADO"))</f>
        <v/>
      </c>
      <c r="J598" s="12">
        <f>IF($A598="","",IF($A598='Carteira do Cliente'!$B$4,COUNTIF($A$3:$A598,'Carteira do Cliente'!$B$4),""))</f>
        <v/>
      </c>
    </row>
    <row r="599">
      <c r="A599" s="3" t="n"/>
      <c r="B599" s="7" t="n"/>
      <c r="C599" s="4" t="n"/>
      <c r="D599" s="4" t="n"/>
      <c r="E599" s="8" t="n"/>
      <c r="F599" s="9" t="n"/>
      <c r="G599" s="7" t="n"/>
      <c r="H599" s="10">
        <f>IF($A599="","",IFERROR(VLOOKUP($A599,Clientes!$A$3:$C$1002,2,0),"NÃO CADASTRADO"))</f>
        <v/>
      </c>
      <c r="I599" s="11">
        <f>IF($A599="","",IFERROR(VLOOKUP($A599,Clientes!$A$3:$C$1002,3,0),"NÃO CADASTRADO"))</f>
        <v/>
      </c>
      <c r="J599" s="7">
        <f>IF($A599="","",IF($A599='Carteira do Cliente'!$B$4,COUNTIF($A$3:$A599,'Carteira do Cliente'!$B$4),""))</f>
        <v/>
      </c>
    </row>
    <row r="600">
      <c r="A600" s="5" t="n"/>
      <c r="B600" s="12" t="n"/>
      <c r="C600" s="6" t="n"/>
      <c r="D600" s="6" t="n"/>
      <c r="E600" s="13" t="n"/>
      <c r="F600" s="14" t="n"/>
      <c r="G600" s="12" t="n"/>
      <c r="H600" s="15">
        <f>IF($A600="","",IFERROR(VLOOKUP($A600,Clientes!$A$3:$C$1002,2,0),"NÃO CADASTRADO"))</f>
        <v/>
      </c>
      <c r="I600" s="16">
        <f>IF($A600="","",IFERROR(VLOOKUP($A600,Clientes!$A$3:$C$1002,3,0),"NÃO CADASTRADO"))</f>
        <v/>
      </c>
      <c r="J600" s="12">
        <f>IF($A600="","",IF($A600='Carteira do Cliente'!$B$4,COUNTIF($A$3:$A600,'Carteira do Cliente'!$B$4),""))</f>
        <v/>
      </c>
    </row>
    <row r="601">
      <c r="A601" s="3" t="n"/>
      <c r="B601" s="7" t="n"/>
      <c r="C601" s="4" t="n"/>
      <c r="D601" s="4" t="n"/>
      <c r="E601" s="8" t="n"/>
      <c r="F601" s="9" t="n"/>
      <c r="G601" s="7" t="n"/>
      <c r="H601" s="10">
        <f>IF($A601="","",IFERROR(VLOOKUP($A601,Clientes!$A$3:$C$1002,2,0),"NÃO CADASTRADO"))</f>
        <v/>
      </c>
      <c r="I601" s="11">
        <f>IF($A601="","",IFERROR(VLOOKUP($A601,Clientes!$A$3:$C$1002,3,0),"NÃO CADASTRADO"))</f>
        <v/>
      </c>
      <c r="J601" s="7">
        <f>IF($A601="","",IF($A601='Carteira do Cliente'!$B$4,COUNTIF($A$3:$A601,'Carteira do Cliente'!$B$4),""))</f>
        <v/>
      </c>
    </row>
    <row r="602">
      <c r="A602" s="5" t="n"/>
      <c r="B602" s="12" t="n"/>
      <c r="C602" s="6" t="n"/>
      <c r="D602" s="6" t="n"/>
      <c r="E602" s="13" t="n"/>
      <c r="F602" s="14" t="n"/>
      <c r="G602" s="12" t="n"/>
      <c r="H602" s="15">
        <f>IF($A602="","",IFERROR(VLOOKUP($A602,Clientes!$A$3:$C$1002,2,0),"NÃO CADASTRADO"))</f>
        <v/>
      </c>
      <c r="I602" s="16">
        <f>IF($A602="","",IFERROR(VLOOKUP($A602,Clientes!$A$3:$C$1002,3,0),"NÃO CADASTRADO"))</f>
        <v/>
      </c>
      <c r="J602" s="12">
        <f>IF($A602="","",IF($A602='Carteira do Cliente'!$B$4,COUNTIF($A$3:$A602,'Carteira do Cliente'!$B$4),""))</f>
        <v/>
      </c>
    </row>
    <row r="603">
      <c r="A603" s="3" t="n"/>
      <c r="B603" s="7" t="n"/>
      <c r="C603" s="4" t="n"/>
      <c r="D603" s="4" t="n"/>
      <c r="E603" s="8" t="n"/>
      <c r="F603" s="9" t="n"/>
      <c r="G603" s="7" t="n"/>
      <c r="H603" s="10">
        <f>IF($A603="","",IFERROR(VLOOKUP($A603,Clientes!$A$3:$C$1002,2,0),"NÃO CADASTRADO"))</f>
        <v/>
      </c>
      <c r="I603" s="11">
        <f>IF($A603="","",IFERROR(VLOOKUP($A603,Clientes!$A$3:$C$1002,3,0),"NÃO CADASTRADO"))</f>
        <v/>
      </c>
      <c r="J603" s="7">
        <f>IF($A603="","",IF($A603='Carteira do Cliente'!$B$4,COUNTIF($A$3:$A603,'Carteira do Cliente'!$B$4),""))</f>
        <v/>
      </c>
    </row>
    <row r="604">
      <c r="A604" s="5" t="n"/>
      <c r="B604" s="12" t="n"/>
      <c r="C604" s="6" t="n"/>
      <c r="D604" s="6" t="n"/>
      <c r="E604" s="13" t="n"/>
      <c r="F604" s="14" t="n"/>
      <c r="G604" s="12" t="n"/>
      <c r="H604" s="15">
        <f>IF($A604="","",IFERROR(VLOOKUP($A604,Clientes!$A$3:$C$1002,2,0),"NÃO CADASTRADO"))</f>
        <v/>
      </c>
      <c r="I604" s="16">
        <f>IF($A604="","",IFERROR(VLOOKUP($A604,Clientes!$A$3:$C$1002,3,0),"NÃO CADASTRADO"))</f>
        <v/>
      </c>
      <c r="J604" s="12">
        <f>IF($A604="","",IF($A604='Carteira do Cliente'!$B$4,COUNTIF($A$3:$A604,'Carteira do Cliente'!$B$4),""))</f>
        <v/>
      </c>
    </row>
    <row r="605">
      <c r="A605" s="3" t="n"/>
      <c r="B605" s="7" t="n"/>
      <c r="C605" s="4" t="n"/>
      <c r="D605" s="4" t="n"/>
      <c r="E605" s="8" t="n"/>
      <c r="F605" s="9" t="n"/>
      <c r="G605" s="7" t="n"/>
      <c r="H605" s="10">
        <f>IF($A605="","",IFERROR(VLOOKUP($A605,Clientes!$A$3:$C$1002,2,0),"NÃO CADASTRADO"))</f>
        <v/>
      </c>
      <c r="I605" s="11">
        <f>IF($A605="","",IFERROR(VLOOKUP($A605,Clientes!$A$3:$C$1002,3,0),"NÃO CADASTRADO"))</f>
        <v/>
      </c>
      <c r="J605" s="7">
        <f>IF($A605="","",IF($A605='Carteira do Cliente'!$B$4,COUNTIF($A$3:$A605,'Carteira do Cliente'!$B$4),""))</f>
        <v/>
      </c>
    </row>
    <row r="606">
      <c r="A606" s="5" t="n"/>
      <c r="B606" s="12" t="n"/>
      <c r="C606" s="6" t="n"/>
      <c r="D606" s="6" t="n"/>
      <c r="E606" s="13" t="n"/>
      <c r="F606" s="14" t="n"/>
      <c r="G606" s="12" t="n"/>
      <c r="H606" s="15">
        <f>IF($A606="","",IFERROR(VLOOKUP($A606,Clientes!$A$3:$C$1002,2,0),"NÃO CADASTRADO"))</f>
        <v/>
      </c>
      <c r="I606" s="16">
        <f>IF($A606="","",IFERROR(VLOOKUP($A606,Clientes!$A$3:$C$1002,3,0),"NÃO CADASTRADO"))</f>
        <v/>
      </c>
      <c r="J606" s="12">
        <f>IF($A606="","",IF($A606='Carteira do Cliente'!$B$4,COUNTIF($A$3:$A606,'Carteira do Cliente'!$B$4),""))</f>
        <v/>
      </c>
    </row>
    <row r="607">
      <c r="A607" s="3" t="n"/>
      <c r="B607" s="7" t="n"/>
      <c r="C607" s="4" t="n"/>
      <c r="D607" s="4" t="n"/>
      <c r="E607" s="8" t="n"/>
      <c r="F607" s="9" t="n"/>
      <c r="G607" s="7" t="n"/>
      <c r="H607" s="10">
        <f>IF($A607="","",IFERROR(VLOOKUP($A607,Clientes!$A$3:$C$1002,2,0),"NÃO CADASTRADO"))</f>
        <v/>
      </c>
      <c r="I607" s="11">
        <f>IF($A607="","",IFERROR(VLOOKUP($A607,Clientes!$A$3:$C$1002,3,0),"NÃO CADASTRADO"))</f>
        <v/>
      </c>
      <c r="J607" s="7">
        <f>IF($A607="","",IF($A607='Carteira do Cliente'!$B$4,COUNTIF($A$3:$A607,'Carteira do Cliente'!$B$4),""))</f>
        <v/>
      </c>
    </row>
    <row r="608">
      <c r="A608" s="5" t="n"/>
      <c r="B608" s="12" t="n"/>
      <c r="C608" s="6" t="n"/>
      <c r="D608" s="6" t="n"/>
      <c r="E608" s="13" t="n"/>
      <c r="F608" s="14" t="n"/>
      <c r="G608" s="12" t="n"/>
      <c r="H608" s="15">
        <f>IF($A608="","",IFERROR(VLOOKUP($A608,Clientes!$A$3:$C$1002,2,0),"NÃO CADASTRADO"))</f>
        <v/>
      </c>
      <c r="I608" s="16">
        <f>IF($A608="","",IFERROR(VLOOKUP($A608,Clientes!$A$3:$C$1002,3,0),"NÃO CADASTRADO"))</f>
        <v/>
      </c>
      <c r="J608" s="12">
        <f>IF($A608="","",IF($A608='Carteira do Cliente'!$B$4,COUNTIF($A$3:$A608,'Carteira do Cliente'!$B$4),""))</f>
        <v/>
      </c>
    </row>
    <row r="609">
      <c r="A609" s="3" t="n"/>
      <c r="B609" s="7" t="n"/>
      <c r="C609" s="4" t="n"/>
      <c r="D609" s="4" t="n"/>
      <c r="E609" s="8" t="n"/>
      <c r="F609" s="9" t="n"/>
      <c r="G609" s="7" t="n"/>
      <c r="H609" s="10">
        <f>IF($A609="","",IFERROR(VLOOKUP($A609,Clientes!$A$3:$C$1002,2,0),"NÃO CADASTRADO"))</f>
        <v/>
      </c>
      <c r="I609" s="11">
        <f>IF($A609="","",IFERROR(VLOOKUP($A609,Clientes!$A$3:$C$1002,3,0),"NÃO CADASTRADO"))</f>
        <v/>
      </c>
      <c r="J609" s="7">
        <f>IF($A609="","",IF($A609='Carteira do Cliente'!$B$4,COUNTIF($A$3:$A609,'Carteira do Cliente'!$B$4),""))</f>
        <v/>
      </c>
    </row>
    <row r="610">
      <c r="A610" s="5" t="n"/>
      <c r="B610" s="12" t="n"/>
      <c r="C610" s="6" t="n"/>
      <c r="D610" s="6" t="n"/>
      <c r="E610" s="13" t="n"/>
      <c r="F610" s="14" t="n"/>
      <c r="G610" s="12" t="n"/>
      <c r="H610" s="15">
        <f>IF($A610="","",IFERROR(VLOOKUP($A610,Clientes!$A$3:$C$1002,2,0),"NÃO CADASTRADO"))</f>
        <v/>
      </c>
      <c r="I610" s="16">
        <f>IF($A610="","",IFERROR(VLOOKUP($A610,Clientes!$A$3:$C$1002,3,0),"NÃO CADASTRADO"))</f>
        <v/>
      </c>
      <c r="J610" s="12">
        <f>IF($A610="","",IF($A610='Carteira do Cliente'!$B$4,COUNTIF($A$3:$A610,'Carteira do Cliente'!$B$4),""))</f>
        <v/>
      </c>
    </row>
    <row r="611">
      <c r="A611" s="3" t="n"/>
      <c r="B611" s="7" t="n"/>
      <c r="C611" s="4" t="n"/>
      <c r="D611" s="4" t="n"/>
      <c r="E611" s="8" t="n"/>
      <c r="F611" s="9" t="n"/>
      <c r="G611" s="7" t="n"/>
      <c r="H611" s="10">
        <f>IF($A611="","",IFERROR(VLOOKUP($A611,Clientes!$A$3:$C$1002,2,0),"NÃO CADASTRADO"))</f>
        <v/>
      </c>
      <c r="I611" s="11">
        <f>IF($A611="","",IFERROR(VLOOKUP($A611,Clientes!$A$3:$C$1002,3,0),"NÃO CADASTRADO"))</f>
        <v/>
      </c>
      <c r="J611" s="7">
        <f>IF($A611="","",IF($A611='Carteira do Cliente'!$B$4,COUNTIF($A$3:$A611,'Carteira do Cliente'!$B$4),""))</f>
        <v/>
      </c>
    </row>
    <row r="612">
      <c r="A612" s="5" t="n"/>
      <c r="B612" s="12" t="n"/>
      <c r="C612" s="6" t="n"/>
      <c r="D612" s="6" t="n"/>
      <c r="E612" s="13" t="n"/>
      <c r="F612" s="14" t="n"/>
      <c r="G612" s="12" t="n"/>
      <c r="H612" s="15">
        <f>IF($A612="","",IFERROR(VLOOKUP($A612,Clientes!$A$3:$C$1002,2,0),"NÃO CADASTRADO"))</f>
        <v/>
      </c>
      <c r="I612" s="16">
        <f>IF($A612="","",IFERROR(VLOOKUP($A612,Clientes!$A$3:$C$1002,3,0),"NÃO CADASTRADO"))</f>
        <v/>
      </c>
      <c r="J612" s="12">
        <f>IF($A612="","",IF($A612='Carteira do Cliente'!$B$4,COUNTIF($A$3:$A612,'Carteira do Cliente'!$B$4),""))</f>
        <v/>
      </c>
    </row>
    <row r="613">
      <c r="A613" s="3" t="n"/>
      <c r="B613" s="7" t="n"/>
      <c r="C613" s="4" t="n"/>
      <c r="D613" s="4" t="n"/>
      <c r="E613" s="8" t="n"/>
      <c r="F613" s="9" t="n"/>
      <c r="G613" s="7" t="n"/>
      <c r="H613" s="10">
        <f>IF($A613="","",IFERROR(VLOOKUP($A613,Clientes!$A$3:$C$1002,2,0),"NÃO CADASTRADO"))</f>
        <v/>
      </c>
      <c r="I613" s="11">
        <f>IF($A613="","",IFERROR(VLOOKUP($A613,Clientes!$A$3:$C$1002,3,0),"NÃO CADASTRADO"))</f>
        <v/>
      </c>
      <c r="J613" s="7">
        <f>IF($A613="","",IF($A613='Carteira do Cliente'!$B$4,COUNTIF($A$3:$A613,'Carteira do Cliente'!$B$4),""))</f>
        <v/>
      </c>
    </row>
    <row r="614">
      <c r="A614" s="5" t="n"/>
      <c r="B614" s="12" t="n"/>
      <c r="C614" s="6" t="n"/>
      <c r="D614" s="6" t="n"/>
      <c r="E614" s="13" t="n"/>
      <c r="F614" s="14" t="n"/>
      <c r="G614" s="12" t="n"/>
      <c r="H614" s="15">
        <f>IF($A614="","",IFERROR(VLOOKUP($A614,Clientes!$A$3:$C$1002,2,0),"NÃO CADASTRADO"))</f>
        <v/>
      </c>
      <c r="I614" s="16">
        <f>IF($A614="","",IFERROR(VLOOKUP($A614,Clientes!$A$3:$C$1002,3,0),"NÃO CADASTRADO"))</f>
        <v/>
      </c>
      <c r="J614" s="12">
        <f>IF($A614="","",IF($A614='Carteira do Cliente'!$B$4,COUNTIF($A$3:$A614,'Carteira do Cliente'!$B$4),""))</f>
        <v/>
      </c>
    </row>
    <row r="615">
      <c r="A615" s="3" t="n"/>
      <c r="B615" s="7" t="n"/>
      <c r="C615" s="4" t="n"/>
      <c r="D615" s="4" t="n"/>
      <c r="E615" s="8" t="n"/>
      <c r="F615" s="9" t="n"/>
      <c r="G615" s="7" t="n"/>
      <c r="H615" s="10">
        <f>IF($A615="","",IFERROR(VLOOKUP($A615,Clientes!$A$3:$C$1002,2,0),"NÃO CADASTRADO"))</f>
        <v/>
      </c>
      <c r="I615" s="11">
        <f>IF($A615="","",IFERROR(VLOOKUP($A615,Clientes!$A$3:$C$1002,3,0),"NÃO CADASTRADO"))</f>
        <v/>
      </c>
      <c r="J615" s="7">
        <f>IF($A615="","",IF($A615='Carteira do Cliente'!$B$4,COUNTIF($A$3:$A615,'Carteira do Cliente'!$B$4),""))</f>
        <v/>
      </c>
    </row>
    <row r="616">
      <c r="A616" s="5" t="n"/>
      <c r="B616" s="12" t="n"/>
      <c r="C616" s="6" t="n"/>
      <c r="D616" s="6" t="n"/>
      <c r="E616" s="13" t="n"/>
      <c r="F616" s="14" t="n"/>
      <c r="G616" s="12" t="n"/>
      <c r="H616" s="15">
        <f>IF($A616="","",IFERROR(VLOOKUP($A616,Clientes!$A$3:$C$1002,2,0),"NÃO CADASTRADO"))</f>
        <v/>
      </c>
      <c r="I616" s="16">
        <f>IF($A616="","",IFERROR(VLOOKUP($A616,Clientes!$A$3:$C$1002,3,0),"NÃO CADASTRADO"))</f>
        <v/>
      </c>
      <c r="J616" s="12">
        <f>IF($A616="","",IF($A616='Carteira do Cliente'!$B$4,COUNTIF($A$3:$A616,'Carteira do Cliente'!$B$4),""))</f>
        <v/>
      </c>
    </row>
    <row r="617">
      <c r="A617" s="3" t="n"/>
      <c r="B617" s="7" t="n"/>
      <c r="C617" s="4" t="n"/>
      <c r="D617" s="4" t="n"/>
      <c r="E617" s="8" t="n"/>
      <c r="F617" s="9" t="n"/>
      <c r="G617" s="7" t="n"/>
      <c r="H617" s="10">
        <f>IF($A617="","",IFERROR(VLOOKUP($A617,Clientes!$A$3:$C$1002,2,0),"NÃO CADASTRADO"))</f>
        <v/>
      </c>
      <c r="I617" s="11">
        <f>IF($A617="","",IFERROR(VLOOKUP($A617,Clientes!$A$3:$C$1002,3,0),"NÃO CADASTRADO"))</f>
        <v/>
      </c>
      <c r="J617" s="7">
        <f>IF($A617="","",IF($A617='Carteira do Cliente'!$B$4,COUNTIF($A$3:$A617,'Carteira do Cliente'!$B$4),""))</f>
        <v/>
      </c>
    </row>
    <row r="618">
      <c r="A618" s="5" t="n"/>
      <c r="B618" s="12" t="n"/>
      <c r="C618" s="6" t="n"/>
      <c r="D618" s="6" t="n"/>
      <c r="E618" s="13" t="n"/>
      <c r="F618" s="14" t="n"/>
      <c r="G618" s="12" t="n"/>
      <c r="H618" s="15">
        <f>IF($A618="","",IFERROR(VLOOKUP($A618,Clientes!$A$3:$C$1002,2,0),"NÃO CADASTRADO"))</f>
        <v/>
      </c>
      <c r="I618" s="16">
        <f>IF($A618="","",IFERROR(VLOOKUP($A618,Clientes!$A$3:$C$1002,3,0),"NÃO CADASTRADO"))</f>
        <v/>
      </c>
      <c r="J618" s="12">
        <f>IF($A618="","",IF($A618='Carteira do Cliente'!$B$4,COUNTIF($A$3:$A618,'Carteira do Cliente'!$B$4),""))</f>
        <v/>
      </c>
    </row>
    <row r="619">
      <c r="A619" s="3" t="n"/>
      <c r="B619" s="7" t="n"/>
      <c r="C619" s="4" t="n"/>
      <c r="D619" s="4" t="n"/>
      <c r="E619" s="8" t="n"/>
      <c r="F619" s="9" t="n"/>
      <c r="G619" s="7" t="n"/>
      <c r="H619" s="10">
        <f>IF($A619="","",IFERROR(VLOOKUP($A619,Clientes!$A$3:$C$1002,2,0),"NÃO CADASTRADO"))</f>
        <v/>
      </c>
      <c r="I619" s="11">
        <f>IF($A619="","",IFERROR(VLOOKUP($A619,Clientes!$A$3:$C$1002,3,0),"NÃO CADASTRADO"))</f>
        <v/>
      </c>
      <c r="J619" s="7">
        <f>IF($A619="","",IF($A619='Carteira do Cliente'!$B$4,COUNTIF($A$3:$A619,'Carteira do Cliente'!$B$4),""))</f>
        <v/>
      </c>
    </row>
    <row r="620">
      <c r="A620" s="5" t="n"/>
      <c r="B620" s="12" t="n"/>
      <c r="C620" s="6" t="n"/>
      <c r="D620" s="6" t="n"/>
      <c r="E620" s="13" t="n"/>
      <c r="F620" s="14" t="n"/>
      <c r="G620" s="12" t="n"/>
      <c r="H620" s="15">
        <f>IF($A620="","",IFERROR(VLOOKUP($A620,Clientes!$A$3:$C$1002,2,0),"NÃO CADASTRADO"))</f>
        <v/>
      </c>
      <c r="I620" s="16">
        <f>IF($A620="","",IFERROR(VLOOKUP($A620,Clientes!$A$3:$C$1002,3,0),"NÃO CADASTRADO"))</f>
        <v/>
      </c>
      <c r="J620" s="12">
        <f>IF($A620="","",IF($A620='Carteira do Cliente'!$B$4,COUNTIF($A$3:$A620,'Carteira do Cliente'!$B$4),""))</f>
        <v/>
      </c>
    </row>
    <row r="621">
      <c r="A621" s="3" t="n"/>
      <c r="B621" s="7" t="n"/>
      <c r="C621" s="4" t="n"/>
      <c r="D621" s="4" t="n"/>
      <c r="E621" s="8" t="n"/>
      <c r="F621" s="9" t="n"/>
      <c r="G621" s="7" t="n"/>
      <c r="H621" s="10">
        <f>IF($A621="","",IFERROR(VLOOKUP($A621,Clientes!$A$3:$C$1002,2,0),"NÃO CADASTRADO"))</f>
        <v/>
      </c>
      <c r="I621" s="11">
        <f>IF($A621="","",IFERROR(VLOOKUP($A621,Clientes!$A$3:$C$1002,3,0),"NÃO CADASTRADO"))</f>
        <v/>
      </c>
      <c r="J621" s="7">
        <f>IF($A621="","",IF($A621='Carteira do Cliente'!$B$4,COUNTIF($A$3:$A621,'Carteira do Cliente'!$B$4),""))</f>
        <v/>
      </c>
    </row>
    <row r="622">
      <c r="A622" s="5" t="n"/>
      <c r="B622" s="12" t="n"/>
      <c r="C622" s="6" t="n"/>
      <c r="D622" s="6" t="n"/>
      <c r="E622" s="13" t="n"/>
      <c r="F622" s="14" t="n"/>
      <c r="G622" s="12" t="n"/>
      <c r="H622" s="15">
        <f>IF($A622="","",IFERROR(VLOOKUP($A622,Clientes!$A$3:$C$1002,2,0),"NÃO CADASTRADO"))</f>
        <v/>
      </c>
      <c r="I622" s="16">
        <f>IF($A622="","",IFERROR(VLOOKUP($A622,Clientes!$A$3:$C$1002,3,0),"NÃO CADASTRADO"))</f>
        <v/>
      </c>
      <c r="J622" s="12">
        <f>IF($A622="","",IF($A622='Carteira do Cliente'!$B$4,COUNTIF($A$3:$A622,'Carteira do Cliente'!$B$4),""))</f>
        <v/>
      </c>
    </row>
    <row r="623">
      <c r="A623" s="3" t="n"/>
      <c r="B623" s="7" t="n"/>
      <c r="C623" s="4" t="n"/>
      <c r="D623" s="4" t="n"/>
      <c r="E623" s="8" t="n"/>
      <c r="F623" s="9" t="n"/>
      <c r="G623" s="7" t="n"/>
      <c r="H623" s="10">
        <f>IF($A623="","",IFERROR(VLOOKUP($A623,Clientes!$A$3:$C$1002,2,0),"NÃO CADASTRADO"))</f>
        <v/>
      </c>
      <c r="I623" s="11">
        <f>IF($A623="","",IFERROR(VLOOKUP($A623,Clientes!$A$3:$C$1002,3,0),"NÃO CADASTRADO"))</f>
        <v/>
      </c>
      <c r="J623" s="7">
        <f>IF($A623="","",IF($A623='Carteira do Cliente'!$B$4,COUNTIF($A$3:$A623,'Carteira do Cliente'!$B$4),""))</f>
        <v/>
      </c>
    </row>
    <row r="624">
      <c r="A624" s="5" t="n"/>
      <c r="B624" s="12" t="n"/>
      <c r="C624" s="6" t="n"/>
      <c r="D624" s="6" t="n"/>
      <c r="E624" s="13" t="n"/>
      <c r="F624" s="14" t="n"/>
      <c r="G624" s="12" t="n"/>
      <c r="H624" s="15">
        <f>IF($A624="","",IFERROR(VLOOKUP($A624,Clientes!$A$3:$C$1002,2,0),"NÃO CADASTRADO"))</f>
        <v/>
      </c>
      <c r="I624" s="16">
        <f>IF($A624="","",IFERROR(VLOOKUP($A624,Clientes!$A$3:$C$1002,3,0),"NÃO CADASTRADO"))</f>
        <v/>
      </c>
      <c r="J624" s="12">
        <f>IF($A624="","",IF($A624='Carteira do Cliente'!$B$4,COUNTIF($A$3:$A624,'Carteira do Cliente'!$B$4),""))</f>
        <v/>
      </c>
    </row>
    <row r="625">
      <c r="A625" s="3" t="n"/>
      <c r="B625" s="7" t="n"/>
      <c r="C625" s="4" t="n"/>
      <c r="D625" s="4" t="n"/>
      <c r="E625" s="8" t="n"/>
      <c r="F625" s="9" t="n"/>
      <c r="G625" s="7" t="n"/>
      <c r="H625" s="10">
        <f>IF($A625="","",IFERROR(VLOOKUP($A625,Clientes!$A$3:$C$1002,2,0),"NÃO CADASTRADO"))</f>
        <v/>
      </c>
      <c r="I625" s="11">
        <f>IF($A625="","",IFERROR(VLOOKUP($A625,Clientes!$A$3:$C$1002,3,0),"NÃO CADASTRADO"))</f>
        <v/>
      </c>
      <c r="J625" s="7">
        <f>IF($A625="","",IF($A625='Carteira do Cliente'!$B$4,COUNTIF($A$3:$A625,'Carteira do Cliente'!$B$4),""))</f>
        <v/>
      </c>
    </row>
    <row r="626">
      <c r="A626" s="5" t="n"/>
      <c r="B626" s="12" t="n"/>
      <c r="C626" s="6" t="n"/>
      <c r="D626" s="6" t="n"/>
      <c r="E626" s="13" t="n"/>
      <c r="F626" s="14" t="n"/>
      <c r="G626" s="12" t="n"/>
      <c r="H626" s="15">
        <f>IF($A626="","",IFERROR(VLOOKUP($A626,Clientes!$A$3:$C$1002,2,0),"NÃO CADASTRADO"))</f>
        <v/>
      </c>
      <c r="I626" s="16">
        <f>IF($A626="","",IFERROR(VLOOKUP($A626,Clientes!$A$3:$C$1002,3,0),"NÃO CADASTRADO"))</f>
        <v/>
      </c>
      <c r="J626" s="12">
        <f>IF($A626="","",IF($A626='Carteira do Cliente'!$B$4,COUNTIF($A$3:$A626,'Carteira do Cliente'!$B$4),""))</f>
        <v/>
      </c>
    </row>
    <row r="627">
      <c r="A627" s="3" t="n"/>
      <c r="B627" s="7" t="n"/>
      <c r="C627" s="4" t="n"/>
      <c r="D627" s="4" t="n"/>
      <c r="E627" s="8" t="n"/>
      <c r="F627" s="9" t="n"/>
      <c r="G627" s="7" t="n"/>
      <c r="H627" s="10">
        <f>IF($A627="","",IFERROR(VLOOKUP($A627,Clientes!$A$3:$C$1002,2,0),"NÃO CADASTRADO"))</f>
        <v/>
      </c>
      <c r="I627" s="11">
        <f>IF($A627="","",IFERROR(VLOOKUP($A627,Clientes!$A$3:$C$1002,3,0),"NÃO CADASTRADO"))</f>
        <v/>
      </c>
      <c r="J627" s="7">
        <f>IF($A627="","",IF($A627='Carteira do Cliente'!$B$4,COUNTIF($A$3:$A627,'Carteira do Cliente'!$B$4),""))</f>
        <v/>
      </c>
    </row>
    <row r="628">
      <c r="A628" s="5" t="n"/>
      <c r="B628" s="12" t="n"/>
      <c r="C628" s="6" t="n"/>
      <c r="D628" s="6" t="n"/>
      <c r="E628" s="13" t="n"/>
      <c r="F628" s="14" t="n"/>
      <c r="G628" s="12" t="n"/>
      <c r="H628" s="15">
        <f>IF($A628="","",IFERROR(VLOOKUP($A628,Clientes!$A$3:$C$1002,2,0),"NÃO CADASTRADO"))</f>
        <v/>
      </c>
      <c r="I628" s="16">
        <f>IF($A628="","",IFERROR(VLOOKUP($A628,Clientes!$A$3:$C$1002,3,0),"NÃO CADASTRADO"))</f>
        <v/>
      </c>
      <c r="J628" s="12">
        <f>IF($A628="","",IF($A628='Carteira do Cliente'!$B$4,COUNTIF($A$3:$A628,'Carteira do Cliente'!$B$4),""))</f>
        <v/>
      </c>
    </row>
    <row r="629">
      <c r="A629" s="3" t="n"/>
      <c r="B629" s="7" t="n"/>
      <c r="C629" s="4" t="n"/>
      <c r="D629" s="4" t="n"/>
      <c r="E629" s="8" t="n"/>
      <c r="F629" s="9" t="n"/>
      <c r="G629" s="7" t="n"/>
      <c r="H629" s="10">
        <f>IF($A629="","",IFERROR(VLOOKUP($A629,Clientes!$A$3:$C$1002,2,0),"NÃO CADASTRADO"))</f>
        <v/>
      </c>
      <c r="I629" s="11">
        <f>IF($A629="","",IFERROR(VLOOKUP($A629,Clientes!$A$3:$C$1002,3,0),"NÃO CADASTRADO"))</f>
        <v/>
      </c>
      <c r="J629" s="7">
        <f>IF($A629="","",IF($A629='Carteira do Cliente'!$B$4,COUNTIF($A$3:$A629,'Carteira do Cliente'!$B$4),""))</f>
        <v/>
      </c>
    </row>
    <row r="630">
      <c r="A630" s="5" t="n"/>
      <c r="B630" s="12" t="n"/>
      <c r="C630" s="6" t="n"/>
      <c r="D630" s="6" t="n"/>
      <c r="E630" s="13" t="n"/>
      <c r="F630" s="14" t="n"/>
      <c r="G630" s="12" t="n"/>
      <c r="H630" s="15">
        <f>IF($A630="","",IFERROR(VLOOKUP($A630,Clientes!$A$3:$C$1002,2,0),"NÃO CADASTRADO"))</f>
        <v/>
      </c>
      <c r="I630" s="16">
        <f>IF($A630="","",IFERROR(VLOOKUP($A630,Clientes!$A$3:$C$1002,3,0),"NÃO CADASTRADO"))</f>
        <v/>
      </c>
      <c r="J630" s="12">
        <f>IF($A630="","",IF($A630='Carteira do Cliente'!$B$4,COUNTIF($A$3:$A630,'Carteira do Cliente'!$B$4),""))</f>
        <v/>
      </c>
    </row>
    <row r="631">
      <c r="A631" s="3" t="n"/>
      <c r="B631" s="7" t="n"/>
      <c r="C631" s="4" t="n"/>
      <c r="D631" s="4" t="n"/>
      <c r="E631" s="8" t="n"/>
      <c r="F631" s="9" t="n"/>
      <c r="G631" s="7" t="n"/>
      <c r="H631" s="10">
        <f>IF($A631="","",IFERROR(VLOOKUP($A631,Clientes!$A$3:$C$1002,2,0),"NÃO CADASTRADO"))</f>
        <v/>
      </c>
      <c r="I631" s="11">
        <f>IF($A631="","",IFERROR(VLOOKUP($A631,Clientes!$A$3:$C$1002,3,0),"NÃO CADASTRADO"))</f>
        <v/>
      </c>
      <c r="J631" s="7">
        <f>IF($A631="","",IF($A631='Carteira do Cliente'!$B$4,COUNTIF($A$3:$A631,'Carteira do Cliente'!$B$4),""))</f>
        <v/>
      </c>
    </row>
    <row r="632">
      <c r="A632" s="5" t="n"/>
      <c r="B632" s="12" t="n"/>
      <c r="C632" s="6" t="n"/>
      <c r="D632" s="6" t="n"/>
      <c r="E632" s="13" t="n"/>
      <c r="F632" s="14" t="n"/>
      <c r="G632" s="12" t="n"/>
      <c r="H632" s="15">
        <f>IF($A632="","",IFERROR(VLOOKUP($A632,Clientes!$A$3:$C$1002,2,0),"NÃO CADASTRADO"))</f>
        <v/>
      </c>
      <c r="I632" s="16">
        <f>IF($A632="","",IFERROR(VLOOKUP($A632,Clientes!$A$3:$C$1002,3,0),"NÃO CADASTRADO"))</f>
        <v/>
      </c>
      <c r="J632" s="12">
        <f>IF($A632="","",IF($A632='Carteira do Cliente'!$B$4,COUNTIF($A$3:$A632,'Carteira do Cliente'!$B$4),""))</f>
        <v/>
      </c>
    </row>
    <row r="633">
      <c r="A633" s="3" t="n"/>
      <c r="B633" s="7" t="n"/>
      <c r="C633" s="4" t="n"/>
      <c r="D633" s="4" t="n"/>
      <c r="E633" s="8" t="n"/>
      <c r="F633" s="9" t="n"/>
      <c r="G633" s="7" t="n"/>
      <c r="H633" s="10">
        <f>IF($A633="","",IFERROR(VLOOKUP($A633,Clientes!$A$3:$C$1002,2,0),"NÃO CADASTRADO"))</f>
        <v/>
      </c>
      <c r="I633" s="11">
        <f>IF($A633="","",IFERROR(VLOOKUP($A633,Clientes!$A$3:$C$1002,3,0),"NÃO CADASTRADO"))</f>
        <v/>
      </c>
      <c r="J633" s="7">
        <f>IF($A633="","",IF($A633='Carteira do Cliente'!$B$4,COUNTIF($A$3:$A633,'Carteira do Cliente'!$B$4),""))</f>
        <v/>
      </c>
    </row>
    <row r="634">
      <c r="A634" s="5" t="n"/>
      <c r="B634" s="12" t="n"/>
      <c r="C634" s="6" t="n"/>
      <c r="D634" s="6" t="n"/>
      <c r="E634" s="13" t="n"/>
      <c r="F634" s="14" t="n"/>
      <c r="G634" s="12" t="n"/>
      <c r="H634" s="15">
        <f>IF($A634="","",IFERROR(VLOOKUP($A634,Clientes!$A$3:$C$1002,2,0),"NÃO CADASTRADO"))</f>
        <v/>
      </c>
      <c r="I634" s="16">
        <f>IF($A634="","",IFERROR(VLOOKUP($A634,Clientes!$A$3:$C$1002,3,0),"NÃO CADASTRADO"))</f>
        <v/>
      </c>
      <c r="J634" s="12">
        <f>IF($A634="","",IF($A634='Carteira do Cliente'!$B$4,COUNTIF($A$3:$A634,'Carteira do Cliente'!$B$4),""))</f>
        <v/>
      </c>
    </row>
    <row r="635">
      <c r="A635" s="3" t="n"/>
      <c r="B635" s="7" t="n"/>
      <c r="C635" s="4" t="n"/>
      <c r="D635" s="4" t="n"/>
      <c r="E635" s="8" t="n"/>
      <c r="F635" s="9" t="n"/>
      <c r="G635" s="7" t="n"/>
      <c r="H635" s="10">
        <f>IF($A635="","",IFERROR(VLOOKUP($A635,Clientes!$A$3:$C$1002,2,0),"NÃO CADASTRADO"))</f>
        <v/>
      </c>
      <c r="I635" s="11">
        <f>IF($A635="","",IFERROR(VLOOKUP($A635,Clientes!$A$3:$C$1002,3,0),"NÃO CADASTRADO"))</f>
        <v/>
      </c>
      <c r="J635" s="7">
        <f>IF($A635="","",IF($A635='Carteira do Cliente'!$B$4,COUNTIF($A$3:$A635,'Carteira do Cliente'!$B$4),""))</f>
        <v/>
      </c>
    </row>
    <row r="636">
      <c r="A636" s="5" t="n"/>
      <c r="B636" s="12" t="n"/>
      <c r="C636" s="6" t="n"/>
      <c r="D636" s="6" t="n"/>
      <c r="E636" s="13" t="n"/>
      <c r="F636" s="14" t="n"/>
      <c r="G636" s="12" t="n"/>
      <c r="H636" s="15">
        <f>IF($A636="","",IFERROR(VLOOKUP($A636,Clientes!$A$3:$C$1002,2,0),"NÃO CADASTRADO"))</f>
        <v/>
      </c>
      <c r="I636" s="16">
        <f>IF($A636="","",IFERROR(VLOOKUP($A636,Clientes!$A$3:$C$1002,3,0),"NÃO CADASTRADO"))</f>
        <v/>
      </c>
      <c r="J636" s="12">
        <f>IF($A636="","",IF($A636='Carteira do Cliente'!$B$4,COUNTIF($A$3:$A636,'Carteira do Cliente'!$B$4),""))</f>
        <v/>
      </c>
    </row>
    <row r="637">
      <c r="A637" s="3" t="n"/>
      <c r="B637" s="7" t="n"/>
      <c r="C637" s="4" t="n"/>
      <c r="D637" s="4" t="n"/>
      <c r="E637" s="8" t="n"/>
      <c r="F637" s="9" t="n"/>
      <c r="G637" s="7" t="n"/>
      <c r="H637" s="10">
        <f>IF($A637="","",IFERROR(VLOOKUP($A637,Clientes!$A$3:$C$1002,2,0),"NÃO CADASTRADO"))</f>
        <v/>
      </c>
      <c r="I637" s="11">
        <f>IF($A637="","",IFERROR(VLOOKUP($A637,Clientes!$A$3:$C$1002,3,0),"NÃO CADASTRADO"))</f>
        <v/>
      </c>
      <c r="J637" s="7">
        <f>IF($A637="","",IF($A637='Carteira do Cliente'!$B$4,COUNTIF($A$3:$A637,'Carteira do Cliente'!$B$4),""))</f>
        <v/>
      </c>
    </row>
    <row r="638">
      <c r="A638" s="5" t="n"/>
      <c r="B638" s="12" t="n"/>
      <c r="C638" s="6" t="n"/>
      <c r="D638" s="6" t="n"/>
      <c r="E638" s="13" t="n"/>
      <c r="F638" s="14" t="n"/>
      <c r="G638" s="12" t="n"/>
      <c r="H638" s="15">
        <f>IF($A638="","",IFERROR(VLOOKUP($A638,Clientes!$A$3:$C$1002,2,0),"NÃO CADASTRADO"))</f>
        <v/>
      </c>
      <c r="I638" s="16">
        <f>IF($A638="","",IFERROR(VLOOKUP($A638,Clientes!$A$3:$C$1002,3,0),"NÃO CADASTRADO"))</f>
        <v/>
      </c>
      <c r="J638" s="12">
        <f>IF($A638="","",IF($A638='Carteira do Cliente'!$B$4,COUNTIF($A$3:$A638,'Carteira do Cliente'!$B$4),""))</f>
        <v/>
      </c>
    </row>
    <row r="639">
      <c r="A639" s="3" t="n"/>
      <c r="B639" s="7" t="n"/>
      <c r="C639" s="4" t="n"/>
      <c r="D639" s="4" t="n"/>
      <c r="E639" s="8" t="n"/>
      <c r="F639" s="9" t="n"/>
      <c r="G639" s="7" t="n"/>
      <c r="H639" s="10">
        <f>IF($A639="","",IFERROR(VLOOKUP($A639,Clientes!$A$3:$C$1002,2,0),"NÃO CADASTRADO"))</f>
        <v/>
      </c>
      <c r="I639" s="11">
        <f>IF($A639="","",IFERROR(VLOOKUP($A639,Clientes!$A$3:$C$1002,3,0),"NÃO CADASTRADO"))</f>
        <v/>
      </c>
      <c r="J639" s="7">
        <f>IF($A639="","",IF($A639='Carteira do Cliente'!$B$4,COUNTIF($A$3:$A639,'Carteira do Cliente'!$B$4),""))</f>
        <v/>
      </c>
    </row>
    <row r="640">
      <c r="A640" s="5" t="n"/>
      <c r="B640" s="12" t="n"/>
      <c r="C640" s="6" t="n"/>
      <c r="D640" s="6" t="n"/>
      <c r="E640" s="13" t="n"/>
      <c r="F640" s="14" t="n"/>
      <c r="G640" s="12" t="n"/>
      <c r="H640" s="15">
        <f>IF($A640="","",IFERROR(VLOOKUP($A640,Clientes!$A$3:$C$1002,2,0),"NÃO CADASTRADO"))</f>
        <v/>
      </c>
      <c r="I640" s="16">
        <f>IF($A640="","",IFERROR(VLOOKUP($A640,Clientes!$A$3:$C$1002,3,0),"NÃO CADASTRADO"))</f>
        <v/>
      </c>
      <c r="J640" s="12">
        <f>IF($A640="","",IF($A640='Carteira do Cliente'!$B$4,COUNTIF($A$3:$A640,'Carteira do Cliente'!$B$4),""))</f>
        <v/>
      </c>
    </row>
    <row r="641">
      <c r="A641" s="3" t="n"/>
      <c r="B641" s="7" t="n"/>
      <c r="C641" s="4" t="n"/>
      <c r="D641" s="4" t="n"/>
      <c r="E641" s="8" t="n"/>
      <c r="F641" s="9" t="n"/>
      <c r="G641" s="7" t="n"/>
      <c r="H641" s="10">
        <f>IF($A641="","",IFERROR(VLOOKUP($A641,Clientes!$A$3:$C$1002,2,0),"NÃO CADASTRADO"))</f>
        <v/>
      </c>
      <c r="I641" s="11">
        <f>IF($A641="","",IFERROR(VLOOKUP($A641,Clientes!$A$3:$C$1002,3,0),"NÃO CADASTRADO"))</f>
        <v/>
      </c>
      <c r="J641" s="7">
        <f>IF($A641="","",IF($A641='Carteira do Cliente'!$B$4,COUNTIF($A$3:$A641,'Carteira do Cliente'!$B$4),""))</f>
        <v/>
      </c>
    </row>
    <row r="642">
      <c r="A642" s="5" t="n"/>
      <c r="B642" s="12" t="n"/>
      <c r="C642" s="6" t="n"/>
      <c r="D642" s="6" t="n"/>
      <c r="E642" s="13" t="n"/>
      <c r="F642" s="14" t="n"/>
      <c r="G642" s="12" t="n"/>
      <c r="H642" s="15">
        <f>IF($A642="","",IFERROR(VLOOKUP($A642,Clientes!$A$3:$C$1002,2,0),"NÃO CADASTRADO"))</f>
        <v/>
      </c>
      <c r="I642" s="16">
        <f>IF($A642="","",IFERROR(VLOOKUP($A642,Clientes!$A$3:$C$1002,3,0),"NÃO CADASTRADO"))</f>
        <v/>
      </c>
      <c r="J642" s="12">
        <f>IF($A642="","",IF($A642='Carteira do Cliente'!$B$4,COUNTIF($A$3:$A642,'Carteira do Cliente'!$B$4),""))</f>
        <v/>
      </c>
    </row>
    <row r="643">
      <c r="A643" s="3" t="n"/>
      <c r="B643" s="7" t="n"/>
      <c r="C643" s="4" t="n"/>
      <c r="D643" s="4" t="n"/>
      <c r="E643" s="8" t="n"/>
      <c r="F643" s="9" t="n"/>
      <c r="G643" s="7" t="n"/>
      <c r="H643" s="10">
        <f>IF($A643="","",IFERROR(VLOOKUP($A643,Clientes!$A$3:$C$1002,2,0),"NÃO CADASTRADO"))</f>
        <v/>
      </c>
      <c r="I643" s="11">
        <f>IF($A643="","",IFERROR(VLOOKUP($A643,Clientes!$A$3:$C$1002,3,0),"NÃO CADASTRADO"))</f>
        <v/>
      </c>
      <c r="J643" s="7">
        <f>IF($A643="","",IF($A643='Carteira do Cliente'!$B$4,COUNTIF($A$3:$A643,'Carteira do Cliente'!$B$4),""))</f>
        <v/>
      </c>
    </row>
    <row r="644">
      <c r="A644" s="5" t="n"/>
      <c r="B644" s="12" t="n"/>
      <c r="C644" s="6" t="n"/>
      <c r="D644" s="6" t="n"/>
      <c r="E644" s="13" t="n"/>
      <c r="F644" s="14" t="n"/>
      <c r="G644" s="12" t="n"/>
      <c r="H644" s="15">
        <f>IF($A644="","",IFERROR(VLOOKUP($A644,Clientes!$A$3:$C$1002,2,0),"NÃO CADASTRADO"))</f>
        <v/>
      </c>
      <c r="I644" s="16">
        <f>IF($A644="","",IFERROR(VLOOKUP($A644,Clientes!$A$3:$C$1002,3,0),"NÃO CADASTRADO"))</f>
        <v/>
      </c>
      <c r="J644" s="12">
        <f>IF($A644="","",IF($A644='Carteira do Cliente'!$B$4,COUNTIF($A$3:$A644,'Carteira do Cliente'!$B$4),""))</f>
        <v/>
      </c>
    </row>
    <row r="645">
      <c r="A645" s="3" t="n"/>
      <c r="B645" s="7" t="n"/>
      <c r="C645" s="4" t="n"/>
      <c r="D645" s="4" t="n"/>
      <c r="E645" s="8" t="n"/>
      <c r="F645" s="9" t="n"/>
      <c r="G645" s="7" t="n"/>
      <c r="H645" s="10">
        <f>IF($A645="","",IFERROR(VLOOKUP($A645,Clientes!$A$3:$C$1002,2,0),"NÃO CADASTRADO"))</f>
        <v/>
      </c>
      <c r="I645" s="11">
        <f>IF($A645="","",IFERROR(VLOOKUP($A645,Clientes!$A$3:$C$1002,3,0),"NÃO CADASTRADO"))</f>
        <v/>
      </c>
      <c r="J645" s="7">
        <f>IF($A645="","",IF($A645='Carteira do Cliente'!$B$4,COUNTIF($A$3:$A645,'Carteira do Cliente'!$B$4),""))</f>
        <v/>
      </c>
    </row>
    <row r="646">
      <c r="A646" s="5" t="n"/>
      <c r="B646" s="12" t="n"/>
      <c r="C646" s="6" t="n"/>
      <c r="D646" s="6" t="n"/>
      <c r="E646" s="13" t="n"/>
      <c r="F646" s="14" t="n"/>
      <c r="G646" s="12" t="n"/>
      <c r="H646" s="15">
        <f>IF($A646="","",IFERROR(VLOOKUP($A646,Clientes!$A$3:$C$1002,2,0),"NÃO CADASTRADO"))</f>
        <v/>
      </c>
      <c r="I646" s="16">
        <f>IF($A646="","",IFERROR(VLOOKUP($A646,Clientes!$A$3:$C$1002,3,0),"NÃO CADASTRADO"))</f>
        <v/>
      </c>
      <c r="J646" s="12">
        <f>IF($A646="","",IF($A646='Carteira do Cliente'!$B$4,COUNTIF($A$3:$A646,'Carteira do Cliente'!$B$4),""))</f>
        <v/>
      </c>
    </row>
    <row r="647">
      <c r="A647" s="3" t="n"/>
      <c r="B647" s="7" t="n"/>
      <c r="C647" s="4" t="n"/>
      <c r="D647" s="4" t="n"/>
      <c r="E647" s="8" t="n"/>
      <c r="F647" s="9" t="n"/>
      <c r="G647" s="7" t="n"/>
      <c r="H647" s="10">
        <f>IF($A647="","",IFERROR(VLOOKUP($A647,Clientes!$A$3:$C$1002,2,0),"NÃO CADASTRADO"))</f>
        <v/>
      </c>
      <c r="I647" s="11">
        <f>IF($A647="","",IFERROR(VLOOKUP($A647,Clientes!$A$3:$C$1002,3,0),"NÃO CADASTRADO"))</f>
        <v/>
      </c>
      <c r="J647" s="7">
        <f>IF($A647="","",IF($A647='Carteira do Cliente'!$B$4,COUNTIF($A$3:$A647,'Carteira do Cliente'!$B$4),""))</f>
        <v/>
      </c>
    </row>
    <row r="648">
      <c r="A648" s="5" t="n"/>
      <c r="B648" s="12" t="n"/>
      <c r="C648" s="6" t="n"/>
      <c r="D648" s="6" t="n"/>
      <c r="E648" s="13" t="n"/>
      <c r="F648" s="14" t="n"/>
      <c r="G648" s="12" t="n"/>
      <c r="H648" s="15">
        <f>IF($A648="","",IFERROR(VLOOKUP($A648,Clientes!$A$3:$C$1002,2,0),"NÃO CADASTRADO"))</f>
        <v/>
      </c>
      <c r="I648" s="16">
        <f>IF($A648="","",IFERROR(VLOOKUP($A648,Clientes!$A$3:$C$1002,3,0),"NÃO CADASTRADO"))</f>
        <v/>
      </c>
      <c r="J648" s="12">
        <f>IF($A648="","",IF($A648='Carteira do Cliente'!$B$4,COUNTIF($A$3:$A648,'Carteira do Cliente'!$B$4),""))</f>
        <v/>
      </c>
    </row>
    <row r="649">
      <c r="A649" s="3" t="n"/>
      <c r="B649" s="7" t="n"/>
      <c r="C649" s="4" t="n"/>
      <c r="D649" s="4" t="n"/>
      <c r="E649" s="8" t="n"/>
      <c r="F649" s="9" t="n"/>
      <c r="G649" s="7" t="n"/>
      <c r="H649" s="10">
        <f>IF($A649="","",IFERROR(VLOOKUP($A649,Clientes!$A$3:$C$1002,2,0),"NÃO CADASTRADO"))</f>
        <v/>
      </c>
      <c r="I649" s="11">
        <f>IF($A649="","",IFERROR(VLOOKUP($A649,Clientes!$A$3:$C$1002,3,0),"NÃO CADASTRADO"))</f>
        <v/>
      </c>
      <c r="J649" s="7">
        <f>IF($A649="","",IF($A649='Carteira do Cliente'!$B$4,COUNTIF($A$3:$A649,'Carteira do Cliente'!$B$4),""))</f>
        <v/>
      </c>
    </row>
    <row r="650">
      <c r="A650" s="5" t="n"/>
      <c r="B650" s="12" t="n"/>
      <c r="C650" s="6" t="n"/>
      <c r="D650" s="6" t="n"/>
      <c r="E650" s="13" t="n"/>
      <c r="F650" s="14" t="n"/>
      <c r="G650" s="12" t="n"/>
      <c r="H650" s="15">
        <f>IF($A650="","",IFERROR(VLOOKUP($A650,Clientes!$A$3:$C$1002,2,0),"NÃO CADASTRADO"))</f>
        <v/>
      </c>
      <c r="I650" s="16">
        <f>IF($A650="","",IFERROR(VLOOKUP($A650,Clientes!$A$3:$C$1002,3,0),"NÃO CADASTRADO"))</f>
        <v/>
      </c>
      <c r="J650" s="12">
        <f>IF($A650="","",IF($A650='Carteira do Cliente'!$B$4,COUNTIF($A$3:$A650,'Carteira do Cliente'!$B$4),""))</f>
        <v/>
      </c>
    </row>
    <row r="651">
      <c r="A651" s="3" t="n"/>
      <c r="B651" s="7" t="n"/>
      <c r="C651" s="4" t="n"/>
      <c r="D651" s="4" t="n"/>
      <c r="E651" s="8" t="n"/>
      <c r="F651" s="9" t="n"/>
      <c r="G651" s="7" t="n"/>
      <c r="H651" s="10">
        <f>IF($A651="","",IFERROR(VLOOKUP($A651,Clientes!$A$3:$C$1002,2,0),"NÃO CADASTRADO"))</f>
        <v/>
      </c>
      <c r="I651" s="11">
        <f>IF($A651="","",IFERROR(VLOOKUP($A651,Clientes!$A$3:$C$1002,3,0),"NÃO CADASTRADO"))</f>
        <v/>
      </c>
      <c r="J651" s="7">
        <f>IF($A651="","",IF($A651='Carteira do Cliente'!$B$4,COUNTIF($A$3:$A651,'Carteira do Cliente'!$B$4),""))</f>
        <v/>
      </c>
    </row>
    <row r="652">
      <c r="A652" s="5" t="n"/>
      <c r="B652" s="12" t="n"/>
      <c r="C652" s="6" t="n"/>
      <c r="D652" s="6" t="n"/>
      <c r="E652" s="13" t="n"/>
      <c r="F652" s="14" t="n"/>
      <c r="G652" s="12" t="n"/>
      <c r="H652" s="15">
        <f>IF($A652="","",IFERROR(VLOOKUP($A652,Clientes!$A$3:$C$1002,2,0),"NÃO CADASTRADO"))</f>
        <v/>
      </c>
      <c r="I652" s="16">
        <f>IF($A652="","",IFERROR(VLOOKUP($A652,Clientes!$A$3:$C$1002,3,0),"NÃO CADASTRADO"))</f>
        <v/>
      </c>
      <c r="J652" s="12">
        <f>IF($A652="","",IF($A652='Carteira do Cliente'!$B$4,COUNTIF($A$3:$A652,'Carteira do Cliente'!$B$4),""))</f>
        <v/>
      </c>
    </row>
    <row r="653">
      <c r="A653" s="3" t="n"/>
      <c r="B653" s="7" t="n"/>
      <c r="C653" s="4" t="n"/>
      <c r="D653" s="4" t="n"/>
      <c r="E653" s="8" t="n"/>
      <c r="F653" s="9" t="n"/>
      <c r="G653" s="7" t="n"/>
      <c r="H653" s="10">
        <f>IF($A653="","",IFERROR(VLOOKUP($A653,Clientes!$A$3:$C$1002,2,0),"NÃO CADASTRADO"))</f>
        <v/>
      </c>
      <c r="I653" s="11">
        <f>IF($A653="","",IFERROR(VLOOKUP($A653,Clientes!$A$3:$C$1002,3,0),"NÃO CADASTRADO"))</f>
        <v/>
      </c>
      <c r="J653" s="7">
        <f>IF($A653="","",IF($A653='Carteira do Cliente'!$B$4,COUNTIF($A$3:$A653,'Carteira do Cliente'!$B$4),""))</f>
        <v/>
      </c>
    </row>
    <row r="654">
      <c r="A654" s="5" t="n"/>
      <c r="B654" s="12" t="n"/>
      <c r="C654" s="6" t="n"/>
      <c r="D654" s="6" t="n"/>
      <c r="E654" s="13" t="n"/>
      <c r="F654" s="14" t="n"/>
      <c r="G654" s="12" t="n"/>
      <c r="H654" s="15">
        <f>IF($A654="","",IFERROR(VLOOKUP($A654,Clientes!$A$3:$C$1002,2,0),"NÃO CADASTRADO"))</f>
        <v/>
      </c>
      <c r="I654" s="16">
        <f>IF($A654="","",IFERROR(VLOOKUP($A654,Clientes!$A$3:$C$1002,3,0),"NÃO CADASTRADO"))</f>
        <v/>
      </c>
      <c r="J654" s="12">
        <f>IF($A654="","",IF($A654='Carteira do Cliente'!$B$4,COUNTIF($A$3:$A654,'Carteira do Cliente'!$B$4),""))</f>
        <v/>
      </c>
    </row>
    <row r="655">
      <c r="A655" s="3" t="n"/>
      <c r="B655" s="7" t="n"/>
      <c r="C655" s="4" t="n"/>
      <c r="D655" s="4" t="n"/>
      <c r="E655" s="8" t="n"/>
      <c r="F655" s="9" t="n"/>
      <c r="G655" s="7" t="n"/>
      <c r="H655" s="10">
        <f>IF($A655="","",IFERROR(VLOOKUP($A655,Clientes!$A$3:$C$1002,2,0),"NÃO CADASTRADO"))</f>
        <v/>
      </c>
      <c r="I655" s="11">
        <f>IF($A655="","",IFERROR(VLOOKUP($A655,Clientes!$A$3:$C$1002,3,0),"NÃO CADASTRADO"))</f>
        <v/>
      </c>
      <c r="J655" s="7">
        <f>IF($A655="","",IF($A655='Carteira do Cliente'!$B$4,COUNTIF($A$3:$A655,'Carteira do Cliente'!$B$4),""))</f>
        <v/>
      </c>
    </row>
    <row r="656">
      <c r="A656" s="5" t="n"/>
      <c r="B656" s="12" t="n"/>
      <c r="C656" s="6" t="n"/>
      <c r="D656" s="6" t="n"/>
      <c r="E656" s="13" t="n"/>
      <c r="F656" s="14" t="n"/>
      <c r="G656" s="12" t="n"/>
      <c r="H656" s="15">
        <f>IF($A656="","",IFERROR(VLOOKUP($A656,Clientes!$A$3:$C$1002,2,0),"NÃO CADASTRADO"))</f>
        <v/>
      </c>
      <c r="I656" s="16">
        <f>IF($A656="","",IFERROR(VLOOKUP($A656,Clientes!$A$3:$C$1002,3,0),"NÃO CADASTRADO"))</f>
        <v/>
      </c>
      <c r="J656" s="12">
        <f>IF($A656="","",IF($A656='Carteira do Cliente'!$B$4,COUNTIF($A$3:$A656,'Carteira do Cliente'!$B$4),""))</f>
        <v/>
      </c>
    </row>
    <row r="657">
      <c r="A657" s="3" t="n"/>
      <c r="B657" s="7" t="n"/>
      <c r="C657" s="4" t="n"/>
      <c r="D657" s="4" t="n"/>
      <c r="E657" s="8" t="n"/>
      <c r="F657" s="9" t="n"/>
      <c r="G657" s="7" t="n"/>
      <c r="H657" s="10">
        <f>IF($A657="","",IFERROR(VLOOKUP($A657,Clientes!$A$3:$C$1002,2,0),"NÃO CADASTRADO"))</f>
        <v/>
      </c>
      <c r="I657" s="11">
        <f>IF($A657="","",IFERROR(VLOOKUP($A657,Clientes!$A$3:$C$1002,3,0),"NÃO CADASTRADO"))</f>
        <v/>
      </c>
      <c r="J657" s="7">
        <f>IF($A657="","",IF($A657='Carteira do Cliente'!$B$4,COUNTIF($A$3:$A657,'Carteira do Cliente'!$B$4),""))</f>
        <v/>
      </c>
    </row>
    <row r="658">
      <c r="A658" s="5" t="n"/>
      <c r="B658" s="12" t="n"/>
      <c r="C658" s="6" t="n"/>
      <c r="D658" s="6" t="n"/>
      <c r="E658" s="13" t="n"/>
      <c r="F658" s="14" t="n"/>
      <c r="G658" s="12" t="n"/>
      <c r="H658" s="15">
        <f>IF($A658="","",IFERROR(VLOOKUP($A658,Clientes!$A$3:$C$1002,2,0),"NÃO CADASTRADO"))</f>
        <v/>
      </c>
      <c r="I658" s="16">
        <f>IF($A658="","",IFERROR(VLOOKUP($A658,Clientes!$A$3:$C$1002,3,0),"NÃO CADASTRADO"))</f>
        <v/>
      </c>
      <c r="J658" s="12">
        <f>IF($A658="","",IF($A658='Carteira do Cliente'!$B$4,COUNTIF($A$3:$A658,'Carteira do Cliente'!$B$4),""))</f>
        <v/>
      </c>
    </row>
    <row r="659">
      <c r="A659" s="3" t="n"/>
      <c r="B659" s="7" t="n"/>
      <c r="C659" s="4" t="n"/>
      <c r="D659" s="4" t="n"/>
      <c r="E659" s="8" t="n"/>
      <c r="F659" s="9" t="n"/>
      <c r="G659" s="7" t="n"/>
      <c r="H659" s="10">
        <f>IF($A659="","",IFERROR(VLOOKUP($A659,Clientes!$A$3:$C$1002,2,0),"NÃO CADASTRADO"))</f>
        <v/>
      </c>
      <c r="I659" s="11">
        <f>IF($A659="","",IFERROR(VLOOKUP($A659,Clientes!$A$3:$C$1002,3,0),"NÃO CADASTRADO"))</f>
        <v/>
      </c>
      <c r="J659" s="7">
        <f>IF($A659="","",IF($A659='Carteira do Cliente'!$B$4,COUNTIF($A$3:$A659,'Carteira do Cliente'!$B$4),""))</f>
        <v/>
      </c>
    </row>
    <row r="660">
      <c r="A660" s="5" t="n"/>
      <c r="B660" s="12" t="n"/>
      <c r="C660" s="6" t="n"/>
      <c r="D660" s="6" t="n"/>
      <c r="E660" s="13" t="n"/>
      <c r="F660" s="14" t="n"/>
      <c r="G660" s="12" t="n"/>
      <c r="H660" s="15">
        <f>IF($A660="","",IFERROR(VLOOKUP($A660,Clientes!$A$3:$C$1002,2,0),"NÃO CADASTRADO"))</f>
        <v/>
      </c>
      <c r="I660" s="16">
        <f>IF($A660="","",IFERROR(VLOOKUP($A660,Clientes!$A$3:$C$1002,3,0),"NÃO CADASTRADO"))</f>
        <v/>
      </c>
      <c r="J660" s="12">
        <f>IF($A660="","",IF($A660='Carteira do Cliente'!$B$4,COUNTIF($A$3:$A660,'Carteira do Cliente'!$B$4),""))</f>
        <v/>
      </c>
    </row>
    <row r="661">
      <c r="A661" s="3" t="n"/>
      <c r="B661" s="7" t="n"/>
      <c r="C661" s="4" t="n"/>
      <c r="D661" s="4" t="n"/>
      <c r="E661" s="8" t="n"/>
      <c r="F661" s="9" t="n"/>
      <c r="G661" s="7" t="n"/>
      <c r="H661" s="10">
        <f>IF($A661="","",IFERROR(VLOOKUP($A661,Clientes!$A$3:$C$1002,2,0),"NÃO CADASTRADO"))</f>
        <v/>
      </c>
      <c r="I661" s="11">
        <f>IF($A661="","",IFERROR(VLOOKUP($A661,Clientes!$A$3:$C$1002,3,0),"NÃO CADASTRADO"))</f>
        <v/>
      </c>
      <c r="J661" s="7">
        <f>IF($A661="","",IF($A661='Carteira do Cliente'!$B$4,COUNTIF($A$3:$A661,'Carteira do Cliente'!$B$4),""))</f>
        <v/>
      </c>
    </row>
    <row r="662">
      <c r="A662" s="5" t="n"/>
      <c r="B662" s="12" t="n"/>
      <c r="C662" s="6" t="n"/>
      <c r="D662" s="6" t="n"/>
      <c r="E662" s="13" t="n"/>
      <c r="F662" s="14" t="n"/>
      <c r="G662" s="12" t="n"/>
      <c r="H662" s="15">
        <f>IF($A662="","",IFERROR(VLOOKUP($A662,Clientes!$A$3:$C$1002,2,0),"NÃO CADASTRADO"))</f>
        <v/>
      </c>
      <c r="I662" s="16">
        <f>IF($A662="","",IFERROR(VLOOKUP($A662,Clientes!$A$3:$C$1002,3,0),"NÃO CADASTRADO"))</f>
        <v/>
      </c>
      <c r="J662" s="12">
        <f>IF($A662="","",IF($A662='Carteira do Cliente'!$B$4,COUNTIF($A$3:$A662,'Carteira do Cliente'!$B$4),""))</f>
        <v/>
      </c>
    </row>
    <row r="663">
      <c r="A663" s="3" t="n"/>
      <c r="B663" s="7" t="n"/>
      <c r="C663" s="4" t="n"/>
      <c r="D663" s="4" t="n"/>
      <c r="E663" s="8" t="n"/>
      <c r="F663" s="9" t="n"/>
      <c r="G663" s="7" t="n"/>
      <c r="H663" s="10">
        <f>IF($A663="","",IFERROR(VLOOKUP($A663,Clientes!$A$3:$C$1002,2,0),"NÃO CADASTRADO"))</f>
        <v/>
      </c>
      <c r="I663" s="11">
        <f>IF($A663="","",IFERROR(VLOOKUP($A663,Clientes!$A$3:$C$1002,3,0),"NÃO CADASTRADO"))</f>
        <v/>
      </c>
      <c r="J663" s="7">
        <f>IF($A663="","",IF($A663='Carteira do Cliente'!$B$4,COUNTIF($A$3:$A663,'Carteira do Cliente'!$B$4),""))</f>
        <v/>
      </c>
    </row>
    <row r="664">
      <c r="A664" s="5" t="n"/>
      <c r="B664" s="12" t="n"/>
      <c r="C664" s="6" t="n"/>
      <c r="D664" s="6" t="n"/>
      <c r="E664" s="13" t="n"/>
      <c r="F664" s="14" t="n"/>
      <c r="G664" s="12" t="n"/>
      <c r="H664" s="15">
        <f>IF($A664="","",IFERROR(VLOOKUP($A664,Clientes!$A$3:$C$1002,2,0),"NÃO CADASTRADO"))</f>
        <v/>
      </c>
      <c r="I664" s="16">
        <f>IF($A664="","",IFERROR(VLOOKUP($A664,Clientes!$A$3:$C$1002,3,0),"NÃO CADASTRADO"))</f>
        <v/>
      </c>
      <c r="J664" s="12">
        <f>IF($A664="","",IF($A664='Carteira do Cliente'!$B$4,COUNTIF($A$3:$A664,'Carteira do Cliente'!$B$4),""))</f>
        <v/>
      </c>
    </row>
    <row r="665">
      <c r="A665" s="3" t="n"/>
      <c r="B665" s="7" t="n"/>
      <c r="C665" s="4" t="n"/>
      <c r="D665" s="4" t="n"/>
      <c r="E665" s="8" t="n"/>
      <c r="F665" s="9" t="n"/>
      <c r="G665" s="7" t="n"/>
      <c r="H665" s="10">
        <f>IF($A665="","",IFERROR(VLOOKUP($A665,Clientes!$A$3:$C$1002,2,0),"NÃO CADASTRADO"))</f>
        <v/>
      </c>
      <c r="I665" s="11">
        <f>IF($A665="","",IFERROR(VLOOKUP($A665,Clientes!$A$3:$C$1002,3,0),"NÃO CADASTRADO"))</f>
        <v/>
      </c>
      <c r="J665" s="7">
        <f>IF($A665="","",IF($A665='Carteira do Cliente'!$B$4,COUNTIF($A$3:$A665,'Carteira do Cliente'!$B$4),""))</f>
        <v/>
      </c>
    </row>
    <row r="666">
      <c r="A666" s="5" t="n"/>
      <c r="B666" s="12" t="n"/>
      <c r="C666" s="6" t="n"/>
      <c r="D666" s="6" t="n"/>
      <c r="E666" s="13" t="n"/>
      <c r="F666" s="14" t="n"/>
      <c r="G666" s="12" t="n"/>
      <c r="H666" s="15">
        <f>IF($A666="","",IFERROR(VLOOKUP($A666,Clientes!$A$3:$C$1002,2,0),"NÃO CADASTRADO"))</f>
        <v/>
      </c>
      <c r="I666" s="16">
        <f>IF($A666="","",IFERROR(VLOOKUP($A666,Clientes!$A$3:$C$1002,3,0),"NÃO CADASTRADO"))</f>
        <v/>
      </c>
      <c r="J666" s="12">
        <f>IF($A666="","",IF($A666='Carteira do Cliente'!$B$4,COUNTIF($A$3:$A666,'Carteira do Cliente'!$B$4),""))</f>
        <v/>
      </c>
    </row>
    <row r="667">
      <c r="A667" s="3" t="n"/>
      <c r="B667" s="7" t="n"/>
      <c r="C667" s="4" t="n"/>
      <c r="D667" s="4" t="n"/>
      <c r="E667" s="8" t="n"/>
      <c r="F667" s="9" t="n"/>
      <c r="G667" s="7" t="n"/>
      <c r="H667" s="10">
        <f>IF($A667="","",IFERROR(VLOOKUP($A667,Clientes!$A$3:$C$1002,2,0),"NÃO CADASTRADO"))</f>
        <v/>
      </c>
      <c r="I667" s="11">
        <f>IF($A667="","",IFERROR(VLOOKUP($A667,Clientes!$A$3:$C$1002,3,0),"NÃO CADASTRADO"))</f>
        <v/>
      </c>
      <c r="J667" s="7">
        <f>IF($A667="","",IF($A667='Carteira do Cliente'!$B$4,COUNTIF($A$3:$A667,'Carteira do Cliente'!$B$4),""))</f>
        <v/>
      </c>
    </row>
    <row r="668">
      <c r="A668" s="5" t="n"/>
      <c r="B668" s="12" t="n"/>
      <c r="C668" s="6" t="n"/>
      <c r="D668" s="6" t="n"/>
      <c r="E668" s="13" t="n"/>
      <c r="F668" s="14" t="n"/>
      <c r="G668" s="12" t="n"/>
      <c r="H668" s="15">
        <f>IF($A668="","",IFERROR(VLOOKUP($A668,Clientes!$A$3:$C$1002,2,0),"NÃO CADASTRADO"))</f>
        <v/>
      </c>
      <c r="I668" s="16">
        <f>IF($A668="","",IFERROR(VLOOKUP($A668,Clientes!$A$3:$C$1002,3,0),"NÃO CADASTRADO"))</f>
        <v/>
      </c>
      <c r="J668" s="12">
        <f>IF($A668="","",IF($A668='Carteira do Cliente'!$B$4,COUNTIF($A$3:$A668,'Carteira do Cliente'!$B$4),""))</f>
        <v/>
      </c>
    </row>
    <row r="669">
      <c r="A669" s="3" t="n"/>
      <c r="B669" s="7" t="n"/>
      <c r="C669" s="4" t="n"/>
      <c r="D669" s="4" t="n"/>
      <c r="E669" s="8" t="n"/>
      <c r="F669" s="9" t="n"/>
      <c r="G669" s="7" t="n"/>
      <c r="H669" s="10">
        <f>IF($A669="","",IFERROR(VLOOKUP($A669,Clientes!$A$3:$C$1002,2,0),"NÃO CADASTRADO"))</f>
        <v/>
      </c>
      <c r="I669" s="11">
        <f>IF($A669="","",IFERROR(VLOOKUP($A669,Clientes!$A$3:$C$1002,3,0),"NÃO CADASTRADO"))</f>
        <v/>
      </c>
      <c r="J669" s="7">
        <f>IF($A669="","",IF($A669='Carteira do Cliente'!$B$4,COUNTIF($A$3:$A669,'Carteira do Cliente'!$B$4),""))</f>
        <v/>
      </c>
    </row>
    <row r="670">
      <c r="A670" s="5" t="n"/>
      <c r="B670" s="12" t="n"/>
      <c r="C670" s="6" t="n"/>
      <c r="D670" s="6" t="n"/>
      <c r="E670" s="13" t="n"/>
      <c r="F670" s="14" t="n"/>
      <c r="G670" s="12" t="n"/>
      <c r="H670" s="15">
        <f>IF($A670="","",IFERROR(VLOOKUP($A670,Clientes!$A$3:$C$1002,2,0),"NÃO CADASTRADO"))</f>
        <v/>
      </c>
      <c r="I670" s="16">
        <f>IF($A670="","",IFERROR(VLOOKUP($A670,Clientes!$A$3:$C$1002,3,0),"NÃO CADASTRADO"))</f>
        <v/>
      </c>
      <c r="J670" s="12">
        <f>IF($A670="","",IF($A670='Carteira do Cliente'!$B$4,COUNTIF($A$3:$A670,'Carteira do Cliente'!$B$4),""))</f>
        <v/>
      </c>
    </row>
    <row r="671">
      <c r="A671" s="3" t="n"/>
      <c r="B671" s="7" t="n"/>
      <c r="C671" s="4" t="n"/>
      <c r="D671" s="4" t="n"/>
      <c r="E671" s="8" t="n"/>
      <c r="F671" s="9" t="n"/>
      <c r="G671" s="7" t="n"/>
      <c r="H671" s="10">
        <f>IF($A671="","",IFERROR(VLOOKUP($A671,Clientes!$A$3:$C$1002,2,0),"NÃO CADASTRADO"))</f>
        <v/>
      </c>
      <c r="I671" s="11">
        <f>IF($A671="","",IFERROR(VLOOKUP($A671,Clientes!$A$3:$C$1002,3,0),"NÃO CADASTRADO"))</f>
        <v/>
      </c>
      <c r="J671" s="7">
        <f>IF($A671="","",IF($A671='Carteira do Cliente'!$B$4,COUNTIF($A$3:$A671,'Carteira do Cliente'!$B$4),""))</f>
        <v/>
      </c>
    </row>
    <row r="672">
      <c r="A672" s="5" t="n"/>
      <c r="B672" s="12" t="n"/>
      <c r="C672" s="6" t="n"/>
      <c r="D672" s="6" t="n"/>
      <c r="E672" s="13" t="n"/>
      <c r="F672" s="14" t="n"/>
      <c r="G672" s="12" t="n"/>
      <c r="H672" s="15">
        <f>IF($A672="","",IFERROR(VLOOKUP($A672,Clientes!$A$3:$C$1002,2,0),"NÃO CADASTRADO"))</f>
        <v/>
      </c>
      <c r="I672" s="16">
        <f>IF($A672="","",IFERROR(VLOOKUP($A672,Clientes!$A$3:$C$1002,3,0),"NÃO CADASTRADO"))</f>
        <v/>
      </c>
      <c r="J672" s="12">
        <f>IF($A672="","",IF($A672='Carteira do Cliente'!$B$4,COUNTIF($A$3:$A672,'Carteira do Cliente'!$B$4),""))</f>
        <v/>
      </c>
    </row>
    <row r="673">
      <c r="A673" s="3" t="n"/>
      <c r="B673" s="7" t="n"/>
      <c r="C673" s="4" t="n"/>
      <c r="D673" s="4" t="n"/>
      <c r="E673" s="8" t="n"/>
      <c r="F673" s="9" t="n"/>
      <c r="G673" s="7" t="n"/>
      <c r="H673" s="10">
        <f>IF($A673="","",IFERROR(VLOOKUP($A673,Clientes!$A$3:$C$1002,2,0),"NÃO CADASTRADO"))</f>
        <v/>
      </c>
      <c r="I673" s="11">
        <f>IF($A673="","",IFERROR(VLOOKUP($A673,Clientes!$A$3:$C$1002,3,0),"NÃO CADASTRADO"))</f>
        <v/>
      </c>
      <c r="J673" s="7">
        <f>IF($A673="","",IF($A673='Carteira do Cliente'!$B$4,COUNTIF($A$3:$A673,'Carteira do Cliente'!$B$4),""))</f>
        <v/>
      </c>
    </row>
    <row r="674">
      <c r="A674" s="5" t="n"/>
      <c r="B674" s="12" t="n"/>
      <c r="C674" s="6" t="n"/>
      <c r="D674" s="6" t="n"/>
      <c r="E674" s="13" t="n"/>
      <c r="F674" s="14" t="n"/>
      <c r="G674" s="12" t="n"/>
      <c r="H674" s="15">
        <f>IF($A674="","",IFERROR(VLOOKUP($A674,Clientes!$A$3:$C$1002,2,0),"NÃO CADASTRADO"))</f>
        <v/>
      </c>
      <c r="I674" s="16">
        <f>IF($A674="","",IFERROR(VLOOKUP($A674,Clientes!$A$3:$C$1002,3,0),"NÃO CADASTRADO"))</f>
        <v/>
      </c>
      <c r="J674" s="12">
        <f>IF($A674="","",IF($A674='Carteira do Cliente'!$B$4,COUNTIF($A$3:$A674,'Carteira do Cliente'!$B$4),""))</f>
        <v/>
      </c>
    </row>
    <row r="675">
      <c r="A675" s="3" t="n"/>
      <c r="B675" s="7" t="n"/>
      <c r="C675" s="4" t="n"/>
      <c r="D675" s="4" t="n"/>
      <c r="E675" s="8" t="n"/>
      <c r="F675" s="9" t="n"/>
      <c r="G675" s="7" t="n"/>
      <c r="H675" s="10">
        <f>IF($A675="","",IFERROR(VLOOKUP($A675,Clientes!$A$3:$C$1002,2,0),"NÃO CADASTRADO"))</f>
        <v/>
      </c>
      <c r="I675" s="11">
        <f>IF($A675="","",IFERROR(VLOOKUP($A675,Clientes!$A$3:$C$1002,3,0),"NÃO CADASTRADO"))</f>
        <v/>
      </c>
      <c r="J675" s="7">
        <f>IF($A675="","",IF($A675='Carteira do Cliente'!$B$4,COUNTIF($A$3:$A675,'Carteira do Cliente'!$B$4),""))</f>
        <v/>
      </c>
    </row>
    <row r="676">
      <c r="A676" s="5" t="n"/>
      <c r="B676" s="12" t="n"/>
      <c r="C676" s="6" t="n"/>
      <c r="D676" s="6" t="n"/>
      <c r="E676" s="13" t="n"/>
      <c r="F676" s="14" t="n"/>
      <c r="G676" s="12" t="n"/>
      <c r="H676" s="15">
        <f>IF($A676="","",IFERROR(VLOOKUP($A676,Clientes!$A$3:$C$1002,2,0),"NÃO CADASTRADO"))</f>
        <v/>
      </c>
      <c r="I676" s="16">
        <f>IF($A676="","",IFERROR(VLOOKUP($A676,Clientes!$A$3:$C$1002,3,0),"NÃO CADASTRADO"))</f>
        <v/>
      </c>
      <c r="J676" s="12">
        <f>IF($A676="","",IF($A676='Carteira do Cliente'!$B$4,COUNTIF($A$3:$A676,'Carteira do Cliente'!$B$4),""))</f>
        <v/>
      </c>
    </row>
    <row r="677">
      <c r="A677" s="3" t="n"/>
      <c r="B677" s="7" t="n"/>
      <c r="C677" s="4" t="n"/>
      <c r="D677" s="4" t="n"/>
      <c r="E677" s="8" t="n"/>
      <c r="F677" s="9" t="n"/>
      <c r="G677" s="7" t="n"/>
      <c r="H677" s="10">
        <f>IF($A677="","",IFERROR(VLOOKUP($A677,Clientes!$A$3:$C$1002,2,0),"NÃO CADASTRADO"))</f>
        <v/>
      </c>
      <c r="I677" s="11">
        <f>IF($A677="","",IFERROR(VLOOKUP($A677,Clientes!$A$3:$C$1002,3,0),"NÃO CADASTRADO"))</f>
        <v/>
      </c>
      <c r="J677" s="7">
        <f>IF($A677="","",IF($A677='Carteira do Cliente'!$B$4,COUNTIF($A$3:$A677,'Carteira do Cliente'!$B$4),""))</f>
        <v/>
      </c>
    </row>
    <row r="678">
      <c r="A678" s="5" t="n"/>
      <c r="B678" s="12" t="n"/>
      <c r="C678" s="6" t="n"/>
      <c r="D678" s="6" t="n"/>
      <c r="E678" s="13" t="n"/>
      <c r="F678" s="14" t="n"/>
      <c r="G678" s="12" t="n"/>
      <c r="H678" s="15">
        <f>IF($A678="","",IFERROR(VLOOKUP($A678,Clientes!$A$3:$C$1002,2,0),"NÃO CADASTRADO"))</f>
        <v/>
      </c>
      <c r="I678" s="16">
        <f>IF($A678="","",IFERROR(VLOOKUP($A678,Clientes!$A$3:$C$1002,3,0),"NÃO CADASTRADO"))</f>
        <v/>
      </c>
      <c r="J678" s="12">
        <f>IF($A678="","",IF($A678='Carteira do Cliente'!$B$4,COUNTIF($A$3:$A678,'Carteira do Cliente'!$B$4),""))</f>
        <v/>
      </c>
    </row>
    <row r="679">
      <c r="A679" s="3" t="n"/>
      <c r="B679" s="7" t="n"/>
      <c r="C679" s="4" t="n"/>
      <c r="D679" s="4" t="n"/>
      <c r="E679" s="8" t="n"/>
      <c r="F679" s="9" t="n"/>
      <c r="G679" s="7" t="n"/>
      <c r="H679" s="10">
        <f>IF($A679="","",IFERROR(VLOOKUP($A679,Clientes!$A$3:$C$1002,2,0),"NÃO CADASTRADO"))</f>
        <v/>
      </c>
      <c r="I679" s="11">
        <f>IF($A679="","",IFERROR(VLOOKUP($A679,Clientes!$A$3:$C$1002,3,0),"NÃO CADASTRADO"))</f>
        <v/>
      </c>
      <c r="J679" s="7">
        <f>IF($A679="","",IF($A679='Carteira do Cliente'!$B$4,COUNTIF($A$3:$A679,'Carteira do Cliente'!$B$4),""))</f>
        <v/>
      </c>
    </row>
    <row r="680">
      <c r="A680" s="5" t="n"/>
      <c r="B680" s="12" t="n"/>
      <c r="C680" s="6" t="n"/>
      <c r="D680" s="6" t="n"/>
      <c r="E680" s="13" t="n"/>
      <c r="F680" s="14" t="n"/>
      <c r="G680" s="12" t="n"/>
      <c r="H680" s="15">
        <f>IF($A680="","",IFERROR(VLOOKUP($A680,Clientes!$A$3:$C$1002,2,0),"NÃO CADASTRADO"))</f>
        <v/>
      </c>
      <c r="I680" s="16">
        <f>IF($A680="","",IFERROR(VLOOKUP($A680,Clientes!$A$3:$C$1002,3,0),"NÃO CADASTRADO"))</f>
        <v/>
      </c>
      <c r="J680" s="12">
        <f>IF($A680="","",IF($A680='Carteira do Cliente'!$B$4,COUNTIF($A$3:$A680,'Carteira do Cliente'!$B$4),""))</f>
        <v/>
      </c>
    </row>
    <row r="681">
      <c r="A681" s="3" t="n"/>
      <c r="B681" s="7" t="n"/>
      <c r="C681" s="4" t="n"/>
      <c r="D681" s="4" t="n"/>
      <c r="E681" s="8" t="n"/>
      <c r="F681" s="9" t="n"/>
      <c r="G681" s="7" t="n"/>
      <c r="H681" s="10">
        <f>IF($A681="","",IFERROR(VLOOKUP($A681,Clientes!$A$3:$C$1002,2,0),"NÃO CADASTRADO"))</f>
        <v/>
      </c>
      <c r="I681" s="11">
        <f>IF($A681="","",IFERROR(VLOOKUP($A681,Clientes!$A$3:$C$1002,3,0),"NÃO CADASTRADO"))</f>
        <v/>
      </c>
      <c r="J681" s="7">
        <f>IF($A681="","",IF($A681='Carteira do Cliente'!$B$4,COUNTIF($A$3:$A681,'Carteira do Cliente'!$B$4),""))</f>
        <v/>
      </c>
    </row>
    <row r="682">
      <c r="A682" s="5" t="n"/>
      <c r="B682" s="12" t="n"/>
      <c r="C682" s="6" t="n"/>
      <c r="D682" s="6" t="n"/>
      <c r="E682" s="13" t="n"/>
      <c r="F682" s="14" t="n"/>
      <c r="G682" s="12" t="n"/>
      <c r="H682" s="15">
        <f>IF($A682="","",IFERROR(VLOOKUP($A682,Clientes!$A$3:$C$1002,2,0),"NÃO CADASTRADO"))</f>
        <v/>
      </c>
      <c r="I682" s="16">
        <f>IF($A682="","",IFERROR(VLOOKUP($A682,Clientes!$A$3:$C$1002,3,0),"NÃO CADASTRADO"))</f>
        <v/>
      </c>
      <c r="J682" s="12">
        <f>IF($A682="","",IF($A682='Carteira do Cliente'!$B$4,COUNTIF($A$3:$A682,'Carteira do Cliente'!$B$4),""))</f>
        <v/>
      </c>
    </row>
    <row r="683">
      <c r="A683" s="3" t="n"/>
      <c r="B683" s="7" t="n"/>
      <c r="C683" s="4" t="n"/>
      <c r="D683" s="4" t="n"/>
      <c r="E683" s="8" t="n"/>
      <c r="F683" s="9" t="n"/>
      <c r="G683" s="7" t="n"/>
      <c r="H683" s="10">
        <f>IF($A683="","",IFERROR(VLOOKUP($A683,Clientes!$A$3:$C$1002,2,0),"NÃO CADASTRADO"))</f>
        <v/>
      </c>
      <c r="I683" s="11">
        <f>IF($A683="","",IFERROR(VLOOKUP($A683,Clientes!$A$3:$C$1002,3,0),"NÃO CADASTRADO"))</f>
        <v/>
      </c>
      <c r="J683" s="7">
        <f>IF($A683="","",IF($A683='Carteira do Cliente'!$B$4,COUNTIF($A$3:$A683,'Carteira do Cliente'!$B$4),""))</f>
        <v/>
      </c>
    </row>
    <row r="684">
      <c r="A684" s="5" t="n"/>
      <c r="B684" s="12" t="n"/>
      <c r="C684" s="6" t="n"/>
      <c r="D684" s="6" t="n"/>
      <c r="E684" s="13" t="n"/>
      <c r="F684" s="14" t="n"/>
      <c r="G684" s="12" t="n"/>
      <c r="H684" s="15">
        <f>IF($A684="","",IFERROR(VLOOKUP($A684,Clientes!$A$3:$C$1002,2,0),"NÃO CADASTRADO"))</f>
        <v/>
      </c>
      <c r="I684" s="16">
        <f>IF($A684="","",IFERROR(VLOOKUP($A684,Clientes!$A$3:$C$1002,3,0),"NÃO CADASTRADO"))</f>
        <v/>
      </c>
      <c r="J684" s="12">
        <f>IF($A684="","",IF($A684='Carteira do Cliente'!$B$4,COUNTIF($A$3:$A684,'Carteira do Cliente'!$B$4),""))</f>
        <v/>
      </c>
    </row>
    <row r="685">
      <c r="A685" s="3" t="n"/>
      <c r="B685" s="7" t="n"/>
      <c r="C685" s="4" t="n"/>
      <c r="D685" s="4" t="n"/>
      <c r="E685" s="8" t="n"/>
      <c r="F685" s="9" t="n"/>
      <c r="G685" s="7" t="n"/>
      <c r="H685" s="10">
        <f>IF($A685="","",IFERROR(VLOOKUP($A685,Clientes!$A$3:$C$1002,2,0),"NÃO CADASTRADO"))</f>
        <v/>
      </c>
      <c r="I685" s="11">
        <f>IF($A685="","",IFERROR(VLOOKUP($A685,Clientes!$A$3:$C$1002,3,0),"NÃO CADASTRADO"))</f>
        <v/>
      </c>
      <c r="J685" s="7">
        <f>IF($A685="","",IF($A685='Carteira do Cliente'!$B$4,COUNTIF($A$3:$A685,'Carteira do Cliente'!$B$4),""))</f>
        <v/>
      </c>
    </row>
    <row r="686">
      <c r="A686" s="5" t="n"/>
      <c r="B686" s="12" t="n"/>
      <c r="C686" s="6" t="n"/>
      <c r="D686" s="6" t="n"/>
      <c r="E686" s="13" t="n"/>
      <c r="F686" s="14" t="n"/>
      <c r="G686" s="12" t="n"/>
      <c r="H686" s="15">
        <f>IF($A686="","",IFERROR(VLOOKUP($A686,Clientes!$A$3:$C$1002,2,0),"NÃO CADASTRADO"))</f>
        <v/>
      </c>
      <c r="I686" s="16">
        <f>IF($A686="","",IFERROR(VLOOKUP($A686,Clientes!$A$3:$C$1002,3,0),"NÃO CADASTRADO"))</f>
        <v/>
      </c>
      <c r="J686" s="12">
        <f>IF($A686="","",IF($A686='Carteira do Cliente'!$B$4,COUNTIF($A$3:$A686,'Carteira do Cliente'!$B$4),""))</f>
        <v/>
      </c>
    </row>
    <row r="687">
      <c r="A687" s="3" t="n"/>
      <c r="B687" s="7" t="n"/>
      <c r="C687" s="4" t="n"/>
      <c r="D687" s="4" t="n"/>
      <c r="E687" s="8" t="n"/>
      <c r="F687" s="9" t="n"/>
      <c r="G687" s="7" t="n"/>
      <c r="H687" s="10">
        <f>IF($A687="","",IFERROR(VLOOKUP($A687,Clientes!$A$3:$C$1002,2,0),"NÃO CADASTRADO"))</f>
        <v/>
      </c>
      <c r="I687" s="11">
        <f>IF($A687="","",IFERROR(VLOOKUP($A687,Clientes!$A$3:$C$1002,3,0),"NÃO CADASTRADO"))</f>
        <v/>
      </c>
      <c r="J687" s="7">
        <f>IF($A687="","",IF($A687='Carteira do Cliente'!$B$4,COUNTIF($A$3:$A687,'Carteira do Cliente'!$B$4),""))</f>
        <v/>
      </c>
    </row>
    <row r="688">
      <c r="A688" s="5" t="n"/>
      <c r="B688" s="12" t="n"/>
      <c r="C688" s="6" t="n"/>
      <c r="D688" s="6" t="n"/>
      <c r="E688" s="13" t="n"/>
      <c r="F688" s="14" t="n"/>
      <c r="G688" s="12" t="n"/>
      <c r="H688" s="15">
        <f>IF($A688="","",IFERROR(VLOOKUP($A688,Clientes!$A$3:$C$1002,2,0),"NÃO CADASTRADO"))</f>
        <v/>
      </c>
      <c r="I688" s="16">
        <f>IF($A688="","",IFERROR(VLOOKUP($A688,Clientes!$A$3:$C$1002,3,0),"NÃO CADASTRADO"))</f>
        <v/>
      </c>
      <c r="J688" s="12">
        <f>IF($A688="","",IF($A688='Carteira do Cliente'!$B$4,COUNTIF($A$3:$A688,'Carteira do Cliente'!$B$4),""))</f>
        <v/>
      </c>
    </row>
    <row r="689">
      <c r="A689" s="3" t="n"/>
      <c r="B689" s="7" t="n"/>
      <c r="C689" s="4" t="n"/>
      <c r="D689" s="4" t="n"/>
      <c r="E689" s="8" t="n"/>
      <c r="F689" s="9" t="n"/>
      <c r="G689" s="7" t="n"/>
      <c r="H689" s="10">
        <f>IF($A689="","",IFERROR(VLOOKUP($A689,Clientes!$A$3:$C$1002,2,0),"NÃO CADASTRADO"))</f>
        <v/>
      </c>
      <c r="I689" s="11">
        <f>IF($A689="","",IFERROR(VLOOKUP($A689,Clientes!$A$3:$C$1002,3,0),"NÃO CADASTRADO"))</f>
        <v/>
      </c>
      <c r="J689" s="7">
        <f>IF($A689="","",IF($A689='Carteira do Cliente'!$B$4,COUNTIF($A$3:$A689,'Carteira do Cliente'!$B$4),""))</f>
        <v/>
      </c>
    </row>
    <row r="690">
      <c r="A690" s="5" t="n"/>
      <c r="B690" s="12" t="n"/>
      <c r="C690" s="6" t="n"/>
      <c r="D690" s="6" t="n"/>
      <c r="E690" s="13" t="n"/>
      <c r="F690" s="14" t="n"/>
      <c r="G690" s="12" t="n"/>
      <c r="H690" s="15">
        <f>IF($A690="","",IFERROR(VLOOKUP($A690,Clientes!$A$3:$C$1002,2,0),"NÃO CADASTRADO"))</f>
        <v/>
      </c>
      <c r="I690" s="16">
        <f>IF($A690="","",IFERROR(VLOOKUP($A690,Clientes!$A$3:$C$1002,3,0),"NÃO CADASTRADO"))</f>
        <v/>
      </c>
      <c r="J690" s="12">
        <f>IF($A690="","",IF($A690='Carteira do Cliente'!$B$4,COUNTIF($A$3:$A690,'Carteira do Cliente'!$B$4),""))</f>
        <v/>
      </c>
    </row>
    <row r="691">
      <c r="A691" s="3" t="n"/>
      <c r="B691" s="7" t="n"/>
      <c r="C691" s="4" t="n"/>
      <c r="D691" s="4" t="n"/>
      <c r="E691" s="8" t="n"/>
      <c r="F691" s="9" t="n"/>
      <c r="G691" s="7" t="n"/>
      <c r="H691" s="10">
        <f>IF($A691="","",IFERROR(VLOOKUP($A691,Clientes!$A$3:$C$1002,2,0),"NÃO CADASTRADO"))</f>
        <v/>
      </c>
      <c r="I691" s="11">
        <f>IF($A691="","",IFERROR(VLOOKUP($A691,Clientes!$A$3:$C$1002,3,0),"NÃO CADASTRADO"))</f>
        <v/>
      </c>
      <c r="J691" s="7">
        <f>IF($A691="","",IF($A691='Carteira do Cliente'!$B$4,COUNTIF($A$3:$A691,'Carteira do Cliente'!$B$4),""))</f>
        <v/>
      </c>
    </row>
    <row r="692">
      <c r="A692" s="5" t="n"/>
      <c r="B692" s="12" t="n"/>
      <c r="C692" s="6" t="n"/>
      <c r="D692" s="6" t="n"/>
      <c r="E692" s="13" t="n"/>
      <c r="F692" s="14" t="n"/>
      <c r="G692" s="12" t="n"/>
      <c r="H692" s="15">
        <f>IF($A692="","",IFERROR(VLOOKUP($A692,Clientes!$A$3:$C$1002,2,0),"NÃO CADASTRADO"))</f>
        <v/>
      </c>
      <c r="I692" s="16">
        <f>IF($A692="","",IFERROR(VLOOKUP($A692,Clientes!$A$3:$C$1002,3,0),"NÃO CADASTRADO"))</f>
        <v/>
      </c>
      <c r="J692" s="12">
        <f>IF($A692="","",IF($A692='Carteira do Cliente'!$B$4,COUNTIF($A$3:$A692,'Carteira do Cliente'!$B$4),""))</f>
        <v/>
      </c>
    </row>
    <row r="693">
      <c r="A693" s="3" t="n"/>
      <c r="B693" s="7" t="n"/>
      <c r="C693" s="4" t="n"/>
      <c r="D693" s="4" t="n"/>
      <c r="E693" s="8" t="n"/>
      <c r="F693" s="9" t="n"/>
      <c r="G693" s="7" t="n"/>
      <c r="H693" s="10">
        <f>IF($A693="","",IFERROR(VLOOKUP($A693,Clientes!$A$3:$C$1002,2,0),"NÃO CADASTRADO"))</f>
        <v/>
      </c>
      <c r="I693" s="11">
        <f>IF($A693="","",IFERROR(VLOOKUP($A693,Clientes!$A$3:$C$1002,3,0),"NÃO CADASTRADO"))</f>
        <v/>
      </c>
      <c r="J693" s="7">
        <f>IF($A693="","",IF($A693='Carteira do Cliente'!$B$4,COUNTIF($A$3:$A693,'Carteira do Cliente'!$B$4),""))</f>
        <v/>
      </c>
    </row>
    <row r="694">
      <c r="A694" s="5" t="n"/>
      <c r="B694" s="12" t="n"/>
      <c r="C694" s="6" t="n"/>
      <c r="D694" s="6" t="n"/>
      <c r="E694" s="13" t="n"/>
      <c r="F694" s="14" t="n"/>
      <c r="G694" s="12" t="n"/>
      <c r="H694" s="15">
        <f>IF($A694="","",IFERROR(VLOOKUP($A694,Clientes!$A$3:$C$1002,2,0),"NÃO CADASTRADO"))</f>
        <v/>
      </c>
      <c r="I694" s="16">
        <f>IF($A694="","",IFERROR(VLOOKUP($A694,Clientes!$A$3:$C$1002,3,0),"NÃO CADASTRADO"))</f>
        <v/>
      </c>
      <c r="J694" s="12">
        <f>IF($A694="","",IF($A694='Carteira do Cliente'!$B$4,COUNTIF($A$3:$A694,'Carteira do Cliente'!$B$4),""))</f>
        <v/>
      </c>
    </row>
    <row r="695">
      <c r="A695" s="3" t="n"/>
      <c r="B695" s="7" t="n"/>
      <c r="C695" s="4" t="n"/>
      <c r="D695" s="4" t="n"/>
      <c r="E695" s="8" t="n"/>
      <c r="F695" s="9" t="n"/>
      <c r="G695" s="7" t="n"/>
      <c r="H695" s="10">
        <f>IF($A695="","",IFERROR(VLOOKUP($A695,Clientes!$A$3:$C$1002,2,0),"NÃO CADASTRADO"))</f>
        <v/>
      </c>
      <c r="I695" s="11">
        <f>IF($A695="","",IFERROR(VLOOKUP($A695,Clientes!$A$3:$C$1002,3,0),"NÃO CADASTRADO"))</f>
        <v/>
      </c>
      <c r="J695" s="7">
        <f>IF($A695="","",IF($A695='Carteira do Cliente'!$B$4,COUNTIF($A$3:$A695,'Carteira do Cliente'!$B$4),""))</f>
        <v/>
      </c>
    </row>
    <row r="696">
      <c r="A696" s="5" t="n"/>
      <c r="B696" s="12" t="n"/>
      <c r="C696" s="6" t="n"/>
      <c r="D696" s="6" t="n"/>
      <c r="E696" s="13" t="n"/>
      <c r="F696" s="14" t="n"/>
      <c r="G696" s="12" t="n"/>
      <c r="H696" s="15">
        <f>IF($A696="","",IFERROR(VLOOKUP($A696,Clientes!$A$3:$C$1002,2,0),"NÃO CADASTRADO"))</f>
        <v/>
      </c>
      <c r="I696" s="16">
        <f>IF($A696="","",IFERROR(VLOOKUP($A696,Clientes!$A$3:$C$1002,3,0),"NÃO CADASTRADO"))</f>
        <v/>
      </c>
      <c r="J696" s="12">
        <f>IF($A696="","",IF($A696='Carteira do Cliente'!$B$4,COUNTIF($A$3:$A696,'Carteira do Cliente'!$B$4),""))</f>
        <v/>
      </c>
    </row>
    <row r="697">
      <c r="A697" s="3" t="n"/>
      <c r="B697" s="7" t="n"/>
      <c r="C697" s="4" t="n"/>
      <c r="D697" s="4" t="n"/>
      <c r="E697" s="8" t="n"/>
      <c r="F697" s="9" t="n"/>
      <c r="G697" s="7" t="n"/>
      <c r="H697" s="10">
        <f>IF($A697="","",IFERROR(VLOOKUP($A697,Clientes!$A$3:$C$1002,2,0),"NÃO CADASTRADO"))</f>
        <v/>
      </c>
      <c r="I697" s="11">
        <f>IF($A697="","",IFERROR(VLOOKUP($A697,Clientes!$A$3:$C$1002,3,0),"NÃO CADASTRADO"))</f>
        <v/>
      </c>
      <c r="J697" s="7">
        <f>IF($A697="","",IF($A697='Carteira do Cliente'!$B$4,COUNTIF($A$3:$A697,'Carteira do Cliente'!$B$4),""))</f>
        <v/>
      </c>
    </row>
    <row r="698">
      <c r="A698" s="5" t="n"/>
      <c r="B698" s="12" t="n"/>
      <c r="C698" s="6" t="n"/>
      <c r="D698" s="6" t="n"/>
      <c r="E698" s="13" t="n"/>
      <c r="F698" s="14" t="n"/>
      <c r="G698" s="12" t="n"/>
      <c r="H698" s="15">
        <f>IF($A698="","",IFERROR(VLOOKUP($A698,Clientes!$A$3:$C$1002,2,0),"NÃO CADASTRADO"))</f>
        <v/>
      </c>
      <c r="I698" s="16">
        <f>IF($A698="","",IFERROR(VLOOKUP($A698,Clientes!$A$3:$C$1002,3,0),"NÃO CADASTRADO"))</f>
        <v/>
      </c>
      <c r="J698" s="12">
        <f>IF($A698="","",IF($A698='Carteira do Cliente'!$B$4,COUNTIF($A$3:$A698,'Carteira do Cliente'!$B$4),""))</f>
        <v/>
      </c>
    </row>
    <row r="699">
      <c r="A699" s="3" t="n"/>
      <c r="B699" s="7" t="n"/>
      <c r="C699" s="4" t="n"/>
      <c r="D699" s="4" t="n"/>
      <c r="E699" s="8" t="n"/>
      <c r="F699" s="9" t="n"/>
      <c r="G699" s="7" t="n"/>
      <c r="H699" s="10">
        <f>IF($A699="","",IFERROR(VLOOKUP($A699,Clientes!$A$3:$C$1002,2,0),"NÃO CADASTRADO"))</f>
        <v/>
      </c>
      <c r="I699" s="11">
        <f>IF($A699="","",IFERROR(VLOOKUP($A699,Clientes!$A$3:$C$1002,3,0),"NÃO CADASTRADO"))</f>
        <v/>
      </c>
      <c r="J699" s="7">
        <f>IF($A699="","",IF($A699='Carteira do Cliente'!$B$4,COUNTIF($A$3:$A699,'Carteira do Cliente'!$B$4),""))</f>
        <v/>
      </c>
    </row>
    <row r="700">
      <c r="A700" s="5" t="n"/>
      <c r="B700" s="12" t="n"/>
      <c r="C700" s="6" t="n"/>
      <c r="D700" s="6" t="n"/>
      <c r="E700" s="13" t="n"/>
      <c r="F700" s="14" t="n"/>
      <c r="G700" s="12" t="n"/>
      <c r="H700" s="15">
        <f>IF($A700="","",IFERROR(VLOOKUP($A700,Clientes!$A$3:$C$1002,2,0),"NÃO CADASTRADO"))</f>
        <v/>
      </c>
      <c r="I700" s="16">
        <f>IF($A700="","",IFERROR(VLOOKUP($A700,Clientes!$A$3:$C$1002,3,0),"NÃO CADASTRADO"))</f>
        <v/>
      </c>
      <c r="J700" s="12">
        <f>IF($A700="","",IF($A700='Carteira do Cliente'!$B$4,COUNTIF($A$3:$A700,'Carteira do Cliente'!$B$4),""))</f>
        <v/>
      </c>
    </row>
    <row r="701">
      <c r="A701" s="3" t="n"/>
      <c r="B701" s="7" t="n"/>
      <c r="C701" s="4" t="n"/>
      <c r="D701" s="4" t="n"/>
      <c r="E701" s="8" t="n"/>
      <c r="F701" s="9" t="n"/>
      <c r="G701" s="7" t="n"/>
      <c r="H701" s="10">
        <f>IF($A701="","",IFERROR(VLOOKUP($A701,Clientes!$A$3:$C$1002,2,0),"NÃO CADASTRADO"))</f>
        <v/>
      </c>
      <c r="I701" s="11">
        <f>IF($A701="","",IFERROR(VLOOKUP($A701,Clientes!$A$3:$C$1002,3,0),"NÃO CADASTRADO"))</f>
        <v/>
      </c>
      <c r="J701" s="7">
        <f>IF($A701="","",IF($A701='Carteira do Cliente'!$B$4,COUNTIF($A$3:$A701,'Carteira do Cliente'!$B$4),""))</f>
        <v/>
      </c>
    </row>
    <row r="702">
      <c r="A702" s="5" t="n"/>
      <c r="B702" s="12" t="n"/>
      <c r="C702" s="6" t="n"/>
      <c r="D702" s="6" t="n"/>
      <c r="E702" s="13" t="n"/>
      <c r="F702" s="14" t="n"/>
      <c r="G702" s="12" t="n"/>
      <c r="H702" s="15">
        <f>IF($A702="","",IFERROR(VLOOKUP($A702,Clientes!$A$3:$C$1002,2,0),"NÃO CADASTRADO"))</f>
        <v/>
      </c>
      <c r="I702" s="16">
        <f>IF($A702="","",IFERROR(VLOOKUP($A702,Clientes!$A$3:$C$1002,3,0),"NÃO CADASTRADO"))</f>
        <v/>
      </c>
      <c r="J702" s="12">
        <f>IF($A702="","",IF($A702='Carteira do Cliente'!$B$4,COUNTIF($A$3:$A702,'Carteira do Cliente'!$B$4),""))</f>
        <v/>
      </c>
    </row>
    <row r="703">
      <c r="A703" s="3" t="n"/>
      <c r="B703" s="7" t="n"/>
      <c r="C703" s="4" t="n"/>
      <c r="D703" s="4" t="n"/>
      <c r="E703" s="8" t="n"/>
      <c r="F703" s="9" t="n"/>
      <c r="G703" s="7" t="n"/>
      <c r="H703" s="10">
        <f>IF($A703="","",IFERROR(VLOOKUP($A703,Clientes!$A$3:$C$1002,2,0),"NÃO CADASTRADO"))</f>
        <v/>
      </c>
      <c r="I703" s="11">
        <f>IF($A703="","",IFERROR(VLOOKUP($A703,Clientes!$A$3:$C$1002,3,0),"NÃO CADASTRADO"))</f>
        <v/>
      </c>
      <c r="J703" s="7">
        <f>IF($A703="","",IF($A703='Carteira do Cliente'!$B$4,COUNTIF($A$3:$A703,'Carteira do Cliente'!$B$4),""))</f>
        <v/>
      </c>
    </row>
    <row r="704">
      <c r="A704" s="5" t="n"/>
      <c r="B704" s="12" t="n"/>
      <c r="C704" s="6" t="n"/>
      <c r="D704" s="6" t="n"/>
      <c r="E704" s="13" t="n"/>
      <c r="F704" s="14" t="n"/>
      <c r="G704" s="12" t="n"/>
      <c r="H704" s="15">
        <f>IF($A704="","",IFERROR(VLOOKUP($A704,Clientes!$A$3:$C$1002,2,0),"NÃO CADASTRADO"))</f>
        <v/>
      </c>
      <c r="I704" s="16">
        <f>IF($A704="","",IFERROR(VLOOKUP($A704,Clientes!$A$3:$C$1002,3,0),"NÃO CADASTRADO"))</f>
        <v/>
      </c>
      <c r="J704" s="12">
        <f>IF($A704="","",IF($A704='Carteira do Cliente'!$B$4,COUNTIF($A$3:$A704,'Carteira do Cliente'!$B$4),""))</f>
        <v/>
      </c>
    </row>
    <row r="705">
      <c r="A705" s="3" t="n"/>
      <c r="B705" s="7" t="n"/>
      <c r="C705" s="4" t="n"/>
      <c r="D705" s="4" t="n"/>
      <c r="E705" s="8" t="n"/>
      <c r="F705" s="9" t="n"/>
      <c r="G705" s="7" t="n"/>
      <c r="H705" s="10">
        <f>IF($A705="","",IFERROR(VLOOKUP($A705,Clientes!$A$3:$C$1002,2,0),"NÃO CADASTRADO"))</f>
        <v/>
      </c>
      <c r="I705" s="11">
        <f>IF($A705="","",IFERROR(VLOOKUP($A705,Clientes!$A$3:$C$1002,3,0),"NÃO CADASTRADO"))</f>
        <v/>
      </c>
      <c r="J705" s="7">
        <f>IF($A705="","",IF($A705='Carteira do Cliente'!$B$4,COUNTIF($A$3:$A705,'Carteira do Cliente'!$B$4),""))</f>
        <v/>
      </c>
    </row>
    <row r="706">
      <c r="A706" s="5" t="n"/>
      <c r="B706" s="12" t="n"/>
      <c r="C706" s="6" t="n"/>
      <c r="D706" s="6" t="n"/>
      <c r="E706" s="13" t="n"/>
      <c r="F706" s="14" t="n"/>
      <c r="G706" s="12" t="n"/>
      <c r="H706" s="15">
        <f>IF($A706="","",IFERROR(VLOOKUP($A706,Clientes!$A$3:$C$1002,2,0),"NÃO CADASTRADO"))</f>
        <v/>
      </c>
      <c r="I706" s="16">
        <f>IF($A706="","",IFERROR(VLOOKUP($A706,Clientes!$A$3:$C$1002,3,0),"NÃO CADASTRADO"))</f>
        <v/>
      </c>
      <c r="J706" s="12">
        <f>IF($A706="","",IF($A706='Carteira do Cliente'!$B$4,COUNTIF($A$3:$A706,'Carteira do Cliente'!$B$4),""))</f>
        <v/>
      </c>
    </row>
    <row r="707">
      <c r="A707" s="3" t="n"/>
      <c r="B707" s="7" t="n"/>
      <c r="C707" s="4" t="n"/>
      <c r="D707" s="4" t="n"/>
      <c r="E707" s="8" t="n"/>
      <c r="F707" s="9" t="n"/>
      <c r="G707" s="7" t="n"/>
      <c r="H707" s="10">
        <f>IF($A707="","",IFERROR(VLOOKUP($A707,Clientes!$A$3:$C$1002,2,0),"NÃO CADASTRADO"))</f>
        <v/>
      </c>
      <c r="I707" s="11">
        <f>IF($A707="","",IFERROR(VLOOKUP($A707,Clientes!$A$3:$C$1002,3,0),"NÃO CADASTRADO"))</f>
        <v/>
      </c>
      <c r="J707" s="7">
        <f>IF($A707="","",IF($A707='Carteira do Cliente'!$B$4,COUNTIF($A$3:$A707,'Carteira do Cliente'!$B$4),""))</f>
        <v/>
      </c>
    </row>
    <row r="708">
      <c r="A708" s="5" t="n"/>
      <c r="B708" s="12" t="n"/>
      <c r="C708" s="6" t="n"/>
      <c r="D708" s="6" t="n"/>
      <c r="E708" s="13" t="n"/>
      <c r="F708" s="14" t="n"/>
      <c r="G708" s="12" t="n"/>
      <c r="H708" s="15">
        <f>IF($A708="","",IFERROR(VLOOKUP($A708,Clientes!$A$3:$C$1002,2,0),"NÃO CADASTRADO"))</f>
        <v/>
      </c>
      <c r="I708" s="16">
        <f>IF($A708="","",IFERROR(VLOOKUP($A708,Clientes!$A$3:$C$1002,3,0),"NÃO CADASTRADO"))</f>
        <v/>
      </c>
      <c r="J708" s="12">
        <f>IF($A708="","",IF($A708='Carteira do Cliente'!$B$4,COUNTIF($A$3:$A708,'Carteira do Cliente'!$B$4),""))</f>
        <v/>
      </c>
    </row>
    <row r="709">
      <c r="A709" s="3" t="n"/>
      <c r="B709" s="7" t="n"/>
      <c r="C709" s="4" t="n"/>
      <c r="D709" s="4" t="n"/>
      <c r="E709" s="8" t="n"/>
      <c r="F709" s="9" t="n"/>
      <c r="G709" s="7" t="n"/>
      <c r="H709" s="10">
        <f>IF($A709="","",IFERROR(VLOOKUP($A709,Clientes!$A$3:$C$1002,2,0),"NÃO CADASTRADO"))</f>
        <v/>
      </c>
      <c r="I709" s="11">
        <f>IF($A709="","",IFERROR(VLOOKUP($A709,Clientes!$A$3:$C$1002,3,0),"NÃO CADASTRADO"))</f>
        <v/>
      </c>
      <c r="J709" s="7">
        <f>IF($A709="","",IF($A709='Carteira do Cliente'!$B$4,COUNTIF($A$3:$A709,'Carteira do Cliente'!$B$4),""))</f>
        <v/>
      </c>
    </row>
    <row r="710">
      <c r="A710" s="5" t="n"/>
      <c r="B710" s="12" t="n"/>
      <c r="C710" s="6" t="n"/>
      <c r="D710" s="6" t="n"/>
      <c r="E710" s="13" t="n"/>
      <c r="F710" s="14" t="n"/>
      <c r="G710" s="12" t="n"/>
      <c r="H710" s="15">
        <f>IF($A710="","",IFERROR(VLOOKUP($A710,Clientes!$A$3:$C$1002,2,0),"NÃO CADASTRADO"))</f>
        <v/>
      </c>
      <c r="I710" s="16">
        <f>IF($A710="","",IFERROR(VLOOKUP($A710,Clientes!$A$3:$C$1002,3,0),"NÃO CADASTRADO"))</f>
        <v/>
      </c>
      <c r="J710" s="12">
        <f>IF($A710="","",IF($A710='Carteira do Cliente'!$B$4,COUNTIF($A$3:$A710,'Carteira do Cliente'!$B$4),""))</f>
        <v/>
      </c>
    </row>
    <row r="711">
      <c r="A711" s="3" t="n"/>
      <c r="B711" s="7" t="n"/>
      <c r="C711" s="4" t="n"/>
      <c r="D711" s="4" t="n"/>
      <c r="E711" s="8" t="n"/>
      <c r="F711" s="9" t="n"/>
      <c r="G711" s="7" t="n"/>
      <c r="H711" s="10">
        <f>IF($A711="","",IFERROR(VLOOKUP($A711,Clientes!$A$3:$C$1002,2,0),"NÃO CADASTRADO"))</f>
        <v/>
      </c>
      <c r="I711" s="11">
        <f>IF($A711="","",IFERROR(VLOOKUP($A711,Clientes!$A$3:$C$1002,3,0),"NÃO CADASTRADO"))</f>
        <v/>
      </c>
      <c r="J711" s="7">
        <f>IF($A711="","",IF($A711='Carteira do Cliente'!$B$4,COUNTIF($A$3:$A711,'Carteira do Cliente'!$B$4),""))</f>
        <v/>
      </c>
    </row>
    <row r="712">
      <c r="A712" s="5" t="n"/>
      <c r="B712" s="12" t="n"/>
      <c r="C712" s="6" t="n"/>
      <c r="D712" s="6" t="n"/>
      <c r="E712" s="13" t="n"/>
      <c r="F712" s="14" t="n"/>
      <c r="G712" s="12" t="n"/>
      <c r="H712" s="15">
        <f>IF($A712="","",IFERROR(VLOOKUP($A712,Clientes!$A$3:$C$1002,2,0),"NÃO CADASTRADO"))</f>
        <v/>
      </c>
      <c r="I712" s="16">
        <f>IF($A712="","",IFERROR(VLOOKUP($A712,Clientes!$A$3:$C$1002,3,0),"NÃO CADASTRADO"))</f>
        <v/>
      </c>
      <c r="J712" s="12">
        <f>IF($A712="","",IF($A712='Carteira do Cliente'!$B$4,COUNTIF($A$3:$A712,'Carteira do Cliente'!$B$4),""))</f>
        <v/>
      </c>
    </row>
    <row r="713">
      <c r="A713" s="3" t="n"/>
      <c r="B713" s="7" t="n"/>
      <c r="C713" s="4" t="n"/>
      <c r="D713" s="4" t="n"/>
      <c r="E713" s="8" t="n"/>
      <c r="F713" s="9" t="n"/>
      <c r="G713" s="7" t="n"/>
      <c r="H713" s="10">
        <f>IF($A713="","",IFERROR(VLOOKUP($A713,Clientes!$A$3:$C$1002,2,0),"NÃO CADASTRADO"))</f>
        <v/>
      </c>
      <c r="I713" s="11">
        <f>IF($A713="","",IFERROR(VLOOKUP($A713,Clientes!$A$3:$C$1002,3,0),"NÃO CADASTRADO"))</f>
        <v/>
      </c>
      <c r="J713" s="7">
        <f>IF($A713="","",IF($A713='Carteira do Cliente'!$B$4,COUNTIF($A$3:$A713,'Carteira do Cliente'!$B$4),""))</f>
        <v/>
      </c>
    </row>
    <row r="714">
      <c r="A714" s="5" t="n"/>
      <c r="B714" s="12" t="n"/>
      <c r="C714" s="6" t="n"/>
      <c r="D714" s="6" t="n"/>
      <c r="E714" s="13" t="n"/>
      <c r="F714" s="14" t="n"/>
      <c r="G714" s="12" t="n"/>
      <c r="H714" s="15">
        <f>IF($A714="","",IFERROR(VLOOKUP($A714,Clientes!$A$3:$C$1002,2,0),"NÃO CADASTRADO"))</f>
        <v/>
      </c>
      <c r="I714" s="16">
        <f>IF($A714="","",IFERROR(VLOOKUP($A714,Clientes!$A$3:$C$1002,3,0),"NÃO CADASTRADO"))</f>
        <v/>
      </c>
      <c r="J714" s="12">
        <f>IF($A714="","",IF($A714='Carteira do Cliente'!$B$4,COUNTIF($A$3:$A714,'Carteira do Cliente'!$B$4),""))</f>
        <v/>
      </c>
    </row>
    <row r="715">
      <c r="A715" s="3" t="n"/>
      <c r="B715" s="7" t="n"/>
      <c r="C715" s="4" t="n"/>
      <c r="D715" s="4" t="n"/>
      <c r="E715" s="8" t="n"/>
      <c r="F715" s="9" t="n"/>
      <c r="G715" s="7" t="n"/>
      <c r="H715" s="10">
        <f>IF($A715="","",IFERROR(VLOOKUP($A715,Clientes!$A$3:$C$1002,2,0),"NÃO CADASTRADO"))</f>
        <v/>
      </c>
      <c r="I715" s="11">
        <f>IF($A715="","",IFERROR(VLOOKUP($A715,Clientes!$A$3:$C$1002,3,0),"NÃO CADASTRADO"))</f>
        <v/>
      </c>
      <c r="J715" s="7">
        <f>IF($A715="","",IF($A715='Carteira do Cliente'!$B$4,COUNTIF($A$3:$A715,'Carteira do Cliente'!$B$4),""))</f>
        <v/>
      </c>
    </row>
    <row r="716">
      <c r="A716" s="5" t="n"/>
      <c r="B716" s="12" t="n"/>
      <c r="C716" s="6" t="n"/>
      <c r="D716" s="6" t="n"/>
      <c r="E716" s="13" t="n"/>
      <c r="F716" s="14" t="n"/>
      <c r="G716" s="12" t="n"/>
      <c r="H716" s="15">
        <f>IF($A716="","",IFERROR(VLOOKUP($A716,Clientes!$A$3:$C$1002,2,0),"NÃO CADASTRADO"))</f>
        <v/>
      </c>
      <c r="I716" s="16">
        <f>IF($A716="","",IFERROR(VLOOKUP($A716,Clientes!$A$3:$C$1002,3,0),"NÃO CADASTRADO"))</f>
        <v/>
      </c>
      <c r="J716" s="12">
        <f>IF($A716="","",IF($A716='Carteira do Cliente'!$B$4,COUNTIF($A$3:$A716,'Carteira do Cliente'!$B$4),""))</f>
        <v/>
      </c>
    </row>
    <row r="717">
      <c r="A717" s="3" t="n"/>
      <c r="B717" s="7" t="n"/>
      <c r="C717" s="4" t="n"/>
      <c r="D717" s="4" t="n"/>
      <c r="E717" s="8" t="n"/>
      <c r="F717" s="9" t="n"/>
      <c r="G717" s="7" t="n"/>
      <c r="H717" s="10">
        <f>IF($A717="","",IFERROR(VLOOKUP($A717,Clientes!$A$3:$C$1002,2,0),"NÃO CADASTRADO"))</f>
        <v/>
      </c>
      <c r="I717" s="11">
        <f>IF($A717="","",IFERROR(VLOOKUP($A717,Clientes!$A$3:$C$1002,3,0),"NÃO CADASTRADO"))</f>
        <v/>
      </c>
      <c r="J717" s="7">
        <f>IF($A717="","",IF($A717='Carteira do Cliente'!$B$4,COUNTIF($A$3:$A717,'Carteira do Cliente'!$B$4),""))</f>
        <v/>
      </c>
    </row>
    <row r="718">
      <c r="A718" s="5" t="n"/>
      <c r="B718" s="12" t="n"/>
      <c r="C718" s="6" t="n"/>
      <c r="D718" s="6" t="n"/>
      <c r="E718" s="13" t="n"/>
      <c r="F718" s="14" t="n"/>
      <c r="G718" s="12" t="n"/>
      <c r="H718" s="15">
        <f>IF($A718="","",IFERROR(VLOOKUP($A718,Clientes!$A$3:$C$1002,2,0),"NÃO CADASTRADO"))</f>
        <v/>
      </c>
      <c r="I718" s="16">
        <f>IF($A718="","",IFERROR(VLOOKUP($A718,Clientes!$A$3:$C$1002,3,0),"NÃO CADASTRADO"))</f>
        <v/>
      </c>
      <c r="J718" s="12">
        <f>IF($A718="","",IF($A718='Carteira do Cliente'!$B$4,COUNTIF($A$3:$A718,'Carteira do Cliente'!$B$4),""))</f>
        <v/>
      </c>
    </row>
    <row r="719">
      <c r="A719" s="3" t="n"/>
      <c r="B719" s="7" t="n"/>
      <c r="C719" s="4" t="n"/>
      <c r="D719" s="4" t="n"/>
      <c r="E719" s="8" t="n"/>
      <c r="F719" s="9" t="n"/>
      <c r="G719" s="7" t="n"/>
      <c r="H719" s="10">
        <f>IF($A719="","",IFERROR(VLOOKUP($A719,Clientes!$A$3:$C$1002,2,0),"NÃO CADASTRADO"))</f>
        <v/>
      </c>
      <c r="I719" s="11">
        <f>IF($A719="","",IFERROR(VLOOKUP($A719,Clientes!$A$3:$C$1002,3,0),"NÃO CADASTRADO"))</f>
        <v/>
      </c>
      <c r="J719" s="7">
        <f>IF($A719="","",IF($A719='Carteira do Cliente'!$B$4,COUNTIF($A$3:$A719,'Carteira do Cliente'!$B$4),""))</f>
        <v/>
      </c>
    </row>
    <row r="720">
      <c r="A720" s="5" t="n"/>
      <c r="B720" s="12" t="n"/>
      <c r="C720" s="6" t="n"/>
      <c r="D720" s="6" t="n"/>
      <c r="E720" s="13" t="n"/>
      <c r="F720" s="14" t="n"/>
      <c r="G720" s="12" t="n"/>
      <c r="H720" s="15">
        <f>IF($A720="","",IFERROR(VLOOKUP($A720,Clientes!$A$3:$C$1002,2,0),"NÃO CADASTRADO"))</f>
        <v/>
      </c>
      <c r="I720" s="16">
        <f>IF($A720="","",IFERROR(VLOOKUP($A720,Clientes!$A$3:$C$1002,3,0),"NÃO CADASTRADO"))</f>
        <v/>
      </c>
      <c r="J720" s="12">
        <f>IF($A720="","",IF($A720='Carteira do Cliente'!$B$4,COUNTIF($A$3:$A720,'Carteira do Cliente'!$B$4),""))</f>
        <v/>
      </c>
    </row>
    <row r="721">
      <c r="A721" s="3" t="n"/>
      <c r="B721" s="7" t="n"/>
      <c r="C721" s="4" t="n"/>
      <c r="D721" s="4" t="n"/>
      <c r="E721" s="8" t="n"/>
      <c r="F721" s="9" t="n"/>
      <c r="G721" s="7" t="n"/>
      <c r="H721" s="10">
        <f>IF($A721="","",IFERROR(VLOOKUP($A721,Clientes!$A$3:$C$1002,2,0),"NÃO CADASTRADO"))</f>
        <v/>
      </c>
      <c r="I721" s="11">
        <f>IF($A721="","",IFERROR(VLOOKUP($A721,Clientes!$A$3:$C$1002,3,0),"NÃO CADASTRADO"))</f>
        <v/>
      </c>
      <c r="J721" s="7">
        <f>IF($A721="","",IF($A721='Carteira do Cliente'!$B$4,COUNTIF($A$3:$A721,'Carteira do Cliente'!$B$4),""))</f>
        <v/>
      </c>
    </row>
    <row r="722">
      <c r="A722" s="5" t="n"/>
      <c r="B722" s="12" t="n"/>
      <c r="C722" s="6" t="n"/>
      <c r="D722" s="6" t="n"/>
      <c r="E722" s="13" t="n"/>
      <c r="F722" s="14" t="n"/>
      <c r="G722" s="12" t="n"/>
      <c r="H722" s="15">
        <f>IF($A722="","",IFERROR(VLOOKUP($A722,Clientes!$A$3:$C$1002,2,0),"NÃO CADASTRADO"))</f>
        <v/>
      </c>
      <c r="I722" s="16">
        <f>IF($A722="","",IFERROR(VLOOKUP($A722,Clientes!$A$3:$C$1002,3,0),"NÃO CADASTRADO"))</f>
        <v/>
      </c>
      <c r="J722" s="12">
        <f>IF($A722="","",IF($A722='Carteira do Cliente'!$B$4,COUNTIF($A$3:$A722,'Carteira do Cliente'!$B$4),""))</f>
        <v/>
      </c>
    </row>
    <row r="723">
      <c r="A723" s="3" t="n"/>
      <c r="B723" s="7" t="n"/>
      <c r="C723" s="4" t="n"/>
      <c r="D723" s="4" t="n"/>
      <c r="E723" s="8" t="n"/>
      <c r="F723" s="9" t="n"/>
      <c r="G723" s="7" t="n"/>
      <c r="H723" s="10">
        <f>IF($A723="","",IFERROR(VLOOKUP($A723,Clientes!$A$3:$C$1002,2,0),"NÃO CADASTRADO"))</f>
        <v/>
      </c>
      <c r="I723" s="11">
        <f>IF($A723="","",IFERROR(VLOOKUP($A723,Clientes!$A$3:$C$1002,3,0),"NÃO CADASTRADO"))</f>
        <v/>
      </c>
      <c r="J723" s="7">
        <f>IF($A723="","",IF($A723='Carteira do Cliente'!$B$4,COUNTIF($A$3:$A723,'Carteira do Cliente'!$B$4),""))</f>
        <v/>
      </c>
    </row>
    <row r="724">
      <c r="A724" s="5" t="n"/>
      <c r="B724" s="12" t="n"/>
      <c r="C724" s="6" t="n"/>
      <c r="D724" s="6" t="n"/>
      <c r="E724" s="13" t="n"/>
      <c r="F724" s="14" t="n"/>
      <c r="G724" s="12" t="n"/>
      <c r="H724" s="15">
        <f>IF($A724="","",IFERROR(VLOOKUP($A724,Clientes!$A$3:$C$1002,2,0),"NÃO CADASTRADO"))</f>
        <v/>
      </c>
      <c r="I724" s="16">
        <f>IF($A724="","",IFERROR(VLOOKUP($A724,Clientes!$A$3:$C$1002,3,0),"NÃO CADASTRADO"))</f>
        <v/>
      </c>
      <c r="J724" s="12">
        <f>IF($A724="","",IF($A724='Carteira do Cliente'!$B$4,COUNTIF($A$3:$A724,'Carteira do Cliente'!$B$4),""))</f>
        <v/>
      </c>
    </row>
    <row r="725">
      <c r="A725" s="3" t="n"/>
      <c r="B725" s="7" t="n"/>
      <c r="C725" s="4" t="n"/>
      <c r="D725" s="4" t="n"/>
      <c r="E725" s="8" t="n"/>
      <c r="F725" s="9" t="n"/>
      <c r="G725" s="7" t="n"/>
      <c r="H725" s="10">
        <f>IF($A725="","",IFERROR(VLOOKUP($A725,Clientes!$A$3:$C$1002,2,0),"NÃO CADASTRADO"))</f>
        <v/>
      </c>
      <c r="I725" s="11">
        <f>IF($A725="","",IFERROR(VLOOKUP($A725,Clientes!$A$3:$C$1002,3,0),"NÃO CADASTRADO"))</f>
        <v/>
      </c>
      <c r="J725" s="7">
        <f>IF($A725="","",IF($A725='Carteira do Cliente'!$B$4,COUNTIF($A$3:$A725,'Carteira do Cliente'!$B$4),""))</f>
        <v/>
      </c>
    </row>
    <row r="726">
      <c r="A726" s="5" t="n"/>
      <c r="B726" s="12" t="n"/>
      <c r="C726" s="6" t="n"/>
      <c r="D726" s="6" t="n"/>
      <c r="E726" s="13" t="n"/>
      <c r="F726" s="14" t="n"/>
      <c r="G726" s="12" t="n"/>
      <c r="H726" s="15">
        <f>IF($A726="","",IFERROR(VLOOKUP($A726,Clientes!$A$3:$C$1002,2,0),"NÃO CADASTRADO"))</f>
        <v/>
      </c>
      <c r="I726" s="16">
        <f>IF($A726="","",IFERROR(VLOOKUP($A726,Clientes!$A$3:$C$1002,3,0),"NÃO CADASTRADO"))</f>
        <v/>
      </c>
      <c r="J726" s="12">
        <f>IF($A726="","",IF($A726='Carteira do Cliente'!$B$4,COUNTIF($A$3:$A726,'Carteira do Cliente'!$B$4),""))</f>
        <v/>
      </c>
    </row>
    <row r="727">
      <c r="A727" s="3" t="n"/>
      <c r="B727" s="7" t="n"/>
      <c r="C727" s="4" t="n"/>
      <c r="D727" s="4" t="n"/>
      <c r="E727" s="8" t="n"/>
      <c r="F727" s="9" t="n"/>
      <c r="G727" s="7" t="n"/>
      <c r="H727" s="10">
        <f>IF($A727="","",IFERROR(VLOOKUP($A727,Clientes!$A$3:$C$1002,2,0),"NÃO CADASTRADO"))</f>
        <v/>
      </c>
      <c r="I727" s="11">
        <f>IF($A727="","",IFERROR(VLOOKUP($A727,Clientes!$A$3:$C$1002,3,0),"NÃO CADASTRADO"))</f>
        <v/>
      </c>
      <c r="J727" s="7">
        <f>IF($A727="","",IF($A727='Carteira do Cliente'!$B$4,COUNTIF($A$3:$A727,'Carteira do Cliente'!$B$4),""))</f>
        <v/>
      </c>
    </row>
    <row r="728">
      <c r="A728" s="5" t="n"/>
      <c r="B728" s="12" t="n"/>
      <c r="C728" s="6" t="n"/>
      <c r="D728" s="6" t="n"/>
      <c r="E728" s="13" t="n"/>
      <c r="F728" s="14" t="n"/>
      <c r="G728" s="12" t="n"/>
      <c r="H728" s="15">
        <f>IF($A728="","",IFERROR(VLOOKUP($A728,Clientes!$A$3:$C$1002,2,0),"NÃO CADASTRADO"))</f>
        <v/>
      </c>
      <c r="I728" s="16">
        <f>IF($A728="","",IFERROR(VLOOKUP($A728,Clientes!$A$3:$C$1002,3,0),"NÃO CADASTRADO"))</f>
        <v/>
      </c>
      <c r="J728" s="12">
        <f>IF($A728="","",IF($A728='Carteira do Cliente'!$B$4,COUNTIF($A$3:$A728,'Carteira do Cliente'!$B$4),""))</f>
        <v/>
      </c>
    </row>
    <row r="729">
      <c r="A729" s="3" t="n"/>
      <c r="B729" s="7" t="n"/>
      <c r="C729" s="4" t="n"/>
      <c r="D729" s="4" t="n"/>
      <c r="E729" s="8" t="n"/>
      <c r="F729" s="9" t="n"/>
      <c r="G729" s="7" t="n"/>
      <c r="H729" s="10">
        <f>IF($A729="","",IFERROR(VLOOKUP($A729,Clientes!$A$3:$C$1002,2,0),"NÃO CADASTRADO"))</f>
        <v/>
      </c>
      <c r="I729" s="11">
        <f>IF($A729="","",IFERROR(VLOOKUP($A729,Clientes!$A$3:$C$1002,3,0),"NÃO CADASTRADO"))</f>
        <v/>
      </c>
      <c r="J729" s="7">
        <f>IF($A729="","",IF($A729='Carteira do Cliente'!$B$4,COUNTIF($A$3:$A729,'Carteira do Cliente'!$B$4),""))</f>
        <v/>
      </c>
    </row>
    <row r="730">
      <c r="A730" s="5" t="n"/>
      <c r="B730" s="12" t="n"/>
      <c r="C730" s="6" t="n"/>
      <c r="D730" s="6" t="n"/>
      <c r="E730" s="13" t="n"/>
      <c r="F730" s="14" t="n"/>
      <c r="G730" s="12" t="n"/>
      <c r="H730" s="15">
        <f>IF($A730="","",IFERROR(VLOOKUP($A730,Clientes!$A$3:$C$1002,2,0),"NÃO CADASTRADO"))</f>
        <v/>
      </c>
      <c r="I730" s="16">
        <f>IF($A730="","",IFERROR(VLOOKUP($A730,Clientes!$A$3:$C$1002,3,0),"NÃO CADASTRADO"))</f>
        <v/>
      </c>
      <c r="J730" s="12">
        <f>IF($A730="","",IF($A730='Carteira do Cliente'!$B$4,COUNTIF($A$3:$A730,'Carteira do Cliente'!$B$4),""))</f>
        <v/>
      </c>
    </row>
    <row r="731">
      <c r="A731" s="3" t="n"/>
      <c r="B731" s="7" t="n"/>
      <c r="C731" s="4" t="n"/>
      <c r="D731" s="4" t="n"/>
      <c r="E731" s="8" t="n"/>
      <c r="F731" s="9" t="n"/>
      <c r="G731" s="7" t="n"/>
      <c r="H731" s="10">
        <f>IF($A731="","",IFERROR(VLOOKUP($A731,Clientes!$A$3:$C$1002,2,0),"NÃO CADASTRADO"))</f>
        <v/>
      </c>
      <c r="I731" s="11">
        <f>IF($A731="","",IFERROR(VLOOKUP($A731,Clientes!$A$3:$C$1002,3,0),"NÃO CADASTRADO"))</f>
        <v/>
      </c>
      <c r="J731" s="7">
        <f>IF($A731="","",IF($A731='Carteira do Cliente'!$B$4,COUNTIF($A$3:$A731,'Carteira do Cliente'!$B$4),""))</f>
        <v/>
      </c>
    </row>
    <row r="732">
      <c r="A732" s="5" t="n"/>
      <c r="B732" s="12" t="n"/>
      <c r="C732" s="6" t="n"/>
      <c r="D732" s="6" t="n"/>
      <c r="E732" s="13" t="n"/>
      <c r="F732" s="14" t="n"/>
      <c r="G732" s="12" t="n"/>
      <c r="H732" s="15">
        <f>IF($A732="","",IFERROR(VLOOKUP($A732,Clientes!$A$3:$C$1002,2,0),"NÃO CADASTRADO"))</f>
        <v/>
      </c>
      <c r="I732" s="16">
        <f>IF($A732="","",IFERROR(VLOOKUP($A732,Clientes!$A$3:$C$1002,3,0),"NÃO CADASTRADO"))</f>
        <v/>
      </c>
      <c r="J732" s="12">
        <f>IF($A732="","",IF($A732='Carteira do Cliente'!$B$4,COUNTIF($A$3:$A732,'Carteira do Cliente'!$B$4),""))</f>
        <v/>
      </c>
    </row>
    <row r="733">
      <c r="A733" s="3" t="n"/>
      <c r="B733" s="7" t="n"/>
      <c r="C733" s="4" t="n"/>
      <c r="D733" s="4" t="n"/>
      <c r="E733" s="8" t="n"/>
      <c r="F733" s="9" t="n"/>
      <c r="G733" s="7" t="n"/>
      <c r="H733" s="10">
        <f>IF($A733="","",IFERROR(VLOOKUP($A733,Clientes!$A$3:$C$1002,2,0),"NÃO CADASTRADO"))</f>
        <v/>
      </c>
      <c r="I733" s="11">
        <f>IF($A733="","",IFERROR(VLOOKUP($A733,Clientes!$A$3:$C$1002,3,0),"NÃO CADASTRADO"))</f>
        <v/>
      </c>
      <c r="J733" s="7">
        <f>IF($A733="","",IF($A733='Carteira do Cliente'!$B$4,COUNTIF($A$3:$A733,'Carteira do Cliente'!$B$4),""))</f>
        <v/>
      </c>
    </row>
    <row r="734">
      <c r="A734" s="5" t="n"/>
      <c r="B734" s="12" t="n"/>
      <c r="C734" s="6" t="n"/>
      <c r="D734" s="6" t="n"/>
      <c r="E734" s="13" t="n"/>
      <c r="F734" s="14" t="n"/>
      <c r="G734" s="12" t="n"/>
      <c r="H734" s="15">
        <f>IF($A734="","",IFERROR(VLOOKUP($A734,Clientes!$A$3:$C$1002,2,0),"NÃO CADASTRADO"))</f>
        <v/>
      </c>
      <c r="I734" s="16">
        <f>IF($A734="","",IFERROR(VLOOKUP($A734,Clientes!$A$3:$C$1002,3,0),"NÃO CADASTRADO"))</f>
        <v/>
      </c>
      <c r="J734" s="12">
        <f>IF($A734="","",IF($A734='Carteira do Cliente'!$B$4,COUNTIF($A$3:$A734,'Carteira do Cliente'!$B$4),""))</f>
        <v/>
      </c>
    </row>
    <row r="735">
      <c r="A735" s="3" t="n"/>
      <c r="B735" s="7" t="n"/>
      <c r="C735" s="4" t="n"/>
      <c r="D735" s="4" t="n"/>
      <c r="E735" s="8" t="n"/>
      <c r="F735" s="9" t="n"/>
      <c r="G735" s="7" t="n"/>
      <c r="H735" s="10">
        <f>IF($A735="","",IFERROR(VLOOKUP($A735,Clientes!$A$3:$C$1002,2,0),"NÃO CADASTRADO"))</f>
        <v/>
      </c>
      <c r="I735" s="11">
        <f>IF($A735="","",IFERROR(VLOOKUP($A735,Clientes!$A$3:$C$1002,3,0),"NÃO CADASTRADO"))</f>
        <v/>
      </c>
      <c r="J735" s="7">
        <f>IF($A735="","",IF($A735='Carteira do Cliente'!$B$4,COUNTIF($A$3:$A735,'Carteira do Cliente'!$B$4),""))</f>
        <v/>
      </c>
    </row>
    <row r="736">
      <c r="A736" s="5" t="n"/>
      <c r="B736" s="12" t="n"/>
      <c r="C736" s="6" t="n"/>
      <c r="D736" s="6" t="n"/>
      <c r="E736" s="13" t="n"/>
      <c r="F736" s="14" t="n"/>
      <c r="G736" s="12" t="n"/>
      <c r="H736" s="15">
        <f>IF($A736="","",IFERROR(VLOOKUP($A736,Clientes!$A$3:$C$1002,2,0),"NÃO CADASTRADO"))</f>
        <v/>
      </c>
      <c r="I736" s="16">
        <f>IF($A736="","",IFERROR(VLOOKUP($A736,Clientes!$A$3:$C$1002,3,0),"NÃO CADASTRADO"))</f>
        <v/>
      </c>
      <c r="J736" s="12">
        <f>IF($A736="","",IF($A736='Carteira do Cliente'!$B$4,COUNTIF($A$3:$A736,'Carteira do Cliente'!$B$4),""))</f>
        <v/>
      </c>
    </row>
    <row r="737">
      <c r="A737" s="3" t="n"/>
      <c r="B737" s="7" t="n"/>
      <c r="C737" s="4" t="n"/>
      <c r="D737" s="4" t="n"/>
      <c r="E737" s="8" t="n"/>
      <c r="F737" s="9" t="n"/>
      <c r="G737" s="7" t="n"/>
      <c r="H737" s="10">
        <f>IF($A737="","",IFERROR(VLOOKUP($A737,Clientes!$A$3:$C$1002,2,0),"NÃO CADASTRADO"))</f>
        <v/>
      </c>
      <c r="I737" s="11">
        <f>IF($A737="","",IFERROR(VLOOKUP($A737,Clientes!$A$3:$C$1002,3,0),"NÃO CADASTRADO"))</f>
        <v/>
      </c>
      <c r="J737" s="7">
        <f>IF($A737="","",IF($A737='Carteira do Cliente'!$B$4,COUNTIF($A$3:$A737,'Carteira do Cliente'!$B$4),""))</f>
        <v/>
      </c>
    </row>
    <row r="738">
      <c r="A738" s="5" t="n"/>
      <c r="B738" s="12" t="n"/>
      <c r="C738" s="6" t="n"/>
      <c r="D738" s="6" t="n"/>
      <c r="E738" s="13" t="n"/>
      <c r="F738" s="14" t="n"/>
      <c r="G738" s="12" t="n"/>
      <c r="H738" s="15">
        <f>IF($A738="","",IFERROR(VLOOKUP($A738,Clientes!$A$3:$C$1002,2,0),"NÃO CADASTRADO"))</f>
        <v/>
      </c>
      <c r="I738" s="16">
        <f>IF($A738="","",IFERROR(VLOOKUP($A738,Clientes!$A$3:$C$1002,3,0),"NÃO CADASTRADO"))</f>
        <v/>
      </c>
      <c r="J738" s="12">
        <f>IF($A738="","",IF($A738='Carteira do Cliente'!$B$4,COUNTIF($A$3:$A738,'Carteira do Cliente'!$B$4),""))</f>
        <v/>
      </c>
    </row>
    <row r="739">
      <c r="A739" s="3" t="n"/>
      <c r="B739" s="7" t="n"/>
      <c r="C739" s="4" t="n"/>
      <c r="D739" s="4" t="n"/>
      <c r="E739" s="8" t="n"/>
      <c r="F739" s="9" t="n"/>
      <c r="G739" s="7" t="n"/>
      <c r="H739" s="10">
        <f>IF($A739="","",IFERROR(VLOOKUP($A739,Clientes!$A$3:$C$1002,2,0),"NÃO CADASTRADO"))</f>
        <v/>
      </c>
      <c r="I739" s="11">
        <f>IF($A739="","",IFERROR(VLOOKUP($A739,Clientes!$A$3:$C$1002,3,0),"NÃO CADASTRADO"))</f>
        <v/>
      </c>
      <c r="J739" s="7">
        <f>IF($A739="","",IF($A739='Carteira do Cliente'!$B$4,COUNTIF($A$3:$A739,'Carteira do Cliente'!$B$4),""))</f>
        <v/>
      </c>
    </row>
    <row r="740">
      <c r="A740" s="5" t="n"/>
      <c r="B740" s="12" t="n"/>
      <c r="C740" s="6" t="n"/>
      <c r="D740" s="6" t="n"/>
      <c r="E740" s="13" t="n"/>
      <c r="F740" s="14" t="n"/>
      <c r="G740" s="12" t="n"/>
      <c r="H740" s="15">
        <f>IF($A740="","",IFERROR(VLOOKUP($A740,Clientes!$A$3:$C$1002,2,0),"NÃO CADASTRADO"))</f>
        <v/>
      </c>
      <c r="I740" s="16">
        <f>IF($A740="","",IFERROR(VLOOKUP($A740,Clientes!$A$3:$C$1002,3,0),"NÃO CADASTRADO"))</f>
        <v/>
      </c>
      <c r="J740" s="12">
        <f>IF($A740="","",IF($A740='Carteira do Cliente'!$B$4,COUNTIF($A$3:$A740,'Carteira do Cliente'!$B$4),""))</f>
        <v/>
      </c>
    </row>
    <row r="741">
      <c r="A741" s="3" t="n"/>
      <c r="B741" s="7" t="n"/>
      <c r="C741" s="4" t="n"/>
      <c r="D741" s="4" t="n"/>
      <c r="E741" s="8" t="n"/>
      <c r="F741" s="9" t="n"/>
      <c r="G741" s="7" t="n"/>
      <c r="H741" s="10">
        <f>IF($A741="","",IFERROR(VLOOKUP($A741,Clientes!$A$3:$C$1002,2,0),"NÃO CADASTRADO"))</f>
        <v/>
      </c>
      <c r="I741" s="11">
        <f>IF($A741="","",IFERROR(VLOOKUP($A741,Clientes!$A$3:$C$1002,3,0),"NÃO CADASTRADO"))</f>
        <v/>
      </c>
      <c r="J741" s="7">
        <f>IF($A741="","",IF($A741='Carteira do Cliente'!$B$4,COUNTIF($A$3:$A741,'Carteira do Cliente'!$B$4),""))</f>
        <v/>
      </c>
    </row>
    <row r="742">
      <c r="A742" s="5" t="n"/>
      <c r="B742" s="12" t="n"/>
      <c r="C742" s="6" t="n"/>
      <c r="D742" s="6" t="n"/>
      <c r="E742" s="13" t="n"/>
      <c r="F742" s="14" t="n"/>
      <c r="G742" s="12" t="n"/>
      <c r="H742" s="15">
        <f>IF($A742="","",IFERROR(VLOOKUP($A742,Clientes!$A$3:$C$1002,2,0),"NÃO CADASTRADO"))</f>
        <v/>
      </c>
      <c r="I742" s="16">
        <f>IF($A742="","",IFERROR(VLOOKUP($A742,Clientes!$A$3:$C$1002,3,0),"NÃO CADASTRADO"))</f>
        <v/>
      </c>
      <c r="J742" s="12">
        <f>IF($A742="","",IF($A742='Carteira do Cliente'!$B$4,COUNTIF($A$3:$A742,'Carteira do Cliente'!$B$4),""))</f>
        <v/>
      </c>
    </row>
    <row r="743">
      <c r="A743" s="3" t="n"/>
      <c r="B743" s="7" t="n"/>
      <c r="C743" s="4" t="n"/>
      <c r="D743" s="4" t="n"/>
      <c r="E743" s="8" t="n"/>
      <c r="F743" s="9" t="n"/>
      <c r="G743" s="7" t="n"/>
      <c r="H743" s="10">
        <f>IF($A743="","",IFERROR(VLOOKUP($A743,Clientes!$A$3:$C$1002,2,0),"NÃO CADASTRADO"))</f>
        <v/>
      </c>
      <c r="I743" s="11">
        <f>IF($A743="","",IFERROR(VLOOKUP($A743,Clientes!$A$3:$C$1002,3,0),"NÃO CADASTRADO"))</f>
        <v/>
      </c>
      <c r="J743" s="7">
        <f>IF($A743="","",IF($A743='Carteira do Cliente'!$B$4,COUNTIF($A$3:$A743,'Carteira do Cliente'!$B$4),""))</f>
        <v/>
      </c>
    </row>
    <row r="744">
      <c r="A744" s="5" t="n"/>
      <c r="B744" s="12" t="n"/>
      <c r="C744" s="6" t="n"/>
      <c r="D744" s="6" t="n"/>
      <c r="E744" s="13" t="n"/>
      <c r="F744" s="14" t="n"/>
      <c r="G744" s="12" t="n"/>
      <c r="H744" s="15">
        <f>IF($A744="","",IFERROR(VLOOKUP($A744,Clientes!$A$3:$C$1002,2,0),"NÃO CADASTRADO"))</f>
        <v/>
      </c>
      <c r="I744" s="16">
        <f>IF($A744="","",IFERROR(VLOOKUP($A744,Clientes!$A$3:$C$1002,3,0),"NÃO CADASTRADO"))</f>
        <v/>
      </c>
      <c r="J744" s="12">
        <f>IF($A744="","",IF($A744='Carteira do Cliente'!$B$4,COUNTIF($A$3:$A744,'Carteira do Cliente'!$B$4),""))</f>
        <v/>
      </c>
    </row>
    <row r="745">
      <c r="A745" s="3" t="n"/>
      <c r="B745" s="7" t="n"/>
      <c r="C745" s="4" t="n"/>
      <c r="D745" s="4" t="n"/>
      <c r="E745" s="8" t="n"/>
      <c r="F745" s="9" t="n"/>
      <c r="G745" s="7" t="n"/>
      <c r="H745" s="10">
        <f>IF($A745="","",IFERROR(VLOOKUP($A745,Clientes!$A$3:$C$1002,2,0),"NÃO CADASTRADO"))</f>
        <v/>
      </c>
      <c r="I745" s="11">
        <f>IF($A745="","",IFERROR(VLOOKUP($A745,Clientes!$A$3:$C$1002,3,0),"NÃO CADASTRADO"))</f>
        <v/>
      </c>
      <c r="J745" s="7">
        <f>IF($A745="","",IF($A745='Carteira do Cliente'!$B$4,COUNTIF($A$3:$A745,'Carteira do Cliente'!$B$4),""))</f>
        <v/>
      </c>
    </row>
    <row r="746">
      <c r="A746" s="5" t="n"/>
      <c r="B746" s="12" t="n"/>
      <c r="C746" s="6" t="n"/>
      <c r="D746" s="6" t="n"/>
      <c r="E746" s="13" t="n"/>
      <c r="F746" s="14" t="n"/>
      <c r="G746" s="12" t="n"/>
      <c r="H746" s="15">
        <f>IF($A746="","",IFERROR(VLOOKUP($A746,Clientes!$A$3:$C$1002,2,0),"NÃO CADASTRADO"))</f>
        <v/>
      </c>
      <c r="I746" s="16">
        <f>IF($A746="","",IFERROR(VLOOKUP($A746,Clientes!$A$3:$C$1002,3,0),"NÃO CADASTRADO"))</f>
        <v/>
      </c>
      <c r="J746" s="12">
        <f>IF($A746="","",IF($A746='Carteira do Cliente'!$B$4,COUNTIF($A$3:$A746,'Carteira do Cliente'!$B$4),""))</f>
        <v/>
      </c>
    </row>
    <row r="747">
      <c r="A747" s="3" t="n"/>
      <c r="B747" s="7" t="n"/>
      <c r="C747" s="4" t="n"/>
      <c r="D747" s="4" t="n"/>
      <c r="E747" s="8" t="n"/>
      <c r="F747" s="9" t="n"/>
      <c r="G747" s="7" t="n"/>
      <c r="H747" s="10">
        <f>IF($A747="","",IFERROR(VLOOKUP($A747,Clientes!$A$3:$C$1002,2,0),"NÃO CADASTRADO"))</f>
        <v/>
      </c>
      <c r="I747" s="11">
        <f>IF($A747="","",IFERROR(VLOOKUP($A747,Clientes!$A$3:$C$1002,3,0),"NÃO CADASTRADO"))</f>
        <v/>
      </c>
      <c r="J747" s="7">
        <f>IF($A747="","",IF($A747='Carteira do Cliente'!$B$4,COUNTIF($A$3:$A747,'Carteira do Cliente'!$B$4),""))</f>
        <v/>
      </c>
    </row>
    <row r="748">
      <c r="A748" s="5" t="n"/>
      <c r="B748" s="12" t="n"/>
      <c r="C748" s="6" t="n"/>
      <c r="D748" s="6" t="n"/>
      <c r="E748" s="13" t="n"/>
      <c r="F748" s="14" t="n"/>
      <c r="G748" s="12" t="n"/>
      <c r="H748" s="15">
        <f>IF($A748="","",IFERROR(VLOOKUP($A748,Clientes!$A$3:$C$1002,2,0),"NÃO CADASTRADO"))</f>
        <v/>
      </c>
      <c r="I748" s="16">
        <f>IF($A748="","",IFERROR(VLOOKUP($A748,Clientes!$A$3:$C$1002,3,0),"NÃO CADASTRADO"))</f>
        <v/>
      </c>
      <c r="J748" s="12">
        <f>IF($A748="","",IF($A748='Carteira do Cliente'!$B$4,COUNTIF($A$3:$A748,'Carteira do Cliente'!$B$4),""))</f>
        <v/>
      </c>
    </row>
    <row r="749">
      <c r="A749" s="3" t="n"/>
      <c r="B749" s="7" t="n"/>
      <c r="C749" s="4" t="n"/>
      <c r="D749" s="4" t="n"/>
      <c r="E749" s="8" t="n"/>
      <c r="F749" s="9" t="n"/>
      <c r="G749" s="7" t="n"/>
      <c r="H749" s="10">
        <f>IF($A749="","",IFERROR(VLOOKUP($A749,Clientes!$A$3:$C$1002,2,0),"NÃO CADASTRADO"))</f>
        <v/>
      </c>
      <c r="I749" s="11">
        <f>IF($A749="","",IFERROR(VLOOKUP($A749,Clientes!$A$3:$C$1002,3,0),"NÃO CADASTRADO"))</f>
        <v/>
      </c>
      <c r="J749" s="7">
        <f>IF($A749="","",IF($A749='Carteira do Cliente'!$B$4,COUNTIF($A$3:$A749,'Carteira do Cliente'!$B$4),""))</f>
        <v/>
      </c>
    </row>
    <row r="750">
      <c r="A750" s="5" t="n"/>
      <c r="B750" s="12" t="n"/>
      <c r="C750" s="6" t="n"/>
      <c r="D750" s="6" t="n"/>
      <c r="E750" s="13" t="n"/>
      <c r="F750" s="14" t="n"/>
      <c r="G750" s="12" t="n"/>
      <c r="H750" s="15">
        <f>IF($A750="","",IFERROR(VLOOKUP($A750,Clientes!$A$3:$C$1002,2,0),"NÃO CADASTRADO"))</f>
        <v/>
      </c>
      <c r="I750" s="16">
        <f>IF($A750="","",IFERROR(VLOOKUP($A750,Clientes!$A$3:$C$1002,3,0),"NÃO CADASTRADO"))</f>
        <v/>
      </c>
      <c r="J750" s="12">
        <f>IF($A750="","",IF($A750='Carteira do Cliente'!$B$4,COUNTIF($A$3:$A750,'Carteira do Cliente'!$B$4),""))</f>
        <v/>
      </c>
    </row>
    <row r="751">
      <c r="A751" s="3" t="n"/>
      <c r="B751" s="7" t="n"/>
      <c r="C751" s="4" t="n"/>
      <c r="D751" s="4" t="n"/>
      <c r="E751" s="8" t="n"/>
      <c r="F751" s="9" t="n"/>
      <c r="G751" s="7" t="n"/>
      <c r="H751" s="10">
        <f>IF($A751="","",IFERROR(VLOOKUP($A751,Clientes!$A$3:$C$1002,2,0),"NÃO CADASTRADO"))</f>
        <v/>
      </c>
      <c r="I751" s="11">
        <f>IF($A751="","",IFERROR(VLOOKUP($A751,Clientes!$A$3:$C$1002,3,0),"NÃO CADASTRADO"))</f>
        <v/>
      </c>
      <c r="J751" s="7">
        <f>IF($A751="","",IF($A751='Carteira do Cliente'!$B$4,COUNTIF($A$3:$A751,'Carteira do Cliente'!$B$4),""))</f>
        <v/>
      </c>
    </row>
    <row r="752">
      <c r="A752" s="5" t="n"/>
      <c r="B752" s="12" t="n"/>
      <c r="C752" s="6" t="n"/>
      <c r="D752" s="6" t="n"/>
      <c r="E752" s="13" t="n"/>
      <c r="F752" s="14" t="n"/>
      <c r="G752" s="12" t="n"/>
      <c r="H752" s="15">
        <f>IF($A752="","",IFERROR(VLOOKUP($A752,Clientes!$A$3:$C$1002,2,0),"NÃO CADASTRADO"))</f>
        <v/>
      </c>
      <c r="I752" s="16">
        <f>IF($A752="","",IFERROR(VLOOKUP($A752,Clientes!$A$3:$C$1002,3,0),"NÃO CADASTRADO"))</f>
        <v/>
      </c>
      <c r="J752" s="12">
        <f>IF($A752="","",IF($A752='Carteira do Cliente'!$B$4,COUNTIF($A$3:$A752,'Carteira do Cliente'!$B$4),""))</f>
        <v/>
      </c>
    </row>
    <row r="753">
      <c r="A753" s="3" t="n"/>
      <c r="B753" s="7" t="n"/>
      <c r="C753" s="4" t="n"/>
      <c r="D753" s="4" t="n"/>
      <c r="E753" s="8" t="n"/>
      <c r="F753" s="9" t="n"/>
      <c r="G753" s="7" t="n"/>
      <c r="H753" s="10">
        <f>IF($A753="","",IFERROR(VLOOKUP($A753,Clientes!$A$3:$C$1002,2,0),"NÃO CADASTRADO"))</f>
        <v/>
      </c>
      <c r="I753" s="11">
        <f>IF($A753="","",IFERROR(VLOOKUP($A753,Clientes!$A$3:$C$1002,3,0),"NÃO CADASTRADO"))</f>
        <v/>
      </c>
      <c r="J753" s="7">
        <f>IF($A753="","",IF($A753='Carteira do Cliente'!$B$4,COUNTIF($A$3:$A753,'Carteira do Cliente'!$B$4),""))</f>
        <v/>
      </c>
    </row>
    <row r="754">
      <c r="A754" s="5" t="n"/>
      <c r="B754" s="12" t="n"/>
      <c r="C754" s="6" t="n"/>
      <c r="D754" s="6" t="n"/>
      <c r="E754" s="13" t="n"/>
      <c r="F754" s="14" t="n"/>
      <c r="G754" s="12" t="n"/>
      <c r="H754" s="15">
        <f>IF($A754="","",IFERROR(VLOOKUP($A754,Clientes!$A$3:$C$1002,2,0),"NÃO CADASTRADO"))</f>
        <v/>
      </c>
      <c r="I754" s="16">
        <f>IF($A754="","",IFERROR(VLOOKUP($A754,Clientes!$A$3:$C$1002,3,0),"NÃO CADASTRADO"))</f>
        <v/>
      </c>
      <c r="J754" s="12">
        <f>IF($A754="","",IF($A754='Carteira do Cliente'!$B$4,COUNTIF($A$3:$A754,'Carteira do Cliente'!$B$4),""))</f>
        <v/>
      </c>
    </row>
    <row r="755">
      <c r="A755" s="3" t="n"/>
      <c r="B755" s="7" t="n"/>
      <c r="C755" s="4" t="n"/>
      <c r="D755" s="4" t="n"/>
      <c r="E755" s="8" t="n"/>
      <c r="F755" s="9" t="n"/>
      <c r="G755" s="7" t="n"/>
      <c r="H755" s="10">
        <f>IF($A755="","",IFERROR(VLOOKUP($A755,Clientes!$A$3:$C$1002,2,0),"NÃO CADASTRADO"))</f>
        <v/>
      </c>
      <c r="I755" s="11">
        <f>IF($A755="","",IFERROR(VLOOKUP($A755,Clientes!$A$3:$C$1002,3,0),"NÃO CADASTRADO"))</f>
        <v/>
      </c>
      <c r="J755" s="7">
        <f>IF($A755="","",IF($A755='Carteira do Cliente'!$B$4,COUNTIF($A$3:$A755,'Carteira do Cliente'!$B$4),""))</f>
        <v/>
      </c>
    </row>
    <row r="756">
      <c r="A756" s="5" t="n"/>
      <c r="B756" s="12" t="n"/>
      <c r="C756" s="6" t="n"/>
      <c r="D756" s="6" t="n"/>
      <c r="E756" s="13" t="n"/>
      <c r="F756" s="14" t="n"/>
      <c r="G756" s="12" t="n"/>
      <c r="H756" s="15">
        <f>IF($A756="","",IFERROR(VLOOKUP($A756,Clientes!$A$3:$C$1002,2,0),"NÃO CADASTRADO"))</f>
        <v/>
      </c>
      <c r="I756" s="16">
        <f>IF($A756="","",IFERROR(VLOOKUP($A756,Clientes!$A$3:$C$1002,3,0),"NÃO CADASTRADO"))</f>
        <v/>
      </c>
      <c r="J756" s="12">
        <f>IF($A756="","",IF($A756='Carteira do Cliente'!$B$4,COUNTIF($A$3:$A756,'Carteira do Cliente'!$B$4),""))</f>
        <v/>
      </c>
    </row>
    <row r="757">
      <c r="A757" s="3" t="n"/>
      <c r="B757" s="7" t="n"/>
      <c r="C757" s="4" t="n"/>
      <c r="D757" s="4" t="n"/>
      <c r="E757" s="8" t="n"/>
      <c r="F757" s="9" t="n"/>
      <c r="G757" s="7" t="n"/>
      <c r="H757" s="10">
        <f>IF($A757="","",IFERROR(VLOOKUP($A757,Clientes!$A$3:$C$1002,2,0),"NÃO CADASTRADO"))</f>
        <v/>
      </c>
      <c r="I757" s="11">
        <f>IF($A757="","",IFERROR(VLOOKUP($A757,Clientes!$A$3:$C$1002,3,0),"NÃO CADASTRADO"))</f>
        <v/>
      </c>
      <c r="J757" s="7">
        <f>IF($A757="","",IF($A757='Carteira do Cliente'!$B$4,COUNTIF($A$3:$A757,'Carteira do Cliente'!$B$4),""))</f>
        <v/>
      </c>
    </row>
    <row r="758">
      <c r="A758" s="5" t="n"/>
      <c r="B758" s="12" t="n"/>
      <c r="C758" s="6" t="n"/>
      <c r="D758" s="6" t="n"/>
      <c r="E758" s="13" t="n"/>
      <c r="F758" s="14" t="n"/>
      <c r="G758" s="12" t="n"/>
      <c r="H758" s="15">
        <f>IF($A758="","",IFERROR(VLOOKUP($A758,Clientes!$A$3:$C$1002,2,0),"NÃO CADASTRADO"))</f>
        <v/>
      </c>
      <c r="I758" s="16">
        <f>IF($A758="","",IFERROR(VLOOKUP($A758,Clientes!$A$3:$C$1002,3,0),"NÃO CADASTRADO"))</f>
        <v/>
      </c>
      <c r="J758" s="12">
        <f>IF($A758="","",IF($A758='Carteira do Cliente'!$B$4,COUNTIF($A$3:$A758,'Carteira do Cliente'!$B$4),""))</f>
        <v/>
      </c>
    </row>
    <row r="759">
      <c r="A759" s="3" t="n"/>
      <c r="B759" s="7" t="n"/>
      <c r="C759" s="4" t="n"/>
      <c r="D759" s="4" t="n"/>
      <c r="E759" s="8" t="n"/>
      <c r="F759" s="9" t="n"/>
      <c r="G759" s="7" t="n"/>
      <c r="H759" s="10">
        <f>IF($A759="","",IFERROR(VLOOKUP($A759,Clientes!$A$3:$C$1002,2,0),"NÃO CADASTRADO"))</f>
        <v/>
      </c>
      <c r="I759" s="11">
        <f>IF($A759="","",IFERROR(VLOOKUP($A759,Clientes!$A$3:$C$1002,3,0),"NÃO CADASTRADO"))</f>
        <v/>
      </c>
      <c r="J759" s="7">
        <f>IF($A759="","",IF($A759='Carteira do Cliente'!$B$4,COUNTIF($A$3:$A759,'Carteira do Cliente'!$B$4),""))</f>
        <v/>
      </c>
    </row>
    <row r="760">
      <c r="A760" s="5" t="n"/>
      <c r="B760" s="12" t="n"/>
      <c r="C760" s="6" t="n"/>
      <c r="D760" s="6" t="n"/>
      <c r="E760" s="13" t="n"/>
      <c r="F760" s="14" t="n"/>
      <c r="G760" s="12" t="n"/>
      <c r="H760" s="15">
        <f>IF($A760="","",IFERROR(VLOOKUP($A760,Clientes!$A$3:$C$1002,2,0),"NÃO CADASTRADO"))</f>
        <v/>
      </c>
      <c r="I760" s="16">
        <f>IF($A760="","",IFERROR(VLOOKUP($A760,Clientes!$A$3:$C$1002,3,0),"NÃO CADASTRADO"))</f>
        <v/>
      </c>
      <c r="J760" s="12">
        <f>IF($A760="","",IF($A760='Carteira do Cliente'!$B$4,COUNTIF($A$3:$A760,'Carteira do Cliente'!$B$4),""))</f>
        <v/>
      </c>
    </row>
    <row r="761">
      <c r="A761" s="3" t="n"/>
      <c r="B761" s="7" t="n"/>
      <c r="C761" s="4" t="n"/>
      <c r="D761" s="4" t="n"/>
      <c r="E761" s="8" t="n"/>
      <c r="F761" s="9" t="n"/>
      <c r="G761" s="7" t="n"/>
      <c r="H761" s="10">
        <f>IF($A761="","",IFERROR(VLOOKUP($A761,Clientes!$A$3:$C$1002,2,0),"NÃO CADASTRADO"))</f>
        <v/>
      </c>
      <c r="I761" s="11">
        <f>IF($A761="","",IFERROR(VLOOKUP($A761,Clientes!$A$3:$C$1002,3,0),"NÃO CADASTRADO"))</f>
        <v/>
      </c>
      <c r="J761" s="7">
        <f>IF($A761="","",IF($A761='Carteira do Cliente'!$B$4,COUNTIF($A$3:$A761,'Carteira do Cliente'!$B$4),""))</f>
        <v/>
      </c>
    </row>
    <row r="762">
      <c r="A762" s="5" t="n"/>
      <c r="B762" s="12" t="n"/>
      <c r="C762" s="6" t="n"/>
      <c r="D762" s="6" t="n"/>
      <c r="E762" s="13" t="n"/>
      <c r="F762" s="14" t="n"/>
      <c r="G762" s="12" t="n"/>
      <c r="H762" s="15">
        <f>IF($A762="","",IFERROR(VLOOKUP($A762,Clientes!$A$3:$C$1002,2,0),"NÃO CADASTRADO"))</f>
        <v/>
      </c>
      <c r="I762" s="16">
        <f>IF($A762="","",IFERROR(VLOOKUP($A762,Clientes!$A$3:$C$1002,3,0),"NÃO CADASTRADO"))</f>
        <v/>
      </c>
      <c r="J762" s="12">
        <f>IF($A762="","",IF($A762='Carteira do Cliente'!$B$4,COUNTIF($A$3:$A762,'Carteira do Cliente'!$B$4),""))</f>
        <v/>
      </c>
    </row>
    <row r="763">
      <c r="A763" s="3" t="n"/>
      <c r="B763" s="7" t="n"/>
      <c r="C763" s="4" t="n"/>
      <c r="D763" s="4" t="n"/>
      <c r="E763" s="8" t="n"/>
      <c r="F763" s="9" t="n"/>
      <c r="G763" s="7" t="n"/>
      <c r="H763" s="10">
        <f>IF($A763="","",IFERROR(VLOOKUP($A763,Clientes!$A$3:$C$1002,2,0),"NÃO CADASTRADO"))</f>
        <v/>
      </c>
      <c r="I763" s="11">
        <f>IF($A763="","",IFERROR(VLOOKUP($A763,Clientes!$A$3:$C$1002,3,0),"NÃO CADASTRADO"))</f>
        <v/>
      </c>
      <c r="J763" s="7">
        <f>IF($A763="","",IF($A763='Carteira do Cliente'!$B$4,COUNTIF($A$3:$A763,'Carteira do Cliente'!$B$4),""))</f>
        <v/>
      </c>
    </row>
    <row r="764">
      <c r="A764" s="5" t="n"/>
      <c r="B764" s="12" t="n"/>
      <c r="C764" s="6" t="n"/>
      <c r="D764" s="6" t="n"/>
      <c r="E764" s="13" t="n"/>
      <c r="F764" s="14" t="n"/>
      <c r="G764" s="12" t="n"/>
      <c r="H764" s="15">
        <f>IF($A764="","",IFERROR(VLOOKUP($A764,Clientes!$A$3:$C$1002,2,0),"NÃO CADASTRADO"))</f>
        <v/>
      </c>
      <c r="I764" s="16">
        <f>IF($A764="","",IFERROR(VLOOKUP($A764,Clientes!$A$3:$C$1002,3,0),"NÃO CADASTRADO"))</f>
        <v/>
      </c>
      <c r="J764" s="12">
        <f>IF($A764="","",IF($A764='Carteira do Cliente'!$B$4,COUNTIF($A$3:$A764,'Carteira do Cliente'!$B$4),""))</f>
        <v/>
      </c>
    </row>
    <row r="765">
      <c r="A765" s="3" t="n"/>
      <c r="B765" s="7" t="n"/>
      <c r="C765" s="4" t="n"/>
      <c r="D765" s="4" t="n"/>
      <c r="E765" s="8" t="n"/>
      <c r="F765" s="9" t="n"/>
      <c r="G765" s="7" t="n"/>
      <c r="H765" s="10">
        <f>IF($A765="","",IFERROR(VLOOKUP($A765,Clientes!$A$3:$C$1002,2,0),"NÃO CADASTRADO"))</f>
        <v/>
      </c>
      <c r="I765" s="11">
        <f>IF($A765="","",IFERROR(VLOOKUP($A765,Clientes!$A$3:$C$1002,3,0),"NÃO CADASTRADO"))</f>
        <v/>
      </c>
      <c r="J765" s="7">
        <f>IF($A765="","",IF($A765='Carteira do Cliente'!$B$4,COUNTIF($A$3:$A765,'Carteira do Cliente'!$B$4),""))</f>
        <v/>
      </c>
    </row>
    <row r="766">
      <c r="A766" s="5" t="n"/>
      <c r="B766" s="12" t="n"/>
      <c r="C766" s="6" t="n"/>
      <c r="D766" s="6" t="n"/>
      <c r="E766" s="13" t="n"/>
      <c r="F766" s="14" t="n"/>
      <c r="G766" s="12" t="n"/>
      <c r="H766" s="15">
        <f>IF($A766="","",IFERROR(VLOOKUP($A766,Clientes!$A$3:$C$1002,2,0),"NÃO CADASTRADO"))</f>
        <v/>
      </c>
      <c r="I766" s="16">
        <f>IF($A766="","",IFERROR(VLOOKUP($A766,Clientes!$A$3:$C$1002,3,0),"NÃO CADASTRADO"))</f>
        <v/>
      </c>
      <c r="J766" s="12">
        <f>IF($A766="","",IF($A766='Carteira do Cliente'!$B$4,COUNTIF($A$3:$A766,'Carteira do Cliente'!$B$4),""))</f>
        <v/>
      </c>
    </row>
    <row r="767">
      <c r="A767" s="3" t="n"/>
      <c r="B767" s="7" t="n"/>
      <c r="C767" s="4" t="n"/>
      <c r="D767" s="4" t="n"/>
      <c r="E767" s="8" t="n"/>
      <c r="F767" s="9" t="n"/>
      <c r="G767" s="7" t="n"/>
      <c r="H767" s="10">
        <f>IF($A767="","",IFERROR(VLOOKUP($A767,Clientes!$A$3:$C$1002,2,0),"NÃO CADASTRADO"))</f>
        <v/>
      </c>
      <c r="I767" s="11">
        <f>IF($A767="","",IFERROR(VLOOKUP($A767,Clientes!$A$3:$C$1002,3,0),"NÃO CADASTRADO"))</f>
        <v/>
      </c>
      <c r="J767" s="7">
        <f>IF($A767="","",IF($A767='Carteira do Cliente'!$B$4,COUNTIF($A$3:$A767,'Carteira do Cliente'!$B$4),""))</f>
        <v/>
      </c>
    </row>
    <row r="768">
      <c r="A768" s="5" t="n"/>
      <c r="B768" s="12" t="n"/>
      <c r="C768" s="6" t="n"/>
      <c r="D768" s="6" t="n"/>
      <c r="E768" s="13" t="n"/>
      <c r="F768" s="14" t="n"/>
      <c r="G768" s="12" t="n"/>
      <c r="H768" s="15">
        <f>IF($A768="","",IFERROR(VLOOKUP($A768,Clientes!$A$3:$C$1002,2,0),"NÃO CADASTRADO"))</f>
        <v/>
      </c>
      <c r="I768" s="16">
        <f>IF($A768="","",IFERROR(VLOOKUP($A768,Clientes!$A$3:$C$1002,3,0),"NÃO CADASTRADO"))</f>
        <v/>
      </c>
      <c r="J768" s="12">
        <f>IF($A768="","",IF($A768='Carteira do Cliente'!$B$4,COUNTIF($A$3:$A768,'Carteira do Cliente'!$B$4),""))</f>
        <v/>
      </c>
    </row>
    <row r="769">
      <c r="A769" s="3" t="n"/>
      <c r="B769" s="7" t="n"/>
      <c r="C769" s="4" t="n"/>
      <c r="D769" s="4" t="n"/>
      <c r="E769" s="8" t="n"/>
      <c r="F769" s="9" t="n"/>
      <c r="G769" s="7" t="n"/>
      <c r="H769" s="10">
        <f>IF($A769="","",IFERROR(VLOOKUP($A769,Clientes!$A$3:$C$1002,2,0),"NÃO CADASTRADO"))</f>
        <v/>
      </c>
      <c r="I769" s="11">
        <f>IF($A769="","",IFERROR(VLOOKUP($A769,Clientes!$A$3:$C$1002,3,0),"NÃO CADASTRADO"))</f>
        <v/>
      </c>
      <c r="J769" s="7">
        <f>IF($A769="","",IF($A769='Carteira do Cliente'!$B$4,COUNTIF($A$3:$A769,'Carteira do Cliente'!$B$4),""))</f>
        <v/>
      </c>
    </row>
    <row r="770">
      <c r="A770" s="5" t="n"/>
      <c r="B770" s="12" t="n"/>
      <c r="C770" s="6" t="n"/>
      <c r="D770" s="6" t="n"/>
      <c r="E770" s="13" t="n"/>
      <c r="F770" s="14" t="n"/>
      <c r="G770" s="12" t="n"/>
      <c r="H770" s="15">
        <f>IF($A770="","",IFERROR(VLOOKUP($A770,Clientes!$A$3:$C$1002,2,0),"NÃO CADASTRADO"))</f>
        <v/>
      </c>
      <c r="I770" s="16">
        <f>IF($A770="","",IFERROR(VLOOKUP($A770,Clientes!$A$3:$C$1002,3,0),"NÃO CADASTRADO"))</f>
        <v/>
      </c>
      <c r="J770" s="12">
        <f>IF($A770="","",IF($A770='Carteira do Cliente'!$B$4,COUNTIF($A$3:$A770,'Carteira do Cliente'!$B$4),""))</f>
        <v/>
      </c>
    </row>
    <row r="771">
      <c r="A771" s="3" t="n"/>
      <c r="B771" s="7" t="n"/>
      <c r="C771" s="4" t="n"/>
      <c r="D771" s="4" t="n"/>
      <c r="E771" s="8" t="n"/>
      <c r="F771" s="9" t="n"/>
      <c r="G771" s="7" t="n"/>
      <c r="H771" s="10">
        <f>IF($A771="","",IFERROR(VLOOKUP($A771,Clientes!$A$3:$C$1002,2,0),"NÃO CADASTRADO"))</f>
        <v/>
      </c>
      <c r="I771" s="11">
        <f>IF($A771="","",IFERROR(VLOOKUP($A771,Clientes!$A$3:$C$1002,3,0),"NÃO CADASTRADO"))</f>
        <v/>
      </c>
      <c r="J771" s="7">
        <f>IF($A771="","",IF($A771='Carteira do Cliente'!$B$4,COUNTIF($A$3:$A771,'Carteira do Cliente'!$B$4),""))</f>
        <v/>
      </c>
    </row>
    <row r="772">
      <c r="A772" s="5" t="n"/>
      <c r="B772" s="12" t="n"/>
      <c r="C772" s="6" t="n"/>
      <c r="D772" s="6" t="n"/>
      <c r="E772" s="13" t="n"/>
      <c r="F772" s="14" t="n"/>
      <c r="G772" s="12" t="n"/>
      <c r="H772" s="15">
        <f>IF($A772="","",IFERROR(VLOOKUP($A772,Clientes!$A$3:$C$1002,2,0),"NÃO CADASTRADO"))</f>
        <v/>
      </c>
      <c r="I772" s="16">
        <f>IF($A772="","",IFERROR(VLOOKUP($A772,Clientes!$A$3:$C$1002,3,0),"NÃO CADASTRADO"))</f>
        <v/>
      </c>
      <c r="J772" s="12">
        <f>IF($A772="","",IF($A772='Carteira do Cliente'!$B$4,COUNTIF($A$3:$A772,'Carteira do Cliente'!$B$4),""))</f>
        <v/>
      </c>
    </row>
    <row r="773">
      <c r="A773" s="3" t="n"/>
      <c r="B773" s="7" t="n"/>
      <c r="C773" s="4" t="n"/>
      <c r="D773" s="4" t="n"/>
      <c r="E773" s="8" t="n"/>
      <c r="F773" s="9" t="n"/>
      <c r="G773" s="7" t="n"/>
      <c r="H773" s="10">
        <f>IF($A773="","",IFERROR(VLOOKUP($A773,Clientes!$A$3:$C$1002,2,0),"NÃO CADASTRADO"))</f>
        <v/>
      </c>
      <c r="I773" s="11">
        <f>IF($A773="","",IFERROR(VLOOKUP($A773,Clientes!$A$3:$C$1002,3,0),"NÃO CADASTRADO"))</f>
        <v/>
      </c>
      <c r="J773" s="7">
        <f>IF($A773="","",IF($A773='Carteira do Cliente'!$B$4,COUNTIF($A$3:$A773,'Carteira do Cliente'!$B$4),""))</f>
        <v/>
      </c>
    </row>
    <row r="774">
      <c r="A774" s="5" t="n"/>
      <c r="B774" s="12" t="n"/>
      <c r="C774" s="6" t="n"/>
      <c r="D774" s="6" t="n"/>
      <c r="E774" s="13" t="n"/>
      <c r="F774" s="14" t="n"/>
      <c r="G774" s="12" t="n"/>
      <c r="H774" s="15">
        <f>IF($A774="","",IFERROR(VLOOKUP($A774,Clientes!$A$3:$C$1002,2,0),"NÃO CADASTRADO"))</f>
        <v/>
      </c>
      <c r="I774" s="16">
        <f>IF($A774="","",IFERROR(VLOOKUP($A774,Clientes!$A$3:$C$1002,3,0),"NÃO CADASTRADO"))</f>
        <v/>
      </c>
      <c r="J774" s="12">
        <f>IF($A774="","",IF($A774='Carteira do Cliente'!$B$4,COUNTIF($A$3:$A774,'Carteira do Cliente'!$B$4),""))</f>
        <v/>
      </c>
    </row>
    <row r="775">
      <c r="A775" s="3" t="n"/>
      <c r="B775" s="7" t="n"/>
      <c r="C775" s="4" t="n"/>
      <c r="D775" s="4" t="n"/>
      <c r="E775" s="8" t="n"/>
      <c r="F775" s="9" t="n"/>
      <c r="G775" s="7" t="n"/>
      <c r="H775" s="10">
        <f>IF($A775="","",IFERROR(VLOOKUP($A775,Clientes!$A$3:$C$1002,2,0),"NÃO CADASTRADO"))</f>
        <v/>
      </c>
      <c r="I775" s="11">
        <f>IF($A775="","",IFERROR(VLOOKUP($A775,Clientes!$A$3:$C$1002,3,0),"NÃO CADASTRADO"))</f>
        <v/>
      </c>
      <c r="J775" s="7">
        <f>IF($A775="","",IF($A775='Carteira do Cliente'!$B$4,COUNTIF($A$3:$A775,'Carteira do Cliente'!$B$4),""))</f>
        <v/>
      </c>
    </row>
    <row r="776">
      <c r="A776" s="5" t="n"/>
      <c r="B776" s="12" t="n"/>
      <c r="C776" s="6" t="n"/>
      <c r="D776" s="6" t="n"/>
      <c r="E776" s="13" t="n"/>
      <c r="F776" s="14" t="n"/>
      <c r="G776" s="12" t="n"/>
      <c r="H776" s="15">
        <f>IF($A776="","",IFERROR(VLOOKUP($A776,Clientes!$A$3:$C$1002,2,0),"NÃO CADASTRADO"))</f>
        <v/>
      </c>
      <c r="I776" s="16">
        <f>IF($A776="","",IFERROR(VLOOKUP($A776,Clientes!$A$3:$C$1002,3,0),"NÃO CADASTRADO"))</f>
        <v/>
      </c>
      <c r="J776" s="12">
        <f>IF($A776="","",IF($A776='Carteira do Cliente'!$B$4,COUNTIF($A$3:$A776,'Carteira do Cliente'!$B$4),""))</f>
        <v/>
      </c>
    </row>
    <row r="777">
      <c r="A777" s="3" t="n"/>
      <c r="B777" s="7" t="n"/>
      <c r="C777" s="4" t="n"/>
      <c r="D777" s="4" t="n"/>
      <c r="E777" s="8" t="n"/>
      <c r="F777" s="9" t="n"/>
      <c r="G777" s="7" t="n"/>
      <c r="H777" s="10">
        <f>IF($A777="","",IFERROR(VLOOKUP($A777,Clientes!$A$3:$C$1002,2,0),"NÃO CADASTRADO"))</f>
        <v/>
      </c>
      <c r="I777" s="11">
        <f>IF($A777="","",IFERROR(VLOOKUP($A777,Clientes!$A$3:$C$1002,3,0),"NÃO CADASTRADO"))</f>
        <v/>
      </c>
      <c r="J777" s="7">
        <f>IF($A777="","",IF($A777='Carteira do Cliente'!$B$4,COUNTIF($A$3:$A777,'Carteira do Cliente'!$B$4),""))</f>
        <v/>
      </c>
    </row>
    <row r="778">
      <c r="A778" s="5" t="n"/>
      <c r="B778" s="12" t="n"/>
      <c r="C778" s="6" t="n"/>
      <c r="D778" s="6" t="n"/>
      <c r="E778" s="13" t="n"/>
      <c r="F778" s="14" t="n"/>
      <c r="G778" s="12" t="n"/>
      <c r="H778" s="15">
        <f>IF($A778="","",IFERROR(VLOOKUP($A778,Clientes!$A$3:$C$1002,2,0),"NÃO CADASTRADO"))</f>
        <v/>
      </c>
      <c r="I778" s="16">
        <f>IF($A778="","",IFERROR(VLOOKUP($A778,Clientes!$A$3:$C$1002,3,0),"NÃO CADASTRADO"))</f>
        <v/>
      </c>
      <c r="J778" s="12">
        <f>IF($A778="","",IF($A778='Carteira do Cliente'!$B$4,COUNTIF($A$3:$A778,'Carteira do Cliente'!$B$4),""))</f>
        <v/>
      </c>
    </row>
    <row r="779">
      <c r="A779" s="3" t="n"/>
      <c r="B779" s="7" t="n"/>
      <c r="C779" s="4" t="n"/>
      <c r="D779" s="4" t="n"/>
      <c r="E779" s="8" t="n"/>
      <c r="F779" s="9" t="n"/>
      <c r="G779" s="7" t="n"/>
      <c r="H779" s="10">
        <f>IF($A779="","",IFERROR(VLOOKUP($A779,Clientes!$A$3:$C$1002,2,0),"NÃO CADASTRADO"))</f>
        <v/>
      </c>
      <c r="I779" s="11">
        <f>IF($A779="","",IFERROR(VLOOKUP($A779,Clientes!$A$3:$C$1002,3,0),"NÃO CADASTRADO"))</f>
        <v/>
      </c>
      <c r="J779" s="7">
        <f>IF($A779="","",IF($A779='Carteira do Cliente'!$B$4,COUNTIF($A$3:$A779,'Carteira do Cliente'!$B$4),""))</f>
        <v/>
      </c>
    </row>
    <row r="780">
      <c r="A780" s="5" t="n"/>
      <c r="B780" s="12" t="n"/>
      <c r="C780" s="6" t="n"/>
      <c r="D780" s="6" t="n"/>
      <c r="E780" s="13" t="n"/>
      <c r="F780" s="14" t="n"/>
      <c r="G780" s="12" t="n"/>
      <c r="H780" s="15">
        <f>IF($A780="","",IFERROR(VLOOKUP($A780,Clientes!$A$3:$C$1002,2,0),"NÃO CADASTRADO"))</f>
        <v/>
      </c>
      <c r="I780" s="16">
        <f>IF($A780="","",IFERROR(VLOOKUP($A780,Clientes!$A$3:$C$1002,3,0),"NÃO CADASTRADO"))</f>
        <v/>
      </c>
      <c r="J780" s="12">
        <f>IF($A780="","",IF($A780='Carteira do Cliente'!$B$4,COUNTIF($A$3:$A780,'Carteira do Cliente'!$B$4),""))</f>
        <v/>
      </c>
    </row>
    <row r="781">
      <c r="A781" s="3" t="n"/>
      <c r="B781" s="7" t="n"/>
      <c r="C781" s="4" t="n"/>
      <c r="D781" s="4" t="n"/>
      <c r="E781" s="8" t="n"/>
      <c r="F781" s="9" t="n"/>
      <c r="G781" s="7" t="n"/>
      <c r="H781" s="10">
        <f>IF($A781="","",IFERROR(VLOOKUP($A781,Clientes!$A$3:$C$1002,2,0),"NÃO CADASTRADO"))</f>
        <v/>
      </c>
      <c r="I781" s="11">
        <f>IF($A781="","",IFERROR(VLOOKUP($A781,Clientes!$A$3:$C$1002,3,0),"NÃO CADASTRADO"))</f>
        <v/>
      </c>
      <c r="J781" s="7">
        <f>IF($A781="","",IF($A781='Carteira do Cliente'!$B$4,COUNTIF($A$3:$A781,'Carteira do Cliente'!$B$4),""))</f>
        <v/>
      </c>
    </row>
    <row r="782">
      <c r="A782" s="5" t="n"/>
      <c r="B782" s="12" t="n"/>
      <c r="C782" s="6" t="n"/>
      <c r="D782" s="6" t="n"/>
      <c r="E782" s="13" t="n"/>
      <c r="F782" s="14" t="n"/>
      <c r="G782" s="12" t="n"/>
      <c r="H782" s="15">
        <f>IF($A782="","",IFERROR(VLOOKUP($A782,Clientes!$A$3:$C$1002,2,0),"NÃO CADASTRADO"))</f>
        <v/>
      </c>
      <c r="I782" s="16">
        <f>IF($A782="","",IFERROR(VLOOKUP($A782,Clientes!$A$3:$C$1002,3,0),"NÃO CADASTRADO"))</f>
        <v/>
      </c>
      <c r="J782" s="12">
        <f>IF($A782="","",IF($A782='Carteira do Cliente'!$B$4,COUNTIF($A$3:$A782,'Carteira do Cliente'!$B$4),""))</f>
        <v/>
      </c>
    </row>
    <row r="783">
      <c r="A783" s="3" t="n"/>
      <c r="B783" s="7" t="n"/>
      <c r="C783" s="4" t="n"/>
      <c r="D783" s="4" t="n"/>
      <c r="E783" s="8" t="n"/>
      <c r="F783" s="9" t="n"/>
      <c r="G783" s="7" t="n"/>
      <c r="H783" s="10">
        <f>IF($A783="","",IFERROR(VLOOKUP($A783,Clientes!$A$3:$C$1002,2,0),"NÃO CADASTRADO"))</f>
        <v/>
      </c>
      <c r="I783" s="11">
        <f>IF($A783="","",IFERROR(VLOOKUP($A783,Clientes!$A$3:$C$1002,3,0),"NÃO CADASTRADO"))</f>
        <v/>
      </c>
      <c r="J783" s="7">
        <f>IF($A783="","",IF($A783='Carteira do Cliente'!$B$4,COUNTIF($A$3:$A783,'Carteira do Cliente'!$B$4),""))</f>
        <v/>
      </c>
    </row>
    <row r="784">
      <c r="A784" s="5" t="n"/>
      <c r="B784" s="12" t="n"/>
      <c r="C784" s="6" t="n"/>
      <c r="D784" s="6" t="n"/>
      <c r="E784" s="13" t="n"/>
      <c r="F784" s="14" t="n"/>
      <c r="G784" s="12" t="n"/>
      <c r="H784" s="15">
        <f>IF($A784="","",IFERROR(VLOOKUP($A784,Clientes!$A$3:$C$1002,2,0),"NÃO CADASTRADO"))</f>
        <v/>
      </c>
      <c r="I784" s="16">
        <f>IF($A784="","",IFERROR(VLOOKUP($A784,Clientes!$A$3:$C$1002,3,0),"NÃO CADASTRADO"))</f>
        <v/>
      </c>
      <c r="J784" s="12">
        <f>IF($A784="","",IF($A784='Carteira do Cliente'!$B$4,COUNTIF($A$3:$A784,'Carteira do Cliente'!$B$4),""))</f>
        <v/>
      </c>
    </row>
    <row r="785">
      <c r="A785" s="3" t="n"/>
      <c r="B785" s="7" t="n"/>
      <c r="C785" s="4" t="n"/>
      <c r="D785" s="4" t="n"/>
      <c r="E785" s="8" t="n"/>
      <c r="F785" s="9" t="n"/>
      <c r="G785" s="7" t="n"/>
      <c r="H785" s="10">
        <f>IF($A785="","",IFERROR(VLOOKUP($A785,Clientes!$A$3:$C$1002,2,0),"NÃO CADASTRADO"))</f>
        <v/>
      </c>
      <c r="I785" s="11">
        <f>IF($A785="","",IFERROR(VLOOKUP($A785,Clientes!$A$3:$C$1002,3,0),"NÃO CADASTRADO"))</f>
        <v/>
      </c>
      <c r="J785" s="7">
        <f>IF($A785="","",IF($A785='Carteira do Cliente'!$B$4,COUNTIF($A$3:$A785,'Carteira do Cliente'!$B$4),""))</f>
        <v/>
      </c>
    </row>
    <row r="786">
      <c r="A786" s="5" t="n"/>
      <c r="B786" s="12" t="n"/>
      <c r="C786" s="6" t="n"/>
      <c r="D786" s="6" t="n"/>
      <c r="E786" s="13" t="n"/>
      <c r="F786" s="14" t="n"/>
      <c r="G786" s="12" t="n"/>
      <c r="H786" s="15">
        <f>IF($A786="","",IFERROR(VLOOKUP($A786,Clientes!$A$3:$C$1002,2,0),"NÃO CADASTRADO"))</f>
        <v/>
      </c>
      <c r="I786" s="16">
        <f>IF($A786="","",IFERROR(VLOOKUP($A786,Clientes!$A$3:$C$1002,3,0),"NÃO CADASTRADO"))</f>
        <v/>
      </c>
      <c r="J786" s="12">
        <f>IF($A786="","",IF($A786='Carteira do Cliente'!$B$4,COUNTIF($A$3:$A786,'Carteira do Cliente'!$B$4),""))</f>
        <v/>
      </c>
    </row>
    <row r="787">
      <c r="A787" s="3" t="n"/>
      <c r="B787" s="7" t="n"/>
      <c r="C787" s="4" t="n"/>
      <c r="D787" s="4" t="n"/>
      <c r="E787" s="8" t="n"/>
      <c r="F787" s="9" t="n"/>
      <c r="G787" s="7" t="n"/>
      <c r="H787" s="10">
        <f>IF($A787="","",IFERROR(VLOOKUP($A787,Clientes!$A$3:$C$1002,2,0),"NÃO CADASTRADO"))</f>
        <v/>
      </c>
      <c r="I787" s="11">
        <f>IF($A787="","",IFERROR(VLOOKUP($A787,Clientes!$A$3:$C$1002,3,0),"NÃO CADASTRADO"))</f>
        <v/>
      </c>
      <c r="J787" s="7">
        <f>IF($A787="","",IF($A787='Carteira do Cliente'!$B$4,COUNTIF($A$3:$A787,'Carteira do Cliente'!$B$4),""))</f>
        <v/>
      </c>
    </row>
    <row r="788">
      <c r="A788" s="5" t="n"/>
      <c r="B788" s="12" t="n"/>
      <c r="C788" s="6" t="n"/>
      <c r="D788" s="6" t="n"/>
      <c r="E788" s="13" t="n"/>
      <c r="F788" s="14" t="n"/>
      <c r="G788" s="12" t="n"/>
      <c r="H788" s="15">
        <f>IF($A788="","",IFERROR(VLOOKUP($A788,Clientes!$A$3:$C$1002,2,0),"NÃO CADASTRADO"))</f>
        <v/>
      </c>
      <c r="I788" s="16">
        <f>IF($A788="","",IFERROR(VLOOKUP($A788,Clientes!$A$3:$C$1002,3,0),"NÃO CADASTRADO"))</f>
        <v/>
      </c>
      <c r="J788" s="12">
        <f>IF($A788="","",IF($A788='Carteira do Cliente'!$B$4,COUNTIF($A$3:$A788,'Carteira do Cliente'!$B$4),""))</f>
        <v/>
      </c>
    </row>
    <row r="789">
      <c r="A789" s="3" t="n"/>
      <c r="B789" s="7" t="n"/>
      <c r="C789" s="4" t="n"/>
      <c r="D789" s="4" t="n"/>
      <c r="E789" s="8" t="n"/>
      <c r="F789" s="9" t="n"/>
      <c r="G789" s="7" t="n"/>
      <c r="H789" s="10">
        <f>IF($A789="","",IFERROR(VLOOKUP($A789,Clientes!$A$3:$C$1002,2,0),"NÃO CADASTRADO"))</f>
        <v/>
      </c>
      <c r="I789" s="11">
        <f>IF($A789="","",IFERROR(VLOOKUP($A789,Clientes!$A$3:$C$1002,3,0),"NÃO CADASTRADO"))</f>
        <v/>
      </c>
      <c r="J789" s="7">
        <f>IF($A789="","",IF($A789='Carteira do Cliente'!$B$4,COUNTIF($A$3:$A789,'Carteira do Cliente'!$B$4),""))</f>
        <v/>
      </c>
    </row>
    <row r="790">
      <c r="A790" s="5" t="n"/>
      <c r="B790" s="12" t="n"/>
      <c r="C790" s="6" t="n"/>
      <c r="D790" s="6" t="n"/>
      <c r="E790" s="13" t="n"/>
      <c r="F790" s="14" t="n"/>
      <c r="G790" s="12" t="n"/>
      <c r="H790" s="15">
        <f>IF($A790="","",IFERROR(VLOOKUP($A790,Clientes!$A$3:$C$1002,2,0),"NÃO CADASTRADO"))</f>
        <v/>
      </c>
      <c r="I790" s="16">
        <f>IF($A790="","",IFERROR(VLOOKUP($A790,Clientes!$A$3:$C$1002,3,0),"NÃO CADASTRADO"))</f>
        <v/>
      </c>
      <c r="J790" s="12">
        <f>IF($A790="","",IF($A790='Carteira do Cliente'!$B$4,COUNTIF($A$3:$A790,'Carteira do Cliente'!$B$4),""))</f>
        <v/>
      </c>
    </row>
    <row r="791">
      <c r="A791" s="3" t="n"/>
      <c r="B791" s="7" t="n"/>
      <c r="C791" s="4" t="n"/>
      <c r="D791" s="4" t="n"/>
      <c r="E791" s="8" t="n"/>
      <c r="F791" s="9" t="n"/>
      <c r="G791" s="7" t="n"/>
      <c r="H791" s="10">
        <f>IF($A791="","",IFERROR(VLOOKUP($A791,Clientes!$A$3:$C$1002,2,0),"NÃO CADASTRADO"))</f>
        <v/>
      </c>
      <c r="I791" s="11">
        <f>IF($A791="","",IFERROR(VLOOKUP($A791,Clientes!$A$3:$C$1002,3,0),"NÃO CADASTRADO"))</f>
        <v/>
      </c>
      <c r="J791" s="7">
        <f>IF($A791="","",IF($A791='Carteira do Cliente'!$B$4,COUNTIF($A$3:$A791,'Carteira do Cliente'!$B$4),""))</f>
        <v/>
      </c>
    </row>
    <row r="792">
      <c r="A792" s="5" t="n"/>
      <c r="B792" s="12" t="n"/>
      <c r="C792" s="6" t="n"/>
      <c r="D792" s="6" t="n"/>
      <c r="E792" s="13" t="n"/>
      <c r="F792" s="14" t="n"/>
      <c r="G792" s="12" t="n"/>
      <c r="H792" s="15">
        <f>IF($A792="","",IFERROR(VLOOKUP($A792,Clientes!$A$3:$C$1002,2,0),"NÃO CADASTRADO"))</f>
        <v/>
      </c>
      <c r="I792" s="16">
        <f>IF($A792="","",IFERROR(VLOOKUP($A792,Clientes!$A$3:$C$1002,3,0),"NÃO CADASTRADO"))</f>
        <v/>
      </c>
      <c r="J792" s="12">
        <f>IF($A792="","",IF($A792='Carteira do Cliente'!$B$4,COUNTIF($A$3:$A792,'Carteira do Cliente'!$B$4),""))</f>
        <v/>
      </c>
    </row>
    <row r="793">
      <c r="A793" s="3" t="n"/>
      <c r="B793" s="7" t="n"/>
      <c r="C793" s="4" t="n"/>
      <c r="D793" s="4" t="n"/>
      <c r="E793" s="8" t="n"/>
      <c r="F793" s="9" t="n"/>
      <c r="G793" s="7" t="n"/>
      <c r="H793" s="10">
        <f>IF($A793="","",IFERROR(VLOOKUP($A793,Clientes!$A$3:$C$1002,2,0),"NÃO CADASTRADO"))</f>
        <v/>
      </c>
      <c r="I793" s="11">
        <f>IF($A793="","",IFERROR(VLOOKUP($A793,Clientes!$A$3:$C$1002,3,0),"NÃO CADASTRADO"))</f>
        <v/>
      </c>
      <c r="J793" s="7">
        <f>IF($A793="","",IF($A793='Carteira do Cliente'!$B$4,COUNTIF($A$3:$A793,'Carteira do Cliente'!$B$4),""))</f>
        <v/>
      </c>
    </row>
    <row r="794">
      <c r="A794" s="5" t="n"/>
      <c r="B794" s="12" t="n"/>
      <c r="C794" s="6" t="n"/>
      <c r="D794" s="6" t="n"/>
      <c r="E794" s="13" t="n"/>
      <c r="F794" s="14" t="n"/>
      <c r="G794" s="12" t="n"/>
      <c r="H794" s="15">
        <f>IF($A794="","",IFERROR(VLOOKUP($A794,Clientes!$A$3:$C$1002,2,0),"NÃO CADASTRADO"))</f>
        <v/>
      </c>
      <c r="I794" s="16">
        <f>IF($A794="","",IFERROR(VLOOKUP($A794,Clientes!$A$3:$C$1002,3,0),"NÃO CADASTRADO"))</f>
        <v/>
      </c>
      <c r="J794" s="12">
        <f>IF($A794="","",IF($A794='Carteira do Cliente'!$B$4,COUNTIF($A$3:$A794,'Carteira do Cliente'!$B$4),""))</f>
        <v/>
      </c>
    </row>
    <row r="795">
      <c r="A795" s="3" t="n"/>
      <c r="B795" s="7" t="n"/>
      <c r="C795" s="4" t="n"/>
      <c r="D795" s="4" t="n"/>
      <c r="E795" s="8" t="n"/>
      <c r="F795" s="9" t="n"/>
      <c r="G795" s="7" t="n"/>
      <c r="H795" s="10">
        <f>IF($A795="","",IFERROR(VLOOKUP($A795,Clientes!$A$3:$C$1002,2,0),"NÃO CADASTRADO"))</f>
        <v/>
      </c>
      <c r="I795" s="11">
        <f>IF($A795="","",IFERROR(VLOOKUP($A795,Clientes!$A$3:$C$1002,3,0),"NÃO CADASTRADO"))</f>
        <v/>
      </c>
      <c r="J795" s="7">
        <f>IF($A795="","",IF($A795='Carteira do Cliente'!$B$4,COUNTIF($A$3:$A795,'Carteira do Cliente'!$B$4),""))</f>
        <v/>
      </c>
    </row>
    <row r="796">
      <c r="A796" s="5" t="n"/>
      <c r="B796" s="12" t="n"/>
      <c r="C796" s="6" t="n"/>
      <c r="D796" s="6" t="n"/>
      <c r="E796" s="13" t="n"/>
      <c r="F796" s="14" t="n"/>
      <c r="G796" s="12" t="n"/>
      <c r="H796" s="15">
        <f>IF($A796="","",IFERROR(VLOOKUP($A796,Clientes!$A$3:$C$1002,2,0),"NÃO CADASTRADO"))</f>
        <v/>
      </c>
      <c r="I796" s="16">
        <f>IF($A796="","",IFERROR(VLOOKUP($A796,Clientes!$A$3:$C$1002,3,0),"NÃO CADASTRADO"))</f>
        <v/>
      </c>
      <c r="J796" s="12">
        <f>IF($A796="","",IF($A796='Carteira do Cliente'!$B$4,COUNTIF($A$3:$A796,'Carteira do Cliente'!$B$4),""))</f>
        <v/>
      </c>
    </row>
    <row r="797">
      <c r="A797" s="3" t="n"/>
      <c r="B797" s="7" t="n"/>
      <c r="C797" s="4" t="n"/>
      <c r="D797" s="4" t="n"/>
      <c r="E797" s="8" t="n"/>
      <c r="F797" s="9" t="n"/>
      <c r="G797" s="7" t="n"/>
      <c r="H797" s="10">
        <f>IF($A797="","",IFERROR(VLOOKUP($A797,Clientes!$A$3:$C$1002,2,0),"NÃO CADASTRADO"))</f>
        <v/>
      </c>
      <c r="I797" s="11">
        <f>IF($A797="","",IFERROR(VLOOKUP($A797,Clientes!$A$3:$C$1002,3,0),"NÃO CADASTRADO"))</f>
        <v/>
      </c>
      <c r="J797" s="7">
        <f>IF($A797="","",IF($A797='Carteira do Cliente'!$B$4,COUNTIF($A$3:$A797,'Carteira do Cliente'!$B$4),""))</f>
        <v/>
      </c>
    </row>
    <row r="798">
      <c r="A798" s="5" t="n"/>
      <c r="B798" s="12" t="n"/>
      <c r="C798" s="6" t="n"/>
      <c r="D798" s="6" t="n"/>
      <c r="E798" s="13" t="n"/>
      <c r="F798" s="14" t="n"/>
      <c r="G798" s="12" t="n"/>
      <c r="H798" s="15">
        <f>IF($A798="","",IFERROR(VLOOKUP($A798,Clientes!$A$3:$C$1002,2,0),"NÃO CADASTRADO"))</f>
        <v/>
      </c>
      <c r="I798" s="16">
        <f>IF($A798="","",IFERROR(VLOOKUP($A798,Clientes!$A$3:$C$1002,3,0),"NÃO CADASTRADO"))</f>
        <v/>
      </c>
      <c r="J798" s="12">
        <f>IF($A798="","",IF($A798='Carteira do Cliente'!$B$4,COUNTIF($A$3:$A798,'Carteira do Cliente'!$B$4),""))</f>
        <v/>
      </c>
    </row>
    <row r="799">
      <c r="A799" s="3" t="n"/>
      <c r="B799" s="7" t="n"/>
      <c r="C799" s="4" t="n"/>
      <c r="D799" s="4" t="n"/>
      <c r="E799" s="8" t="n"/>
      <c r="F799" s="9" t="n"/>
      <c r="G799" s="7" t="n"/>
      <c r="H799" s="10">
        <f>IF($A799="","",IFERROR(VLOOKUP($A799,Clientes!$A$3:$C$1002,2,0),"NÃO CADASTRADO"))</f>
        <v/>
      </c>
      <c r="I799" s="11">
        <f>IF($A799="","",IFERROR(VLOOKUP($A799,Clientes!$A$3:$C$1002,3,0),"NÃO CADASTRADO"))</f>
        <v/>
      </c>
      <c r="J799" s="7">
        <f>IF($A799="","",IF($A799='Carteira do Cliente'!$B$4,COUNTIF($A$3:$A799,'Carteira do Cliente'!$B$4),""))</f>
        <v/>
      </c>
    </row>
    <row r="800">
      <c r="A800" s="5" t="n"/>
      <c r="B800" s="12" t="n"/>
      <c r="C800" s="6" t="n"/>
      <c r="D800" s="6" t="n"/>
      <c r="E800" s="13" t="n"/>
      <c r="F800" s="14" t="n"/>
      <c r="G800" s="12" t="n"/>
      <c r="H800" s="15">
        <f>IF($A800="","",IFERROR(VLOOKUP($A800,Clientes!$A$3:$C$1002,2,0),"NÃO CADASTRADO"))</f>
        <v/>
      </c>
      <c r="I800" s="16">
        <f>IF($A800="","",IFERROR(VLOOKUP($A800,Clientes!$A$3:$C$1002,3,0),"NÃO CADASTRADO"))</f>
        <v/>
      </c>
      <c r="J800" s="12">
        <f>IF($A800="","",IF($A800='Carteira do Cliente'!$B$4,COUNTIF($A$3:$A800,'Carteira do Cliente'!$B$4),""))</f>
        <v/>
      </c>
    </row>
    <row r="801">
      <c r="A801" s="3" t="n"/>
      <c r="B801" s="7" t="n"/>
      <c r="C801" s="4" t="n"/>
      <c r="D801" s="4" t="n"/>
      <c r="E801" s="8" t="n"/>
      <c r="F801" s="9" t="n"/>
      <c r="G801" s="7" t="n"/>
      <c r="H801" s="10">
        <f>IF($A801="","",IFERROR(VLOOKUP($A801,Clientes!$A$3:$C$1002,2,0),"NÃO CADASTRADO"))</f>
        <v/>
      </c>
      <c r="I801" s="11">
        <f>IF($A801="","",IFERROR(VLOOKUP($A801,Clientes!$A$3:$C$1002,3,0),"NÃO CADASTRADO"))</f>
        <v/>
      </c>
      <c r="J801" s="7">
        <f>IF($A801="","",IF($A801='Carteira do Cliente'!$B$4,COUNTIF($A$3:$A801,'Carteira do Cliente'!$B$4),""))</f>
        <v/>
      </c>
    </row>
    <row r="802">
      <c r="A802" s="5" t="n"/>
      <c r="B802" s="12" t="n"/>
      <c r="C802" s="6" t="n"/>
      <c r="D802" s="6" t="n"/>
      <c r="E802" s="13" t="n"/>
      <c r="F802" s="14" t="n"/>
      <c r="G802" s="12" t="n"/>
      <c r="H802" s="15">
        <f>IF($A802="","",IFERROR(VLOOKUP($A802,Clientes!$A$3:$C$1002,2,0),"NÃO CADASTRADO"))</f>
        <v/>
      </c>
      <c r="I802" s="16">
        <f>IF($A802="","",IFERROR(VLOOKUP($A802,Clientes!$A$3:$C$1002,3,0),"NÃO CADASTRADO"))</f>
        <v/>
      </c>
      <c r="J802" s="12">
        <f>IF($A802="","",IF($A802='Carteira do Cliente'!$B$4,COUNTIF($A$3:$A802,'Carteira do Cliente'!$B$4),""))</f>
        <v/>
      </c>
    </row>
    <row r="803">
      <c r="A803" s="3" t="n"/>
      <c r="B803" s="7" t="n"/>
      <c r="C803" s="4" t="n"/>
      <c r="D803" s="4" t="n"/>
      <c r="E803" s="8" t="n"/>
      <c r="F803" s="9" t="n"/>
      <c r="G803" s="7" t="n"/>
      <c r="H803" s="10">
        <f>IF($A803="","",IFERROR(VLOOKUP($A803,Clientes!$A$3:$C$1002,2,0),"NÃO CADASTRADO"))</f>
        <v/>
      </c>
      <c r="I803" s="11">
        <f>IF($A803="","",IFERROR(VLOOKUP($A803,Clientes!$A$3:$C$1002,3,0),"NÃO CADASTRADO"))</f>
        <v/>
      </c>
      <c r="J803" s="7">
        <f>IF($A803="","",IF($A803='Carteira do Cliente'!$B$4,COUNTIF($A$3:$A803,'Carteira do Cliente'!$B$4),""))</f>
        <v/>
      </c>
    </row>
    <row r="804">
      <c r="A804" s="5" t="n"/>
      <c r="B804" s="12" t="n"/>
      <c r="C804" s="6" t="n"/>
      <c r="D804" s="6" t="n"/>
      <c r="E804" s="13" t="n"/>
      <c r="F804" s="14" t="n"/>
      <c r="G804" s="12" t="n"/>
      <c r="H804" s="15">
        <f>IF($A804="","",IFERROR(VLOOKUP($A804,Clientes!$A$3:$C$1002,2,0),"NÃO CADASTRADO"))</f>
        <v/>
      </c>
      <c r="I804" s="16">
        <f>IF($A804="","",IFERROR(VLOOKUP($A804,Clientes!$A$3:$C$1002,3,0),"NÃO CADASTRADO"))</f>
        <v/>
      </c>
      <c r="J804" s="12">
        <f>IF($A804="","",IF($A804='Carteira do Cliente'!$B$4,COUNTIF($A$3:$A804,'Carteira do Cliente'!$B$4),""))</f>
        <v/>
      </c>
    </row>
    <row r="805">
      <c r="A805" s="3" t="n"/>
      <c r="B805" s="7" t="n"/>
      <c r="C805" s="4" t="n"/>
      <c r="D805" s="4" t="n"/>
      <c r="E805" s="8" t="n"/>
      <c r="F805" s="9" t="n"/>
      <c r="G805" s="7" t="n"/>
      <c r="H805" s="10">
        <f>IF($A805="","",IFERROR(VLOOKUP($A805,Clientes!$A$3:$C$1002,2,0),"NÃO CADASTRADO"))</f>
        <v/>
      </c>
      <c r="I805" s="11">
        <f>IF($A805="","",IFERROR(VLOOKUP($A805,Clientes!$A$3:$C$1002,3,0),"NÃO CADASTRADO"))</f>
        <v/>
      </c>
      <c r="J805" s="7">
        <f>IF($A805="","",IF($A805='Carteira do Cliente'!$B$4,COUNTIF($A$3:$A805,'Carteira do Cliente'!$B$4),""))</f>
        <v/>
      </c>
    </row>
    <row r="806">
      <c r="A806" s="5" t="n"/>
      <c r="B806" s="12" t="n"/>
      <c r="C806" s="6" t="n"/>
      <c r="D806" s="6" t="n"/>
      <c r="E806" s="13" t="n"/>
      <c r="F806" s="14" t="n"/>
      <c r="G806" s="12" t="n"/>
      <c r="H806" s="15">
        <f>IF($A806="","",IFERROR(VLOOKUP($A806,Clientes!$A$3:$C$1002,2,0),"NÃO CADASTRADO"))</f>
        <v/>
      </c>
      <c r="I806" s="16">
        <f>IF($A806="","",IFERROR(VLOOKUP($A806,Clientes!$A$3:$C$1002,3,0),"NÃO CADASTRADO"))</f>
        <v/>
      </c>
      <c r="J806" s="12">
        <f>IF($A806="","",IF($A806='Carteira do Cliente'!$B$4,COUNTIF($A$3:$A806,'Carteira do Cliente'!$B$4),""))</f>
        <v/>
      </c>
    </row>
    <row r="807">
      <c r="A807" s="3" t="n"/>
      <c r="B807" s="7" t="n"/>
      <c r="C807" s="4" t="n"/>
      <c r="D807" s="4" t="n"/>
      <c r="E807" s="8" t="n"/>
      <c r="F807" s="9" t="n"/>
      <c r="G807" s="7" t="n"/>
      <c r="H807" s="10">
        <f>IF($A807="","",IFERROR(VLOOKUP($A807,Clientes!$A$3:$C$1002,2,0),"NÃO CADASTRADO"))</f>
        <v/>
      </c>
      <c r="I807" s="11">
        <f>IF($A807="","",IFERROR(VLOOKUP($A807,Clientes!$A$3:$C$1002,3,0),"NÃO CADASTRADO"))</f>
        <v/>
      </c>
      <c r="J807" s="7">
        <f>IF($A807="","",IF($A807='Carteira do Cliente'!$B$4,COUNTIF($A$3:$A807,'Carteira do Cliente'!$B$4),""))</f>
        <v/>
      </c>
    </row>
    <row r="808">
      <c r="A808" s="5" t="n"/>
      <c r="B808" s="12" t="n"/>
      <c r="C808" s="6" t="n"/>
      <c r="D808" s="6" t="n"/>
      <c r="E808" s="13" t="n"/>
      <c r="F808" s="14" t="n"/>
      <c r="G808" s="12" t="n"/>
      <c r="H808" s="15">
        <f>IF($A808="","",IFERROR(VLOOKUP($A808,Clientes!$A$3:$C$1002,2,0),"NÃO CADASTRADO"))</f>
        <v/>
      </c>
      <c r="I808" s="16">
        <f>IF($A808="","",IFERROR(VLOOKUP($A808,Clientes!$A$3:$C$1002,3,0),"NÃO CADASTRADO"))</f>
        <v/>
      </c>
      <c r="J808" s="12">
        <f>IF($A808="","",IF($A808='Carteira do Cliente'!$B$4,COUNTIF($A$3:$A808,'Carteira do Cliente'!$B$4),""))</f>
        <v/>
      </c>
    </row>
    <row r="809">
      <c r="A809" s="3" t="n"/>
      <c r="B809" s="7" t="n"/>
      <c r="C809" s="4" t="n"/>
      <c r="D809" s="4" t="n"/>
      <c r="E809" s="8" t="n"/>
      <c r="F809" s="9" t="n"/>
      <c r="G809" s="7" t="n"/>
      <c r="H809" s="10">
        <f>IF($A809="","",IFERROR(VLOOKUP($A809,Clientes!$A$3:$C$1002,2,0),"NÃO CADASTRADO"))</f>
        <v/>
      </c>
      <c r="I809" s="11">
        <f>IF($A809="","",IFERROR(VLOOKUP($A809,Clientes!$A$3:$C$1002,3,0),"NÃO CADASTRADO"))</f>
        <v/>
      </c>
      <c r="J809" s="7">
        <f>IF($A809="","",IF($A809='Carteira do Cliente'!$B$4,COUNTIF($A$3:$A809,'Carteira do Cliente'!$B$4),""))</f>
        <v/>
      </c>
    </row>
    <row r="810">
      <c r="A810" s="5" t="n"/>
      <c r="B810" s="12" t="n"/>
      <c r="C810" s="6" t="n"/>
      <c r="D810" s="6" t="n"/>
      <c r="E810" s="13" t="n"/>
      <c r="F810" s="14" t="n"/>
      <c r="G810" s="12" t="n"/>
      <c r="H810" s="15">
        <f>IF($A810="","",IFERROR(VLOOKUP($A810,Clientes!$A$3:$C$1002,2,0),"NÃO CADASTRADO"))</f>
        <v/>
      </c>
      <c r="I810" s="16">
        <f>IF($A810="","",IFERROR(VLOOKUP($A810,Clientes!$A$3:$C$1002,3,0),"NÃO CADASTRADO"))</f>
        <v/>
      </c>
      <c r="J810" s="12">
        <f>IF($A810="","",IF($A810='Carteira do Cliente'!$B$4,COUNTIF($A$3:$A810,'Carteira do Cliente'!$B$4),""))</f>
        <v/>
      </c>
    </row>
    <row r="811">
      <c r="A811" s="3" t="n"/>
      <c r="B811" s="7" t="n"/>
      <c r="C811" s="4" t="n"/>
      <c r="D811" s="4" t="n"/>
      <c r="E811" s="8" t="n"/>
      <c r="F811" s="9" t="n"/>
      <c r="G811" s="7" t="n"/>
      <c r="H811" s="10">
        <f>IF($A811="","",IFERROR(VLOOKUP($A811,Clientes!$A$3:$C$1002,2,0),"NÃO CADASTRADO"))</f>
        <v/>
      </c>
      <c r="I811" s="11">
        <f>IF($A811="","",IFERROR(VLOOKUP($A811,Clientes!$A$3:$C$1002,3,0),"NÃO CADASTRADO"))</f>
        <v/>
      </c>
      <c r="J811" s="7">
        <f>IF($A811="","",IF($A811='Carteira do Cliente'!$B$4,COUNTIF($A$3:$A811,'Carteira do Cliente'!$B$4),""))</f>
        <v/>
      </c>
    </row>
    <row r="812">
      <c r="A812" s="5" t="n"/>
      <c r="B812" s="12" t="n"/>
      <c r="C812" s="6" t="n"/>
      <c r="D812" s="6" t="n"/>
      <c r="E812" s="13" t="n"/>
      <c r="F812" s="14" t="n"/>
      <c r="G812" s="12" t="n"/>
      <c r="H812" s="15">
        <f>IF($A812="","",IFERROR(VLOOKUP($A812,Clientes!$A$3:$C$1002,2,0),"NÃO CADASTRADO"))</f>
        <v/>
      </c>
      <c r="I812" s="16">
        <f>IF($A812="","",IFERROR(VLOOKUP($A812,Clientes!$A$3:$C$1002,3,0),"NÃO CADASTRADO"))</f>
        <v/>
      </c>
      <c r="J812" s="12">
        <f>IF($A812="","",IF($A812='Carteira do Cliente'!$B$4,COUNTIF($A$3:$A812,'Carteira do Cliente'!$B$4),""))</f>
        <v/>
      </c>
    </row>
    <row r="813">
      <c r="A813" s="3" t="n"/>
      <c r="B813" s="7" t="n"/>
      <c r="C813" s="4" t="n"/>
      <c r="D813" s="4" t="n"/>
      <c r="E813" s="8" t="n"/>
      <c r="F813" s="9" t="n"/>
      <c r="G813" s="7" t="n"/>
      <c r="H813" s="10">
        <f>IF($A813="","",IFERROR(VLOOKUP($A813,Clientes!$A$3:$C$1002,2,0),"NÃO CADASTRADO"))</f>
        <v/>
      </c>
      <c r="I813" s="11">
        <f>IF($A813="","",IFERROR(VLOOKUP($A813,Clientes!$A$3:$C$1002,3,0),"NÃO CADASTRADO"))</f>
        <v/>
      </c>
      <c r="J813" s="7">
        <f>IF($A813="","",IF($A813='Carteira do Cliente'!$B$4,COUNTIF($A$3:$A813,'Carteira do Cliente'!$B$4),""))</f>
        <v/>
      </c>
    </row>
    <row r="814">
      <c r="A814" s="5" t="n"/>
      <c r="B814" s="12" t="n"/>
      <c r="C814" s="6" t="n"/>
      <c r="D814" s="6" t="n"/>
      <c r="E814" s="13" t="n"/>
      <c r="F814" s="14" t="n"/>
      <c r="G814" s="12" t="n"/>
      <c r="H814" s="15">
        <f>IF($A814="","",IFERROR(VLOOKUP($A814,Clientes!$A$3:$C$1002,2,0),"NÃO CADASTRADO"))</f>
        <v/>
      </c>
      <c r="I814" s="16">
        <f>IF($A814="","",IFERROR(VLOOKUP($A814,Clientes!$A$3:$C$1002,3,0),"NÃO CADASTRADO"))</f>
        <v/>
      </c>
      <c r="J814" s="12">
        <f>IF($A814="","",IF($A814='Carteira do Cliente'!$B$4,COUNTIF($A$3:$A814,'Carteira do Cliente'!$B$4),""))</f>
        <v/>
      </c>
    </row>
    <row r="815">
      <c r="A815" s="3" t="n"/>
      <c r="B815" s="7" t="n"/>
      <c r="C815" s="4" t="n"/>
      <c r="D815" s="4" t="n"/>
      <c r="E815" s="8" t="n"/>
      <c r="F815" s="9" t="n"/>
      <c r="G815" s="7" t="n"/>
      <c r="H815" s="10">
        <f>IF($A815="","",IFERROR(VLOOKUP($A815,Clientes!$A$3:$C$1002,2,0),"NÃO CADASTRADO"))</f>
        <v/>
      </c>
      <c r="I815" s="11">
        <f>IF($A815="","",IFERROR(VLOOKUP($A815,Clientes!$A$3:$C$1002,3,0),"NÃO CADASTRADO"))</f>
        <v/>
      </c>
      <c r="J815" s="7">
        <f>IF($A815="","",IF($A815='Carteira do Cliente'!$B$4,COUNTIF($A$3:$A815,'Carteira do Cliente'!$B$4),""))</f>
        <v/>
      </c>
    </row>
    <row r="816">
      <c r="A816" s="5" t="n"/>
      <c r="B816" s="12" t="n"/>
      <c r="C816" s="6" t="n"/>
      <c r="D816" s="6" t="n"/>
      <c r="E816" s="13" t="n"/>
      <c r="F816" s="14" t="n"/>
      <c r="G816" s="12" t="n"/>
      <c r="H816" s="15">
        <f>IF($A816="","",IFERROR(VLOOKUP($A816,Clientes!$A$3:$C$1002,2,0),"NÃO CADASTRADO"))</f>
        <v/>
      </c>
      <c r="I816" s="16">
        <f>IF($A816="","",IFERROR(VLOOKUP($A816,Clientes!$A$3:$C$1002,3,0),"NÃO CADASTRADO"))</f>
        <v/>
      </c>
      <c r="J816" s="12">
        <f>IF($A816="","",IF($A816='Carteira do Cliente'!$B$4,COUNTIF($A$3:$A816,'Carteira do Cliente'!$B$4),""))</f>
        <v/>
      </c>
    </row>
    <row r="817">
      <c r="A817" s="3" t="n"/>
      <c r="B817" s="7" t="n"/>
      <c r="C817" s="4" t="n"/>
      <c r="D817" s="4" t="n"/>
      <c r="E817" s="8" t="n"/>
      <c r="F817" s="9" t="n"/>
      <c r="G817" s="7" t="n"/>
      <c r="H817" s="10">
        <f>IF($A817="","",IFERROR(VLOOKUP($A817,Clientes!$A$3:$C$1002,2,0),"NÃO CADASTRADO"))</f>
        <v/>
      </c>
      <c r="I817" s="11">
        <f>IF($A817="","",IFERROR(VLOOKUP($A817,Clientes!$A$3:$C$1002,3,0),"NÃO CADASTRADO"))</f>
        <v/>
      </c>
      <c r="J817" s="7">
        <f>IF($A817="","",IF($A817='Carteira do Cliente'!$B$4,COUNTIF($A$3:$A817,'Carteira do Cliente'!$B$4),""))</f>
        <v/>
      </c>
    </row>
    <row r="818">
      <c r="A818" s="5" t="n"/>
      <c r="B818" s="12" t="n"/>
      <c r="C818" s="6" t="n"/>
      <c r="D818" s="6" t="n"/>
      <c r="E818" s="13" t="n"/>
      <c r="F818" s="14" t="n"/>
      <c r="G818" s="12" t="n"/>
      <c r="H818" s="15">
        <f>IF($A818="","",IFERROR(VLOOKUP($A818,Clientes!$A$3:$C$1002,2,0),"NÃO CADASTRADO"))</f>
        <v/>
      </c>
      <c r="I818" s="16">
        <f>IF($A818="","",IFERROR(VLOOKUP($A818,Clientes!$A$3:$C$1002,3,0),"NÃO CADASTRADO"))</f>
        <v/>
      </c>
      <c r="J818" s="12">
        <f>IF($A818="","",IF($A818='Carteira do Cliente'!$B$4,COUNTIF($A$3:$A818,'Carteira do Cliente'!$B$4),""))</f>
        <v/>
      </c>
    </row>
    <row r="819">
      <c r="A819" s="3" t="n"/>
      <c r="B819" s="7" t="n"/>
      <c r="C819" s="4" t="n"/>
      <c r="D819" s="4" t="n"/>
      <c r="E819" s="8" t="n"/>
      <c r="F819" s="9" t="n"/>
      <c r="G819" s="7" t="n"/>
      <c r="H819" s="10">
        <f>IF($A819="","",IFERROR(VLOOKUP($A819,Clientes!$A$3:$C$1002,2,0),"NÃO CADASTRADO"))</f>
        <v/>
      </c>
      <c r="I819" s="11">
        <f>IF($A819="","",IFERROR(VLOOKUP($A819,Clientes!$A$3:$C$1002,3,0),"NÃO CADASTRADO"))</f>
        <v/>
      </c>
      <c r="J819" s="7">
        <f>IF($A819="","",IF($A819='Carteira do Cliente'!$B$4,COUNTIF($A$3:$A819,'Carteira do Cliente'!$B$4),""))</f>
        <v/>
      </c>
    </row>
    <row r="820">
      <c r="A820" s="5" t="n"/>
      <c r="B820" s="12" t="n"/>
      <c r="C820" s="6" t="n"/>
      <c r="D820" s="6" t="n"/>
      <c r="E820" s="13" t="n"/>
      <c r="F820" s="14" t="n"/>
      <c r="G820" s="12" t="n"/>
      <c r="H820" s="15">
        <f>IF($A820="","",IFERROR(VLOOKUP($A820,Clientes!$A$3:$C$1002,2,0),"NÃO CADASTRADO"))</f>
        <v/>
      </c>
      <c r="I820" s="16">
        <f>IF($A820="","",IFERROR(VLOOKUP($A820,Clientes!$A$3:$C$1002,3,0),"NÃO CADASTRADO"))</f>
        <v/>
      </c>
      <c r="J820" s="12">
        <f>IF($A820="","",IF($A820='Carteira do Cliente'!$B$4,COUNTIF($A$3:$A820,'Carteira do Cliente'!$B$4),""))</f>
        <v/>
      </c>
    </row>
    <row r="821">
      <c r="A821" s="3" t="n"/>
      <c r="B821" s="7" t="n"/>
      <c r="C821" s="4" t="n"/>
      <c r="D821" s="4" t="n"/>
      <c r="E821" s="8" t="n"/>
      <c r="F821" s="9" t="n"/>
      <c r="G821" s="7" t="n"/>
      <c r="H821" s="10">
        <f>IF($A821="","",IFERROR(VLOOKUP($A821,Clientes!$A$3:$C$1002,2,0),"NÃO CADASTRADO"))</f>
        <v/>
      </c>
      <c r="I821" s="11">
        <f>IF($A821="","",IFERROR(VLOOKUP($A821,Clientes!$A$3:$C$1002,3,0),"NÃO CADASTRADO"))</f>
        <v/>
      </c>
      <c r="J821" s="7">
        <f>IF($A821="","",IF($A821='Carteira do Cliente'!$B$4,COUNTIF($A$3:$A821,'Carteira do Cliente'!$B$4),""))</f>
        <v/>
      </c>
    </row>
    <row r="822">
      <c r="A822" s="5" t="n"/>
      <c r="B822" s="12" t="n"/>
      <c r="C822" s="6" t="n"/>
      <c r="D822" s="6" t="n"/>
      <c r="E822" s="13" t="n"/>
      <c r="F822" s="14" t="n"/>
      <c r="G822" s="12" t="n"/>
      <c r="H822" s="15">
        <f>IF($A822="","",IFERROR(VLOOKUP($A822,Clientes!$A$3:$C$1002,2,0),"NÃO CADASTRADO"))</f>
        <v/>
      </c>
      <c r="I822" s="16">
        <f>IF($A822="","",IFERROR(VLOOKUP($A822,Clientes!$A$3:$C$1002,3,0),"NÃO CADASTRADO"))</f>
        <v/>
      </c>
      <c r="J822" s="12">
        <f>IF($A822="","",IF($A822='Carteira do Cliente'!$B$4,COUNTIF($A$3:$A822,'Carteira do Cliente'!$B$4),""))</f>
        <v/>
      </c>
    </row>
    <row r="823">
      <c r="A823" s="3" t="n"/>
      <c r="B823" s="7" t="n"/>
      <c r="C823" s="4" t="n"/>
      <c r="D823" s="4" t="n"/>
      <c r="E823" s="8" t="n"/>
      <c r="F823" s="9" t="n"/>
      <c r="G823" s="7" t="n"/>
      <c r="H823" s="10">
        <f>IF($A823="","",IFERROR(VLOOKUP($A823,Clientes!$A$3:$C$1002,2,0),"NÃO CADASTRADO"))</f>
        <v/>
      </c>
      <c r="I823" s="11">
        <f>IF($A823="","",IFERROR(VLOOKUP($A823,Clientes!$A$3:$C$1002,3,0),"NÃO CADASTRADO"))</f>
        <v/>
      </c>
      <c r="J823" s="7">
        <f>IF($A823="","",IF($A823='Carteira do Cliente'!$B$4,COUNTIF($A$3:$A823,'Carteira do Cliente'!$B$4),""))</f>
        <v/>
      </c>
    </row>
    <row r="824">
      <c r="A824" s="5" t="n"/>
      <c r="B824" s="12" t="n"/>
      <c r="C824" s="6" t="n"/>
      <c r="D824" s="6" t="n"/>
      <c r="E824" s="13" t="n"/>
      <c r="F824" s="14" t="n"/>
      <c r="G824" s="12" t="n"/>
      <c r="H824" s="15">
        <f>IF($A824="","",IFERROR(VLOOKUP($A824,Clientes!$A$3:$C$1002,2,0),"NÃO CADASTRADO"))</f>
        <v/>
      </c>
      <c r="I824" s="16">
        <f>IF($A824="","",IFERROR(VLOOKUP($A824,Clientes!$A$3:$C$1002,3,0),"NÃO CADASTRADO"))</f>
        <v/>
      </c>
      <c r="J824" s="12">
        <f>IF($A824="","",IF($A824='Carteira do Cliente'!$B$4,COUNTIF($A$3:$A824,'Carteira do Cliente'!$B$4),""))</f>
        <v/>
      </c>
    </row>
    <row r="825">
      <c r="A825" s="3" t="n"/>
      <c r="B825" s="7" t="n"/>
      <c r="C825" s="4" t="n"/>
      <c r="D825" s="4" t="n"/>
      <c r="E825" s="8" t="n"/>
      <c r="F825" s="9" t="n"/>
      <c r="G825" s="7" t="n"/>
      <c r="H825" s="10">
        <f>IF($A825="","",IFERROR(VLOOKUP($A825,Clientes!$A$3:$C$1002,2,0),"NÃO CADASTRADO"))</f>
        <v/>
      </c>
      <c r="I825" s="11">
        <f>IF($A825="","",IFERROR(VLOOKUP($A825,Clientes!$A$3:$C$1002,3,0),"NÃO CADASTRADO"))</f>
        <v/>
      </c>
      <c r="J825" s="7">
        <f>IF($A825="","",IF($A825='Carteira do Cliente'!$B$4,COUNTIF($A$3:$A825,'Carteira do Cliente'!$B$4),""))</f>
        <v/>
      </c>
    </row>
    <row r="826">
      <c r="A826" s="5" t="n"/>
      <c r="B826" s="12" t="n"/>
      <c r="C826" s="6" t="n"/>
      <c r="D826" s="6" t="n"/>
      <c r="E826" s="13" t="n"/>
      <c r="F826" s="14" t="n"/>
      <c r="G826" s="12" t="n"/>
      <c r="H826" s="15">
        <f>IF($A826="","",IFERROR(VLOOKUP($A826,Clientes!$A$3:$C$1002,2,0),"NÃO CADASTRADO"))</f>
        <v/>
      </c>
      <c r="I826" s="16">
        <f>IF($A826="","",IFERROR(VLOOKUP($A826,Clientes!$A$3:$C$1002,3,0),"NÃO CADASTRADO"))</f>
        <v/>
      </c>
      <c r="J826" s="12">
        <f>IF($A826="","",IF($A826='Carteira do Cliente'!$B$4,COUNTIF($A$3:$A826,'Carteira do Cliente'!$B$4),""))</f>
        <v/>
      </c>
    </row>
    <row r="827">
      <c r="A827" s="3" t="n"/>
      <c r="B827" s="7" t="n"/>
      <c r="C827" s="4" t="n"/>
      <c r="D827" s="4" t="n"/>
      <c r="E827" s="8" t="n"/>
      <c r="F827" s="9" t="n"/>
      <c r="G827" s="7" t="n"/>
      <c r="H827" s="10">
        <f>IF($A827="","",IFERROR(VLOOKUP($A827,Clientes!$A$3:$C$1002,2,0),"NÃO CADASTRADO"))</f>
        <v/>
      </c>
      <c r="I827" s="11">
        <f>IF($A827="","",IFERROR(VLOOKUP($A827,Clientes!$A$3:$C$1002,3,0),"NÃO CADASTRADO"))</f>
        <v/>
      </c>
      <c r="J827" s="7">
        <f>IF($A827="","",IF($A827='Carteira do Cliente'!$B$4,COUNTIF($A$3:$A827,'Carteira do Cliente'!$B$4),""))</f>
        <v/>
      </c>
    </row>
    <row r="828">
      <c r="A828" s="5" t="n"/>
      <c r="B828" s="12" t="n"/>
      <c r="C828" s="6" t="n"/>
      <c r="D828" s="6" t="n"/>
      <c r="E828" s="13" t="n"/>
      <c r="F828" s="14" t="n"/>
      <c r="G828" s="12" t="n"/>
      <c r="H828" s="15">
        <f>IF($A828="","",IFERROR(VLOOKUP($A828,Clientes!$A$3:$C$1002,2,0),"NÃO CADASTRADO"))</f>
        <v/>
      </c>
      <c r="I828" s="16">
        <f>IF($A828="","",IFERROR(VLOOKUP($A828,Clientes!$A$3:$C$1002,3,0),"NÃO CADASTRADO"))</f>
        <v/>
      </c>
      <c r="J828" s="12">
        <f>IF($A828="","",IF($A828='Carteira do Cliente'!$B$4,COUNTIF($A$3:$A828,'Carteira do Cliente'!$B$4),""))</f>
        <v/>
      </c>
    </row>
    <row r="829">
      <c r="A829" s="3" t="n"/>
      <c r="B829" s="7" t="n"/>
      <c r="C829" s="4" t="n"/>
      <c r="D829" s="4" t="n"/>
      <c r="E829" s="8" t="n"/>
      <c r="F829" s="9" t="n"/>
      <c r="G829" s="7" t="n"/>
      <c r="H829" s="10">
        <f>IF($A829="","",IFERROR(VLOOKUP($A829,Clientes!$A$3:$C$1002,2,0),"NÃO CADASTRADO"))</f>
        <v/>
      </c>
      <c r="I829" s="11">
        <f>IF($A829="","",IFERROR(VLOOKUP($A829,Clientes!$A$3:$C$1002,3,0),"NÃO CADASTRADO"))</f>
        <v/>
      </c>
      <c r="J829" s="7">
        <f>IF($A829="","",IF($A829='Carteira do Cliente'!$B$4,COUNTIF($A$3:$A829,'Carteira do Cliente'!$B$4),""))</f>
        <v/>
      </c>
    </row>
    <row r="830">
      <c r="A830" s="5" t="n"/>
      <c r="B830" s="12" t="n"/>
      <c r="C830" s="6" t="n"/>
      <c r="D830" s="6" t="n"/>
      <c r="E830" s="13" t="n"/>
      <c r="F830" s="14" t="n"/>
      <c r="G830" s="12" t="n"/>
      <c r="H830" s="15">
        <f>IF($A830="","",IFERROR(VLOOKUP($A830,Clientes!$A$3:$C$1002,2,0),"NÃO CADASTRADO"))</f>
        <v/>
      </c>
      <c r="I830" s="16">
        <f>IF($A830="","",IFERROR(VLOOKUP($A830,Clientes!$A$3:$C$1002,3,0),"NÃO CADASTRADO"))</f>
        <v/>
      </c>
      <c r="J830" s="12">
        <f>IF($A830="","",IF($A830='Carteira do Cliente'!$B$4,COUNTIF($A$3:$A830,'Carteira do Cliente'!$B$4),""))</f>
        <v/>
      </c>
    </row>
    <row r="831">
      <c r="A831" s="3" t="n"/>
      <c r="B831" s="7" t="n"/>
      <c r="C831" s="4" t="n"/>
      <c r="D831" s="4" t="n"/>
      <c r="E831" s="8" t="n"/>
      <c r="F831" s="9" t="n"/>
      <c r="G831" s="7" t="n"/>
      <c r="H831" s="10">
        <f>IF($A831="","",IFERROR(VLOOKUP($A831,Clientes!$A$3:$C$1002,2,0),"NÃO CADASTRADO"))</f>
        <v/>
      </c>
      <c r="I831" s="11">
        <f>IF($A831="","",IFERROR(VLOOKUP($A831,Clientes!$A$3:$C$1002,3,0),"NÃO CADASTRADO"))</f>
        <v/>
      </c>
      <c r="J831" s="7">
        <f>IF($A831="","",IF($A831='Carteira do Cliente'!$B$4,COUNTIF($A$3:$A831,'Carteira do Cliente'!$B$4),""))</f>
        <v/>
      </c>
    </row>
    <row r="832">
      <c r="A832" s="5" t="n"/>
      <c r="B832" s="12" t="n"/>
      <c r="C832" s="6" t="n"/>
      <c r="D832" s="6" t="n"/>
      <c r="E832" s="13" t="n"/>
      <c r="F832" s="14" t="n"/>
      <c r="G832" s="12" t="n"/>
      <c r="H832" s="15">
        <f>IF($A832="","",IFERROR(VLOOKUP($A832,Clientes!$A$3:$C$1002,2,0),"NÃO CADASTRADO"))</f>
        <v/>
      </c>
      <c r="I832" s="16">
        <f>IF($A832="","",IFERROR(VLOOKUP($A832,Clientes!$A$3:$C$1002,3,0),"NÃO CADASTRADO"))</f>
        <v/>
      </c>
      <c r="J832" s="12">
        <f>IF($A832="","",IF($A832='Carteira do Cliente'!$B$4,COUNTIF($A$3:$A832,'Carteira do Cliente'!$B$4),""))</f>
        <v/>
      </c>
    </row>
    <row r="833">
      <c r="A833" s="3" t="n"/>
      <c r="B833" s="7" t="n"/>
      <c r="C833" s="4" t="n"/>
      <c r="D833" s="4" t="n"/>
      <c r="E833" s="8" t="n"/>
      <c r="F833" s="9" t="n"/>
      <c r="G833" s="7" t="n"/>
      <c r="H833" s="10">
        <f>IF($A833="","",IFERROR(VLOOKUP($A833,Clientes!$A$3:$C$1002,2,0),"NÃO CADASTRADO"))</f>
        <v/>
      </c>
      <c r="I833" s="11">
        <f>IF($A833="","",IFERROR(VLOOKUP($A833,Clientes!$A$3:$C$1002,3,0),"NÃO CADASTRADO"))</f>
        <v/>
      </c>
      <c r="J833" s="7">
        <f>IF($A833="","",IF($A833='Carteira do Cliente'!$B$4,COUNTIF($A$3:$A833,'Carteira do Cliente'!$B$4),""))</f>
        <v/>
      </c>
    </row>
    <row r="834">
      <c r="A834" s="5" t="n"/>
      <c r="B834" s="12" t="n"/>
      <c r="C834" s="6" t="n"/>
      <c r="D834" s="6" t="n"/>
      <c r="E834" s="13" t="n"/>
      <c r="F834" s="14" t="n"/>
      <c r="G834" s="12" t="n"/>
      <c r="H834" s="15">
        <f>IF($A834="","",IFERROR(VLOOKUP($A834,Clientes!$A$3:$C$1002,2,0),"NÃO CADASTRADO"))</f>
        <v/>
      </c>
      <c r="I834" s="16">
        <f>IF($A834="","",IFERROR(VLOOKUP($A834,Clientes!$A$3:$C$1002,3,0),"NÃO CADASTRADO"))</f>
        <v/>
      </c>
      <c r="J834" s="12">
        <f>IF($A834="","",IF($A834='Carteira do Cliente'!$B$4,COUNTIF($A$3:$A834,'Carteira do Cliente'!$B$4),""))</f>
        <v/>
      </c>
    </row>
    <row r="835">
      <c r="A835" s="3" t="n"/>
      <c r="B835" s="7" t="n"/>
      <c r="C835" s="4" t="n"/>
      <c r="D835" s="4" t="n"/>
      <c r="E835" s="8" t="n"/>
      <c r="F835" s="9" t="n"/>
      <c r="G835" s="7" t="n"/>
      <c r="H835" s="10">
        <f>IF($A835="","",IFERROR(VLOOKUP($A835,Clientes!$A$3:$C$1002,2,0),"NÃO CADASTRADO"))</f>
        <v/>
      </c>
      <c r="I835" s="11">
        <f>IF($A835="","",IFERROR(VLOOKUP($A835,Clientes!$A$3:$C$1002,3,0),"NÃO CADASTRADO"))</f>
        <v/>
      </c>
      <c r="J835" s="7">
        <f>IF($A835="","",IF($A835='Carteira do Cliente'!$B$4,COUNTIF($A$3:$A835,'Carteira do Cliente'!$B$4),""))</f>
        <v/>
      </c>
    </row>
    <row r="836">
      <c r="A836" s="5" t="n"/>
      <c r="B836" s="12" t="n"/>
      <c r="C836" s="6" t="n"/>
      <c r="D836" s="6" t="n"/>
      <c r="E836" s="13" t="n"/>
      <c r="F836" s="14" t="n"/>
      <c r="G836" s="12" t="n"/>
      <c r="H836" s="15">
        <f>IF($A836="","",IFERROR(VLOOKUP($A836,Clientes!$A$3:$C$1002,2,0),"NÃO CADASTRADO"))</f>
        <v/>
      </c>
      <c r="I836" s="16">
        <f>IF($A836="","",IFERROR(VLOOKUP($A836,Clientes!$A$3:$C$1002,3,0),"NÃO CADASTRADO"))</f>
        <v/>
      </c>
      <c r="J836" s="12">
        <f>IF($A836="","",IF($A836='Carteira do Cliente'!$B$4,COUNTIF($A$3:$A836,'Carteira do Cliente'!$B$4),""))</f>
        <v/>
      </c>
    </row>
    <row r="837">
      <c r="A837" s="3" t="n"/>
      <c r="B837" s="7" t="n"/>
      <c r="C837" s="4" t="n"/>
      <c r="D837" s="4" t="n"/>
      <c r="E837" s="8" t="n"/>
      <c r="F837" s="9" t="n"/>
      <c r="G837" s="7" t="n"/>
      <c r="H837" s="10">
        <f>IF($A837="","",IFERROR(VLOOKUP($A837,Clientes!$A$3:$C$1002,2,0),"NÃO CADASTRADO"))</f>
        <v/>
      </c>
      <c r="I837" s="11">
        <f>IF($A837="","",IFERROR(VLOOKUP($A837,Clientes!$A$3:$C$1002,3,0),"NÃO CADASTRADO"))</f>
        <v/>
      </c>
      <c r="J837" s="7">
        <f>IF($A837="","",IF($A837='Carteira do Cliente'!$B$4,COUNTIF($A$3:$A837,'Carteira do Cliente'!$B$4),""))</f>
        <v/>
      </c>
    </row>
    <row r="838">
      <c r="A838" s="5" t="n"/>
      <c r="B838" s="12" t="n"/>
      <c r="C838" s="6" t="n"/>
      <c r="D838" s="6" t="n"/>
      <c r="E838" s="13" t="n"/>
      <c r="F838" s="14" t="n"/>
      <c r="G838" s="12" t="n"/>
      <c r="H838" s="15">
        <f>IF($A838="","",IFERROR(VLOOKUP($A838,Clientes!$A$3:$C$1002,2,0),"NÃO CADASTRADO"))</f>
        <v/>
      </c>
      <c r="I838" s="16">
        <f>IF($A838="","",IFERROR(VLOOKUP($A838,Clientes!$A$3:$C$1002,3,0),"NÃO CADASTRADO"))</f>
        <v/>
      </c>
      <c r="J838" s="12">
        <f>IF($A838="","",IF($A838='Carteira do Cliente'!$B$4,COUNTIF($A$3:$A838,'Carteira do Cliente'!$B$4),""))</f>
        <v/>
      </c>
    </row>
    <row r="839">
      <c r="A839" s="3" t="n"/>
      <c r="B839" s="7" t="n"/>
      <c r="C839" s="4" t="n"/>
      <c r="D839" s="4" t="n"/>
      <c r="E839" s="8" t="n"/>
      <c r="F839" s="9" t="n"/>
      <c r="G839" s="7" t="n"/>
      <c r="H839" s="10">
        <f>IF($A839="","",IFERROR(VLOOKUP($A839,Clientes!$A$3:$C$1002,2,0),"NÃO CADASTRADO"))</f>
        <v/>
      </c>
      <c r="I839" s="11">
        <f>IF($A839="","",IFERROR(VLOOKUP($A839,Clientes!$A$3:$C$1002,3,0),"NÃO CADASTRADO"))</f>
        <v/>
      </c>
      <c r="J839" s="7">
        <f>IF($A839="","",IF($A839='Carteira do Cliente'!$B$4,COUNTIF($A$3:$A839,'Carteira do Cliente'!$B$4),""))</f>
        <v/>
      </c>
    </row>
    <row r="840">
      <c r="A840" s="5" t="n"/>
      <c r="B840" s="12" t="n"/>
      <c r="C840" s="6" t="n"/>
      <c r="D840" s="6" t="n"/>
      <c r="E840" s="13" t="n"/>
      <c r="F840" s="14" t="n"/>
      <c r="G840" s="12" t="n"/>
      <c r="H840" s="15">
        <f>IF($A840="","",IFERROR(VLOOKUP($A840,Clientes!$A$3:$C$1002,2,0),"NÃO CADASTRADO"))</f>
        <v/>
      </c>
      <c r="I840" s="16">
        <f>IF($A840="","",IFERROR(VLOOKUP($A840,Clientes!$A$3:$C$1002,3,0),"NÃO CADASTRADO"))</f>
        <v/>
      </c>
      <c r="J840" s="12">
        <f>IF($A840="","",IF($A840='Carteira do Cliente'!$B$4,COUNTIF($A$3:$A840,'Carteira do Cliente'!$B$4),""))</f>
        <v/>
      </c>
    </row>
    <row r="841">
      <c r="A841" s="3" t="n"/>
      <c r="B841" s="7" t="n"/>
      <c r="C841" s="4" t="n"/>
      <c r="D841" s="4" t="n"/>
      <c r="E841" s="8" t="n"/>
      <c r="F841" s="9" t="n"/>
      <c r="G841" s="7" t="n"/>
      <c r="H841" s="10">
        <f>IF($A841="","",IFERROR(VLOOKUP($A841,Clientes!$A$3:$C$1002,2,0),"NÃO CADASTRADO"))</f>
        <v/>
      </c>
      <c r="I841" s="11">
        <f>IF($A841="","",IFERROR(VLOOKUP($A841,Clientes!$A$3:$C$1002,3,0),"NÃO CADASTRADO"))</f>
        <v/>
      </c>
      <c r="J841" s="7">
        <f>IF($A841="","",IF($A841='Carteira do Cliente'!$B$4,COUNTIF($A$3:$A841,'Carteira do Cliente'!$B$4),""))</f>
        <v/>
      </c>
    </row>
    <row r="842">
      <c r="A842" s="5" t="n"/>
      <c r="B842" s="12" t="n"/>
      <c r="C842" s="6" t="n"/>
      <c r="D842" s="6" t="n"/>
      <c r="E842" s="13" t="n"/>
      <c r="F842" s="14" t="n"/>
      <c r="G842" s="12" t="n"/>
      <c r="H842" s="15">
        <f>IF($A842="","",IFERROR(VLOOKUP($A842,Clientes!$A$3:$C$1002,2,0),"NÃO CADASTRADO"))</f>
        <v/>
      </c>
      <c r="I842" s="16">
        <f>IF($A842="","",IFERROR(VLOOKUP($A842,Clientes!$A$3:$C$1002,3,0),"NÃO CADASTRADO"))</f>
        <v/>
      </c>
      <c r="J842" s="12">
        <f>IF($A842="","",IF($A842='Carteira do Cliente'!$B$4,COUNTIF($A$3:$A842,'Carteira do Cliente'!$B$4),""))</f>
        <v/>
      </c>
    </row>
    <row r="843">
      <c r="A843" s="3" t="n"/>
      <c r="B843" s="7" t="n"/>
      <c r="C843" s="4" t="n"/>
      <c r="D843" s="4" t="n"/>
      <c r="E843" s="8" t="n"/>
      <c r="F843" s="9" t="n"/>
      <c r="G843" s="7" t="n"/>
      <c r="H843" s="10">
        <f>IF($A843="","",IFERROR(VLOOKUP($A843,Clientes!$A$3:$C$1002,2,0),"NÃO CADASTRADO"))</f>
        <v/>
      </c>
      <c r="I843" s="11">
        <f>IF($A843="","",IFERROR(VLOOKUP($A843,Clientes!$A$3:$C$1002,3,0),"NÃO CADASTRADO"))</f>
        <v/>
      </c>
      <c r="J843" s="7">
        <f>IF($A843="","",IF($A843='Carteira do Cliente'!$B$4,COUNTIF($A$3:$A843,'Carteira do Cliente'!$B$4),""))</f>
        <v/>
      </c>
    </row>
    <row r="844">
      <c r="A844" s="5" t="n"/>
      <c r="B844" s="12" t="n"/>
      <c r="C844" s="6" t="n"/>
      <c r="D844" s="6" t="n"/>
      <c r="E844" s="13" t="n"/>
      <c r="F844" s="14" t="n"/>
      <c r="G844" s="12" t="n"/>
      <c r="H844" s="15">
        <f>IF($A844="","",IFERROR(VLOOKUP($A844,Clientes!$A$3:$C$1002,2,0),"NÃO CADASTRADO"))</f>
        <v/>
      </c>
      <c r="I844" s="16">
        <f>IF($A844="","",IFERROR(VLOOKUP($A844,Clientes!$A$3:$C$1002,3,0),"NÃO CADASTRADO"))</f>
        <v/>
      </c>
      <c r="J844" s="12">
        <f>IF($A844="","",IF($A844='Carteira do Cliente'!$B$4,COUNTIF($A$3:$A844,'Carteira do Cliente'!$B$4),""))</f>
        <v/>
      </c>
    </row>
    <row r="845">
      <c r="A845" s="3" t="n"/>
      <c r="B845" s="7" t="n"/>
      <c r="C845" s="4" t="n"/>
      <c r="D845" s="4" t="n"/>
      <c r="E845" s="8" t="n"/>
      <c r="F845" s="9" t="n"/>
      <c r="G845" s="7" t="n"/>
      <c r="H845" s="10">
        <f>IF($A845="","",IFERROR(VLOOKUP($A845,Clientes!$A$3:$C$1002,2,0),"NÃO CADASTRADO"))</f>
        <v/>
      </c>
      <c r="I845" s="11">
        <f>IF($A845="","",IFERROR(VLOOKUP($A845,Clientes!$A$3:$C$1002,3,0),"NÃO CADASTRADO"))</f>
        <v/>
      </c>
      <c r="J845" s="7">
        <f>IF($A845="","",IF($A845='Carteira do Cliente'!$B$4,COUNTIF($A$3:$A845,'Carteira do Cliente'!$B$4),""))</f>
        <v/>
      </c>
    </row>
    <row r="846">
      <c r="A846" s="5" t="n"/>
      <c r="B846" s="12" t="n"/>
      <c r="C846" s="6" t="n"/>
      <c r="D846" s="6" t="n"/>
      <c r="E846" s="13" t="n"/>
      <c r="F846" s="14" t="n"/>
      <c r="G846" s="12" t="n"/>
      <c r="H846" s="15">
        <f>IF($A846="","",IFERROR(VLOOKUP($A846,Clientes!$A$3:$C$1002,2,0),"NÃO CADASTRADO"))</f>
        <v/>
      </c>
      <c r="I846" s="16">
        <f>IF($A846="","",IFERROR(VLOOKUP($A846,Clientes!$A$3:$C$1002,3,0),"NÃO CADASTRADO"))</f>
        <v/>
      </c>
      <c r="J846" s="12">
        <f>IF($A846="","",IF($A846='Carteira do Cliente'!$B$4,COUNTIF($A$3:$A846,'Carteira do Cliente'!$B$4),""))</f>
        <v/>
      </c>
    </row>
    <row r="847">
      <c r="A847" s="3" t="n"/>
      <c r="B847" s="7" t="n"/>
      <c r="C847" s="4" t="n"/>
      <c r="D847" s="4" t="n"/>
      <c r="E847" s="8" t="n"/>
      <c r="F847" s="9" t="n"/>
      <c r="G847" s="7" t="n"/>
      <c r="H847" s="10">
        <f>IF($A847="","",IFERROR(VLOOKUP($A847,Clientes!$A$3:$C$1002,2,0),"NÃO CADASTRADO"))</f>
        <v/>
      </c>
      <c r="I847" s="11">
        <f>IF($A847="","",IFERROR(VLOOKUP($A847,Clientes!$A$3:$C$1002,3,0),"NÃO CADASTRADO"))</f>
        <v/>
      </c>
      <c r="J847" s="7">
        <f>IF($A847="","",IF($A847='Carteira do Cliente'!$B$4,COUNTIF($A$3:$A847,'Carteira do Cliente'!$B$4),""))</f>
        <v/>
      </c>
    </row>
    <row r="848">
      <c r="A848" s="5" t="n"/>
      <c r="B848" s="12" t="n"/>
      <c r="C848" s="6" t="n"/>
      <c r="D848" s="6" t="n"/>
      <c r="E848" s="13" t="n"/>
      <c r="F848" s="14" t="n"/>
      <c r="G848" s="12" t="n"/>
      <c r="H848" s="15">
        <f>IF($A848="","",IFERROR(VLOOKUP($A848,Clientes!$A$3:$C$1002,2,0),"NÃO CADASTRADO"))</f>
        <v/>
      </c>
      <c r="I848" s="16">
        <f>IF($A848="","",IFERROR(VLOOKUP($A848,Clientes!$A$3:$C$1002,3,0),"NÃO CADASTRADO"))</f>
        <v/>
      </c>
      <c r="J848" s="12">
        <f>IF($A848="","",IF($A848='Carteira do Cliente'!$B$4,COUNTIF($A$3:$A848,'Carteira do Cliente'!$B$4),""))</f>
        <v/>
      </c>
    </row>
    <row r="849">
      <c r="A849" s="3" t="n"/>
      <c r="B849" s="7" t="n"/>
      <c r="C849" s="4" t="n"/>
      <c r="D849" s="4" t="n"/>
      <c r="E849" s="8" t="n"/>
      <c r="F849" s="9" t="n"/>
      <c r="G849" s="7" t="n"/>
      <c r="H849" s="10">
        <f>IF($A849="","",IFERROR(VLOOKUP($A849,Clientes!$A$3:$C$1002,2,0),"NÃO CADASTRADO"))</f>
        <v/>
      </c>
      <c r="I849" s="11">
        <f>IF($A849="","",IFERROR(VLOOKUP($A849,Clientes!$A$3:$C$1002,3,0),"NÃO CADASTRADO"))</f>
        <v/>
      </c>
      <c r="J849" s="7">
        <f>IF($A849="","",IF($A849='Carteira do Cliente'!$B$4,COUNTIF($A$3:$A849,'Carteira do Cliente'!$B$4),""))</f>
        <v/>
      </c>
    </row>
    <row r="850">
      <c r="A850" s="5" t="n"/>
      <c r="B850" s="12" t="n"/>
      <c r="C850" s="6" t="n"/>
      <c r="D850" s="6" t="n"/>
      <c r="E850" s="13" t="n"/>
      <c r="F850" s="14" t="n"/>
      <c r="G850" s="12" t="n"/>
      <c r="H850" s="15">
        <f>IF($A850="","",IFERROR(VLOOKUP($A850,Clientes!$A$3:$C$1002,2,0),"NÃO CADASTRADO"))</f>
        <v/>
      </c>
      <c r="I850" s="16">
        <f>IF($A850="","",IFERROR(VLOOKUP($A850,Clientes!$A$3:$C$1002,3,0),"NÃO CADASTRADO"))</f>
        <v/>
      </c>
      <c r="J850" s="12">
        <f>IF($A850="","",IF($A850='Carteira do Cliente'!$B$4,COUNTIF($A$3:$A850,'Carteira do Cliente'!$B$4),""))</f>
        <v/>
      </c>
    </row>
    <row r="851">
      <c r="A851" s="3" t="n"/>
      <c r="B851" s="7" t="n"/>
      <c r="C851" s="4" t="n"/>
      <c r="D851" s="4" t="n"/>
      <c r="E851" s="8" t="n"/>
      <c r="F851" s="9" t="n"/>
      <c r="G851" s="7" t="n"/>
      <c r="H851" s="10">
        <f>IF($A851="","",IFERROR(VLOOKUP($A851,Clientes!$A$3:$C$1002,2,0),"NÃO CADASTRADO"))</f>
        <v/>
      </c>
      <c r="I851" s="11">
        <f>IF($A851="","",IFERROR(VLOOKUP($A851,Clientes!$A$3:$C$1002,3,0),"NÃO CADASTRADO"))</f>
        <v/>
      </c>
      <c r="J851" s="7">
        <f>IF($A851="","",IF($A851='Carteira do Cliente'!$B$4,COUNTIF($A$3:$A851,'Carteira do Cliente'!$B$4),""))</f>
        <v/>
      </c>
    </row>
    <row r="852">
      <c r="A852" s="5" t="n"/>
      <c r="B852" s="12" t="n"/>
      <c r="C852" s="6" t="n"/>
      <c r="D852" s="6" t="n"/>
      <c r="E852" s="13" t="n"/>
      <c r="F852" s="14" t="n"/>
      <c r="G852" s="12" t="n"/>
      <c r="H852" s="15">
        <f>IF($A852="","",IFERROR(VLOOKUP($A852,Clientes!$A$3:$C$1002,2,0),"NÃO CADASTRADO"))</f>
        <v/>
      </c>
      <c r="I852" s="16">
        <f>IF($A852="","",IFERROR(VLOOKUP($A852,Clientes!$A$3:$C$1002,3,0),"NÃO CADASTRADO"))</f>
        <v/>
      </c>
      <c r="J852" s="12">
        <f>IF($A852="","",IF($A852='Carteira do Cliente'!$B$4,COUNTIF($A$3:$A852,'Carteira do Cliente'!$B$4),""))</f>
        <v/>
      </c>
    </row>
    <row r="853">
      <c r="A853" s="3" t="n"/>
      <c r="B853" s="7" t="n"/>
      <c r="C853" s="4" t="n"/>
      <c r="D853" s="4" t="n"/>
      <c r="E853" s="8" t="n"/>
      <c r="F853" s="9" t="n"/>
      <c r="G853" s="7" t="n"/>
      <c r="H853" s="10">
        <f>IF($A853="","",IFERROR(VLOOKUP($A853,Clientes!$A$3:$C$1002,2,0),"NÃO CADASTRADO"))</f>
        <v/>
      </c>
      <c r="I853" s="11">
        <f>IF($A853="","",IFERROR(VLOOKUP($A853,Clientes!$A$3:$C$1002,3,0),"NÃO CADASTRADO"))</f>
        <v/>
      </c>
      <c r="J853" s="7">
        <f>IF($A853="","",IF($A853='Carteira do Cliente'!$B$4,COUNTIF($A$3:$A853,'Carteira do Cliente'!$B$4),""))</f>
        <v/>
      </c>
    </row>
    <row r="854">
      <c r="A854" s="5" t="n"/>
      <c r="B854" s="12" t="n"/>
      <c r="C854" s="6" t="n"/>
      <c r="D854" s="6" t="n"/>
      <c r="E854" s="13" t="n"/>
      <c r="F854" s="14" t="n"/>
      <c r="G854" s="12" t="n"/>
      <c r="H854" s="15">
        <f>IF($A854="","",IFERROR(VLOOKUP($A854,Clientes!$A$3:$C$1002,2,0),"NÃO CADASTRADO"))</f>
        <v/>
      </c>
      <c r="I854" s="16">
        <f>IF($A854="","",IFERROR(VLOOKUP($A854,Clientes!$A$3:$C$1002,3,0),"NÃO CADASTRADO"))</f>
        <v/>
      </c>
      <c r="J854" s="12">
        <f>IF($A854="","",IF($A854='Carteira do Cliente'!$B$4,COUNTIF($A$3:$A854,'Carteira do Cliente'!$B$4),""))</f>
        <v/>
      </c>
    </row>
    <row r="855">
      <c r="A855" s="3" t="n"/>
      <c r="B855" s="7" t="n"/>
      <c r="C855" s="4" t="n"/>
      <c r="D855" s="4" t="n"/>
      <c r="E855" s="8" t="n"/>
      <c r="F855" s="9" t="n"/>
      <c r="G855" s="7" t="n"/>
      <c r="H855" s="10">
        <f>IF($A855="","",IFERROR(VLOOKUP($A855,Clientes!$A$3:$C$1002,2,0),"NÃO CADASTRADO"))</f>
        <v/>
      </c>
      <c r="I855" s="11">
        <f>IF($A855="","",IFERROR(VLOOKUP($A855,Clientes!$A$3:$C$1002,3,0),"NÃO CADASTRADO"))</f>
        <v/>
      </c>
      <c r="J855" s="7">
        <f>IF($A855="","",IF($A855='Carteira do Cliente'!$B$4,COUNTIF($A$3:$A855,'Carteira do Cliente'!$B$4),""))</f>
        <v/>
      </c>
    </row>
    <row r="856">
      <c r="A856" s="5" t="n"/>
      <c r="B856" s="12" t="n"/>
      <c r="C856" s="6" t="n"/>
      <c r="D856" s="6" t="n"/>
      <c r="E856" s="13" t="n"/>
      <c r="F856" s="14" t="n"/>
      <c r="G856" s="12" t="n"/>
      <c r="H856" s="15">
        <f>IF($A856="","",IFERROR(VLOOKUP($A856,Clientes!$A$3:$C$1002,2,0),"NÃO CADASTRADO"))</f>
        <v/>
      </c>
      <c r="I856" s="16">
        <f>IF($A856="","",IFERROR(VLOOKUP($A856,Clientes!$A$3:$C$1002,3,0),"NÃO CADASTRADO"))</f>
        <v/>
      </c>
      <c r="J856" s="12">
        <f>IF($A856="","",IF($A856='Carteira do Cliente'!$B$4,COUNTIF($A$3:$A856,'Carteira do Cliente'!$B$4),""))</f>
        <v/>
      </c>
    </row>
    <row r="857">
      <c r="A857" s="3" t="n"/>
      <c r="B857" s="7" t="n"/>
      <c r="C857" s="4" t="n"/>
      <c r="D857" s="4" t="n"/>
      <c r="E857" s="8" t="n"/>
      <c r="F857" s="9" t="n"/>
      <c r="G857" s="7" t="n"/>
      <c r="H857" s="10">
        <f>IF($A857="","",IFERROR(VLOOKUP($A857,Clientes!$A$3:$C$1002,2,0),"NÃO CADASTRADO"))</f>
        <v/>
      </c>
      <c r="I857" s="11">
        <f>IF($A857="","",IFERROR(VLOOKUP($A857,Clientes!$A$3:$C$1002,3,0),"NÃO CADASTRADO"))</f>
        <v/>
      </c>
      <c r="J857" s="7">
        <f>IF($A857="","",IF($A857='Carteira do Cliente'!$B$4,COUNTIF($A$3:$A857,'Carteira do Cliente'!$B$4),""))</f>
        <v/>
      </c>
    </row>
    <row r="858">
      <c r="A858" s="5" t="n"/>
      <c r="B858" s="12" t="n"/>
      <c r="C858" s="6" t="n"/>
      <c r="D858" s="6" t="n"/>
      <c r="E858" s="13" t="n"/>
      <c r="F858" s="14" t="n"/>
      <c r="G858" s="12" t="n"/>
      <c r="H858" s="15">
        <f>IF($A858="","",IFERROR(VLOOKUP($A858,Clientes!$A$3:$C$1002,2,0),"NÃO CADASTRADO"))</f>
        <v/>
      </c>
      <c r="I858" s="16">
        <f>IF($A858="","",IFERROR(VLOOKUP($A858,Clientes!$A$3:$C$1002,3,0),"NÃO CADASTRADO"))</f>
        <v/>
      </c>
      <c r="J858" s="12">
        <f>IF($A858="","",IF($A858='Carteira do Cliente'!$B$4,COUNTIF($A$3:$A858,'Carteira do Cliente'!$B$4),""))</f>
        <v/>
      </c>
    </row>
    <row r="859">
      <c r="A859" s="3" t="n"/>
      <c r="B859" s="7" t="n"/>
      <c r="C859" s="4" t="n"/>
      <c r="D859" s="4" t="n"/>
      <c r="E859" s="8" t="n"/>
      <c r="F859" s="9" t="n"/>
      <c r="G859" s="7" t="n"/>
      <c r="H859" s="10">
        <f>IF($A859="","",IFERROR(VLOOKUP($A859,Clientes!$A$3:$C$1002,2,0),"NÃO CADASTRADO"))</f>
        <v/>
      </c>
      <c r="I859" s="11">
        <f>IF($A859="","",IFERROR(VLOOKUP($A859,Clientes!$A$3:$C$1002,3,0),"NÃO CADASTRADO"))</f>
        <v/>
      </c>
      <c r="J859" s="7">
        <f>IF($A859="","",IF($A859='Carteira do Cliente'!$B$4,COUNTIF($A$3:$A859,'Carteira do Cliente'!$B$4),""))</f>
        <v/>
      </c>
    </row>
    <row r="860">
      <c r="A860" s="5" t="n"/>
      <c r="B860" s="12" t="n"/>
      <c r="C860" s="6" t="n"/>
      <c r="D860" s="6" t="n"/>
      <c r="E860" s="13" t="n"/>
      <c r="F860" s="14" t="n"/>
      <c r="G860" s="12" t="n"/>
      <c r="H860" s="15">
        <f>IF($A860="","",IFERROR(VLOOKUP($A860,Clientes!$A$3:$C$1002,2,0),"NÃO CADASTRADO"))</f>
        <v/>
      </c>
      <c r="I860" s="16">
        <f>IF($A860="","",IFERROR(VLOOKUP($A860,Clientes!$A$3:$C$1002,3,0),"NÃO CADASTRADO"))</f>
        <v/>
      </c>
      <c r="J860" s="12">
        <f>IF($A860="","",IF($A860='Carteira do Cliente'!$B$4,COUNTIF($A$3:$A860,'Carteira do Cliente'!$B$4),""))</f>
        <v/>
      </c>
    </row>
    <row r="861">
      <c r="A861" s="3" t="n"/>
      <c r="B861" s="7" t="n"/>
      <c r="C861" s="4" t="n"/>
      <c r="D861" s="4" t="n"/>
      <c r="E861" s="8" t="n"/>
      <c r="F861" s="9" t="n"/>
      <c r="G861" s="7" t="n"/>
      <c r="H861" s="10">
        <f>IF($A861="","",IFERROR(VLOOKUP($A861,Clientes!$A$3:$C$1002,2,0),"NÃO CADASTRADO"))</f>
        <v/>
      </c>
      <c r="I861" s="11">
        <f>IF($A861="","",IFERROR(VLOOKUP($A861,Clientes!$A$3:$C$1002,3,0),"NÃO CADASTRADO"))</f>
        <v/>
      </c>
      <c r="J861" s="7">
        <f>IF($A861="","",IF($A861='Carteira do Cliente'!$B$4,COUNTIF($A$3:$A861,'Carteira do Cliente'!$B$4),""))</f>
        <v/>
      </c>
    </row>
    <row r="862">
      <c r="A862" s="5" t="n"/>
      <c r="B862" s="12" t="n"/>
      <c r="C862" s="6" t="n"/>
      <c r="D862" s="6" t="n"/>
      <c r="E862" s="13" t="n"/>
      <c r="F862" s="14" t="n"/>
      <c r="G862" s="12" t="n"/>
      <c r="H862" s="15">
        <f>IF($A862="","",IFERROR(VLOOKUP($A862,Clientes!$A$3:$C$1002,2,0),"NÃO CADASTRADO"))</f>
        <v/>
      </c>
      <c r="I862" s="16">
        <f>IF($A862="","",IFERROR(VLOOKUP($A862,Clientes!$A$3:$C$1002,3,0),"NÃO CADASTRADO"))</f>
        <v/>
      </c>
      <c r="J862" s="12">
        <f>IF($A862="","",IF($A862='Carteira do Cliente'!$B$4,COUNTIF($A$3:$A862,'Carteira do Cliente'!$B$4),""))</f>
        <v/>
      </c>
    </row>
    <row r="863">
      <c r="A863" s="3" t="n"/>
      <c r="B863" s="7" t="n"/>
      <c r="C863" s="4" t="n"/>
      <c r="D863" s="4" t="n"/>
      <c r="E863" s="8" t="n"/>
      <c r="F863" s="9" t="n"/>
      <c r="G863" s="7" t="n"/>
      <c r="H863" s="10">
        <f>IF($A863="","",IFERROR(VLOOKUP($A863,Clientes!$A$3:$C$1002,2,0),"NÃO CADASTRADO"))</f>
        <v/>
      </c>
      <c r="I863" s="11">
        <f>IF($A863="","",IFERROR(VLOOKUP($A863,Clientes!$A$3:$C$1002,3,0),"NÃO CADASTRADO"))</f>
        <v/>
      </c>
      <c r="J863" s="7">
        <f>IF($A863="","",IF($A863='Carteira do Cliente'!$B$4,COUNTIF($A$3:$A863,'Carteira do Cliente'!$B$4),""))</f>
        <v/>
      </c>
    </row>
    <row r="864">
      <c r="A864" s="5" t="n"/>
      <c r="B864" s="12" t="n"/>
      <c r="C864" s="6" t="n"/>
      <c r="D864" s="6" t="n"/>
      <c r="E864" s="13" t="n"/>
      <c r="F864" s="14" t="n"/>
      <c r="G864" s="12" t="n"/>
      <c r="H864" s="15">
        <f>IF($A864="","",IFERROR(VLOOKUP($A864,Clientes!$A$3:$C$1002,2,0),"NÃO CADASTRADO"))</f>
        <v/>
      </c>
      <c r="I864" s="16">
        <f>IF($A864="","",IFERROR(VLOOKUP($A864,Clientes!$A$3:$C$1002,3,0),"NÃO CADASTRADO"))</f>
        <v/>
      </c>
      <c r="J864" s="12">
        <f>IF($A864="","",IF($A864='Carteira do Cliente'!$B$4,COUNTIF($A$3:$A864,'Carteira do Cliente'!$B$4),""))</f>
        <v/>
      </c>
    </row>
    <row r="865">
      <c r="A865" s="3" t="n"/>
      <c r="B865" s="7" t="n"/>
      <c r="C865" s="4" t="n"/>
      <c r="D865" s="4" t="n"/>
      <c r="E865" s="8" t="n"/>
      <c r="F865" s="9" t="n"/>
      <c r="G865" s="7" t="n"/>
      <c r="H865" s="10">
        <f>IF($A865="","",IFERROR(VLOOKUP($A865,Clientes!$A$3:$C$1002,2,0),"NÃO CADASTRADO"))</f>
        <v/>
      </c>
      <c r="I865" s="11">
        <f>IF($A865="","",IFERROR(VLOOKUP($A865,Clientes!$A$3:$C$1002,3,0),"NÃO CADASTRADO"))</f>
        <v/>
      </c>
      <c r="J865" s="7">
        <f>IF($A865="","",IF($A865='Carteira do Cliente'!$B$4,COUNTIF($A$3:$A865,'Carteira do Cliente'!$B$4),""))</f>
        <v/>
      </c>
    </row>
    <row r="866">
      <c r="A866" s="5" t="n"/>
      <c r="B866" s="12" t="n"/>
      <c r="C866" s="6" t="n"/>
      <c r="D866" s="6" t="n"/>
      <c r="E866" s="13" t="n"/>
      <c r="F866" s="14" t="n"/>
      <c r="G866" s="12" t="n"/>
      <c r="H866" s="15">
        <f>IF($A866="","",IFERROR(VLOOKUP($A866,Clientes!$A$3:$C$1002,2,0),"NÃO CADASTRADO"))</f>
        <v/>
      </c>
      <c r="I866" s="16">
        <f>IF($A866="","",IFERROR(VLOOKUP($A866,Clientes!$A$3:$C$1002,3,0),"NÃO CADASTRADO"))</f>
        <v/>
      </c>
      <c r="J866" s="12">
        <f>IF($A866="","",IF($A866='Carteira do Cliente'!$B$4,COUNTIF($A$3:$A866,'Carteira do Cliente'!$B$4),""))</f>
        <v/>
      </c>
    </row>
    <row r="867">
      <c r="A867" s="3" t="n"/>
      <c r="B867" s="7" t="n"/>
      <c r="C867" s="4" t="n"/>
      <c r="D867" s="4" t="n"/>
      <c r="E867" s="8" t="n"/>
      <c r="F867" s="9" t="n"/>
      <c r="G867" s="7" t="n"/>
      <c r="H867" s="10">
        <f>IF($A867="","",IFERROR(VLOOKUP($A867,Clientes!$A$3:$C$1002,2,0),"NÃO CADASTRADO"))</f>
        <v/>
      </c>
      <c r="I867" s="11">
        <f>IF($A867="","",IFERROR(VLOOKUP($A867,Clientes!$A$3:$C$1002,3,0),"NÃO CADASTRADO"))</f>
        <v/>
      </c>
      <c r="J867" s="7">
        <f>IF($A867="","",IF($A867='Carteira do Cliente'!$B$4,COUNTIF($A$3:$A867,'Carteira do Cliente'!$B$4),""))</f>
        <v/>
      </c>
    </row>
    <row r="868">
      <c r="A868" s="5" t="n"/>
      <c r="B868" s="12" t="n"/>
      <c r="C868" s="6" t="n"/>
      <c r="D868" s="6" t="n"/>
      <c r="E868" s="13" t="n"/>
      <c r="F868" s="14" t="n"/>
      <c r="G868" s="12" t="n"/>
      <c r="H868" s="15">
        <f>IF($A868="","",IFERROR(VLOOKUP($A868,Clientes!$A$3:$C$1002,2,0),"NÃO CADASTRADO"))</f>
        <v/>
      </c>
      <c r="I868" s="16">
        <f>IF($A868="","",IFERROR(VLOOKUP($A868,Clientes!$A$3:$C$1002,3,0),"NÃO CADASTRADO"))</f>
        <v/>
      </c>
      <c r="J868" s="12">
        <f>IF($A868="","",IF($A868='Carteira do Cliente'!$B$4,COUNTIF($A$3:$A868,'Carteira do Cliente'!$B$4),""))</f>
        <v/>
      </c>
    </row>
    <row r="869">
      <c r="A869" s="3" t="n"/>
      <c r="B869" s="7" t="n"/>
      <c r="C869" s="4" t="n"/>
      <c r="D869" s="4" t="n"/>
      <c r="E869" s="8" t="n"/>
      <c r="F869" s="9" t="n"/>
      <c r="G869" s="7" t="n"/>
      <c r="H869" s="10">
        <f>IF($A869="","",IFERROR(VLOOKUP($A869,Clientes!$A$3:$C$1002,2,0),"NÃO CADASTRADO"))</f>
        <v/>
      </c>
      <c r="I869" s="11">
        <f>IF($A869="","",IFERROR(VLOOKUP($A869,Clientes!$A$3:$C$1002,3,0),"NÃO CADASTRADO"))</f>
        <v/>
      </c>
      <c r="J869" s="7">
        <f>IF($A869="","",IF($A869='Carteira do Cliente'!$B$4,COUNTIF($A$3:$A869,'Carteira do Cliente'!$B$4),""))</f>
        <v/>
      </c>
    </row>
    <row r="870">
      <c r="A870" s="5" t="n"/>
      <c r="B870" s="12" t="n"/>
      <c r="C870" s="6" t="n"/>
      <c r="D870" s="6" t="n"/>
      <c r="E870" s="13" t="n"/>
      <c r="F870" s="14" t="n"/>
      <c r="G870" s="12" t="n"/>
      <c r="H870" s="15">
        <f>IF($A870="","",IFERROR(VLOOKUP($A870,Clientes!$A$3:$C$1002,2,0),"NÃO CADASTRADO"))</f>
        <v/>
      </c>
      <c r="I870" s="16">
        <f>IF($A870="","",IFERROR(VLOOKUP($A870,Clientes!$A$3:$C$1002,3,0),"NÃO CADASTRADO"))</f>
        <v/>
      </c>
      <c r="J870" s="12">
        <f>IF($A870="","",IF($A870='Carteira do Cliente'!$B$4,COUNTIF($A$3:$A870,'Carteira do Cliente'!$B$4),""))</f>
        <v/>
      </c>
    </row>
    <row r="871">
      <c r="A871" s="3" t="n"/>
      <c r="B871" s="7" t="n"/>
      <c r="C871" s="4" t="n"/>
      <c r="D871" s="4" t="n"/>
      <c r="E871" s="8" t="n"/>
      <c r="F871" s="9" t="n"/>
      <c r="G871" s="7" t="n"/>
      <c r="H871" s="10">
        <f>IF($A871="","",IFERROR(VLOOKUP($A871,Clientes!$A$3:$C$1002,2,0),"NÃO CADASTRADO"))</f>
        <v/>
      </c>
      <c r="I871" s="11">
        <f>IF($A871="","",IFERROR(VLOOKUP($A871,Clientes!$A$3:$C$1002,3,0),"NÃO CADASTRADO"))</f>
        <v/>
      </c>
      <c r="J871" s="7">
        <f>IF($A871="","",IF($A871='Carteira do Cliente'!$B$4,COUNTIF($A$3:$A871,'Carteira do Cliente'!$B$4),""))</f>
        <v/>
      </c>
    </row>
    <row r="872">
      <c r="A872" s="5" t="n"/>
      <c r="B872" s="12" t="n"/>
      <c r="C872" s="6" t="n"/>
      <c r="D872" s="6" t="n"/>
      <c r="E872" s="13" t="n"/>
      <c r="F872" s="14" t="n"/>
      <c r="G872" s="12" t="n"/>
      <c r="H872" s="15">
        <f>IF($A872="","",IFERROR(VLOOKUP($A872,Clientes!$A$3:$C$1002,2,0),"NÃO CADASTRADO"))</f>
        <v/>
      </c>
      <c r="I872" s="16">
        <f>IF($A872="","",IFERROR(VLOOKUP($A872,Clientes!$A$3:$C$1002,3,0),"NÃO CADASTRADO"))</f>
        <v/>
      </c>
      <c r="J872" s="12">
        <f>IF($A872="","",IF($A872='Carteira do Cliente'!$B$4,COUNTIF($A$3:$A872,'Carteira do Cliente'!$B$4),""))</f>
        <v/>
      </c>
    </row>
    <row r="873">
      <c r="A873" s="3" t="n"/>
      <c r="B873" s="7" t="n"/>
      <c r="C873" s="4" t="n"/>
      <c r="D873" s="4" t="n"/>
      <c r="E873" s="8" t="n"/>
      <c r="F873" s="9" t="n"/>
      <c r="G873" s="7" t="n"/>
      <c r="H873" s="10">
        <f>IF($A873="","",IFERROR(VLOOKUP($A873,Clientes!$A$3:$C$1002,2,0),"NÃO CADASTRADO"))</f>
        <v/>
      </c>
      <c r="I873" s="11">
        <f>IF($A873="","",IFERROR(VLOOKUP($A873,Clientes!$A$3:$C$1002,3,0),"NÃO CADASTRADO"))</f>
        <v/>
      </c>
      <c r="J873" s="7">
        <f>IF($A873="","",IF($A873='Carteira do Cliente'!$B$4,COUNTIF($A$3:$A873,'Carteira do Cliente'!$B$4),""))</f>
        <v/>
      </c>
    </row>
    <row r="874">
      <c r="A874" s="5" t="n"/>
      <c r="B874" s="12" t="n"/>
      <c r="C874" s="6" t="n"/>
      <c r="D874" s="6" t="n"/>
      <c r="E874" s="13" t="n"/>
      <c r="F874" s="14" t="n"/>
      <c r="G874" s="12" t="n"/>
      <c r="H874" s="15">
        <f>IF($A874="","",IFERROR(VLOOKUP($A874,Clientes!$A$3:$C$1002,2,0),"NÃO CADASTRADO"))</f>
        <v/>
      </c>
      <c r="I874" s="16">
        <f>IF($A874="","",IFERROR(VLOOKUP($A874,Clientes!$A$3:$C$1002,3,0),"NÃO CADASTRADO"))</f>
        <v/>
      </c>
      <c r="J874" s="12">
        <f>IF($A874="","",IF($A874='Carteira do Cliente'!$B$4,COUNTIF($A$3:$A874,'Carteira do Cliente'!$B$4),""))</f>
        <v/>
      </c>
    </row>
    <row r="875">
      <c r="A875" s="3" t="n"/>
      <c r="B875" s="7" t="n"/>
      <c r="C875" s="4" t="n"/>
      <c r="D875" s="4" t="n"/>
      <c r="E875" s="8" t="n"/>
      <c r="F875" s="9" t="n"/>
      <c r="G875" s="7" t="n"/>
      <c r="H875" s="10">
        <f>IF($A875="","",IFERROR(VLOOKUP($A875,Clientes!$A$3:$C$1002,2,0),"NÃO CADASTRADO"))</f>
        <v/>
      </c>
      <c r="I875" s="11">
        <f>IF($A875="","",IFERROR(VLOOKUP($A875,Clientes!$A$3:$C$1002,3,0),"NÃO CADASTRADO"))</f>
        <v/>
      </c>
      <c r="J875" s="7">
        <f>IF($A875="","",IF($A875='Carteira do Cliente'!$B$4,COUNTIF($A$3:$A875,'Carteira do Cliente'!$B$4),""))</f>
        <v/>
      </c>
    </row>
    <row r="876">
      <c r="A876" s="5" t="n"/>
      <c r="B876" s="12" t="n"/>
      <c r="C876" s="6" t="n"/>
      <c r="D876" s="6" t="n"/>
      <c r="E876" s="13" t="n"/>
      <c r="F876" s="14" t="n"/>
      <c r="G876" s="12" t="n"/>
      <c r="H876" s="15">
        <f>IF($A876="","",IFERROR(VLOOKUP($A876,Clientes!$A$3:$C$1002,2,0),"NÃO CADASTRADO"))</f>
        <v/>
      </c>
      <c r="I876" s="16">
        <f>IF($A876="","",IFERROR(VLOOKUP($A876,Clientes!$A$3:$C$1002,3,0),"NÃO CADASTRADO"))</f>
        <v/>
      </c>
      <c r="J876" s="12">
        <f>IF($A876="","",IF($A876='Carteira do Cliente'!$B$4,COUNTIF($A$3:$A876,'Carteira do Cliente'!$B$4),""))</f>
        <v/>
      </c>
    </row>
    <row r="877">
      <c r="A877" s="3" t="n"/>
      <c r="B877" s="7" t="n"/>
      <c r="C877" s="4" t="n"/>
      <c r="D877" s="4" t="n"/>
      <c r="E877" s="8" t="n"/>
      <c r="F877" s="9" t="n"/>
      <c r="G877" s="7" t="n"/>
      <c r="H877" s="10">
        <f>IF($A877="","",IFERROR(VLOOKUP($A877,Clientes!$A$3:$C$1002,2,0),"NÃO CADASTRADO"))</f>
        <v/>
      </c>
      <c r="I877" s="11">
        <f>IF($A877="","",IFERROR(VLOOKUP($A877,Clientes!$A$3:$C$1002,3,0),"NÃO CADASTRADO"))</f>
        <v/>
      </c>
      <c r="J877" s="7">
        <f>IF($A877="","",IF($A877='Carteira do Cliente'!$B$4,COUNTIF($A$3:$A877,'Carteira do Cliente'!$B$4),""))</f>
        <v/>
      </c>
    </row>
    <row r="878">
      <c r="A878" s="5" t="n"/>
      <c r="B878" s="12" t="n"/>
      <c r="C878" s="6" t="n"/>
      <c r="D878" s="6" t="n"/>
      <c r="E878" s="13" t="n"/>
      <c r="F878" s="14" t="n"/>
      <c r="G878" s="12" t="n"/>
      <c r="H878" s="15">
        <f>IF($A878="","",IFERROR(VLOOKUP($A878,Clientes!$A$3:$C$1002,2,0),"NÃO CADASTRADO"))</f>
        <v/>
      </c>
      <c r="I878" s="16">
        <f>IF($A878="","",IFERROR(VLOOKUP($A878,Clientes!$A$3:$C$1002,3,0),"NÃO CADASTRADO"))</f>
        <v/>
      </c>
      <c r="J878" s="12">
        <f>IF($A878="","",IF($A878='Carteira do Cliente'!$B$4,COUNTIF($A$3:$A878,'Carteira do Cliente'!$B$4),""))</f>
        <v/>
      </c>
    </row>
    <row r="879">
      <c r="A879" s="3" t="n"/>
      <c r="B879" s="7" t="n"/>
      <c r="C879" s="4" t="n"/>
      <c r="D879" s="4" t="n"/>
      <c r="E879" s="8" t="n"/>
      <c r="F879" s="9" t="n"/>
      <c r="G879" s="7" t="n"/>
      <c r="H879" s="10">
        <f>IF($A879="","",IFERROR(VLOOKUP($A879,Clientes!$A$3:$C$1002,2,0),"NÃO CADASTRADO"))</f>
        <v/>
      </c>
      <c r="I879" s="11">
        <f>IF($A879="","",IFERROR(VLOOKUP($A879,Clientes!$A$3:$C$1002,3,0),"NÃO CADASTRADO"))</f>
        <v/>
      </c>
      <c r="J879" s="7">
        <f>IF($A879="","",IF($A879='Carteira do Cliente'!$B$4,COUNTIF($A$3:$A879,'Carteira do Cliente'!$B$4),""))</f>
        <v/>
      </c>
    </row>
    <row r="880">
      <c r="A880" s="5" t="n"/>
      <c r="B880" s="12" t="n"/>
      <c r="C880" s="6" t="n"/>
      <c r="D880" s="6" t="n"/>
      <c r="E880" s="13" t="n"/>
      <c r="F880" s="14" t="n"/>
      <c r="G880" s="12" t="n"/>
      <c r="H880" s="15">
        <f>IF($A880="","",IFERROR(VLOOKUP($A880,Clientes!$A$3:$C$1002,2,0),"NÃO CADASTRADO"))</f>
        <v/>
      </c>
      <c r="I880" s="16">
        <f>IF($A880="","",IFERROR(VLOOKUP($A880,Clientes!$A$3:$C$1002,3,0),"NÃO CADASTRADO"))</f>
        <v/>
      </c>
      <c r="J880" s="12">
        <f>IF($A880="","",IF($A880='Carteira do Cliente'!$B$4,COUNTIF($A$3:$A880,'Carteira do Cliente'!$B$4),""))</f>
        <v/>
      </c>
    </row>
    <row r="881">
      <c r="A881" s="3" t="n"/>
      <c r="B881" s="7" t="n"/>
      <c r="C881" s="4" t="n"/>
      <c r="D881" s="4" t="n"/>
      <c r="E881" s="8" t="n"/>
      <c r="F881" s="9" t="n"/>
      <c r="G881" s="7" t="n"/>
      <c r="H881" s="10">
        <f>IF($A881="","",IFERROR(VLOOKUP($A881,Clientes!$A$3:$C$1002,2,0),"NÃO CADASTRADO"))</f>
        <v/>
      </c>
      <c r="I881" s="11">
        <f>IF($A881="","",IFERROR(VLOOKUP($A881,Clientes!$A$3:$C$1002,3,0),"NÃO CADASTRADO"))</f>
        <v/>
      </c>
      <c r="J881" s="7">
        <f>IF($A881="","",IF($A881='Carteira do Cliente'!$B$4,COUNTIF($A$3:$A881,'Carteira do Cliente'!$B$4),""))</f>
        <v/>
      </c>
    </row>
    <row r="882">
      <c r="A882" s="5" t="n"/>
      <c r="B882" s="12" t="n"/>
      <c r="C882" s="6" t="n"/>
      <c r="D882" s="6" t="n"/>
      <c r="E882" s="13" t="n"/>
      <c r="F882" s="14" t="n"/>
      <c r="G882" s="12" t="n"/>
      <c r="H882" s="15">
        <f>IF($A882="","",IFERROR(VLOOKUP($A882,Clientes!$A$3:$C$1002,2,0),"NÃO CADASTRADO"))</f>
        <v/>
      </c>
      <c r="I882" s="16">
        <f>IF($A882="","",IFERROR(VLOOKUP($A882,Clientes!$A$3:$C$1002,3,0),"NÃO CADASTRADO"))</f>
        <v/>
      </c>
      <c r="J882" s="12">
        <f>IF($A882="","",IF($A882='Carteira do Cliente'!$B$4,COUNTIF($A$3:$A882,'Carteira do Cliente'!$B$4),""))</f>
        <v/>
      </c>
    </row>
    <row r="883">
      <c r="A883" s="3" t="n"/>
      <c r="B883" s="7" t="n"/>
      <c r="C883" s="4" t="n"/>
      <c r="D883" s="4" t="n"/>
      <c r="E883" s="8" t="n"/>
      <c r="F883" s="9" t="n"/>
      <c r="G883" s="7" t="n"/>
      <c r="H883" s="10">
        <f>IF($A883="","",IFERROR(VLOOKUP($A883,Clientes!$A$3:$C$1002,2,0),"NÃO CADASTRADO"))</f>
        <v/>
      </c>
      <c r="I883" s="11">
        <f>IF($A883="","",IFERROR(VLOOKUP($A883,Clientes!$A$3:$C$1002,3,0),"NÃO CADASTRADO"))</f>
        <v/>
      </c>
      <c r="J883" s="7">
        <f>IF($A883="","",IF($A883='Carteira do Cliente'!$B$4,COUNTIF($A$3:$A883,'Carteira do Cliente'!$B$4),""))</f>
        <v/>
      </c>
    </row>
    <row r="884">
      <c r="A884" s="5" t="n"/>
      <c r="B884" s="12" t="n"/>
      <c r="C884" s="6" t="n"/>
      <c r="D884" s="6" t="n"/>
      <c r="E884" s="13" t="n"/>
      <c r="F884" s="14" t="n"/>
      <c r="G884" s="12" t="n"/>
      <c r="H884" s="15">
        <f>IF($A884="","",IFERROR(VLOOKUP($A884,Clientes!$A$3:$C$1002,2,0),"NÃO CADASTRADO"))</f>
        <v/>
      </c>
      <c r="I884" s="16">
        <f>IF($A884="","",IFERROR(VLOOKUP($A884,Clientes!$A$3:$C$1002,3,0),"NÃO CADASTRADO"))</f>
        <v/>
      </c>
      <c r="J884" s="12">
        <f>IF($A884="","",IF($A884='Carteira do Cliente'!$B$4,COUNTIF($A$3:$A884,'Carteira do Cliente'!$B$4),""))</f>
        <v/>
      </c>
    </row>
    <row r="885">
      <c r="A885" s="3" t="n"/>
      <c r="B885" s="7" t="n"/>
      <c r="C885" s="4" t="n"/>
      <c r="D885" s="4" t="n"/>
      <c r="E885" s="8" t="n"/>
      <c r="F885" s="9" t="n"/>
      <c r="G885" s="7" t="n"/>
      <c r="H885" s="10">
        <f>IF($A885="","",IFERROR(VLOOKUP($A885,Clientes!$A$3:$C$1002,2,0),"NÃO CADASTRADO"))</f>
        <v/>
      </c>
      <c r="I885" s="11">
        <f>IF($A885="","",IFERROR(VLOOKUP($A885,Clientes!$A$3:$C$1002,3,0),"NÃO CADASTRADO"))</f>
        <v/>
      </c>
      <c r="J885" s="7">
        <f>IF($A885="","",IF($A885='Carteira do Cliente'!$B$4,COUNTIF($A$3:$A885,'Carteira do Cliente'!$B$4),""))</f>
        <v/>
      </c>
    </row>
    <row r="886">
      <c r="A886" s="5" t="n"/>
      <c r="B886" s="12" t="n"/>
      <c r="C886" s="6" t="n"/>
      <c r="D886" s="6" t="n"/>
      <c r="E886" s="13" t="n"/>
      <c r="F886" s="14" t="n"/>
      <c r="G886" s="12" t="n"/>
      <c r="H886" s="15">
        <f>IF($A886="","",IFERROR(VLOOKUP($A886,Clientes!$A$3:$C$1002,2,0),"NÃO CADASTRADO"))</f>
        <v/>
      </c>
      <c r="I886" s="16">
        <f>IF($A886="","",IFERROR(VLOOKUP($A886,Clientes!$A$3:$C$1002,3,0),"NÃO CADASTRADO"))</f>
        <v/>
      </c>
      <c r="J886" s="12">
        <f>IF($A886="","",IF($A886='Carteira do Cliente'!$B$4,COUNTIF($A$3:$A886,'Carteira do Cliente'!$B$4),""))</f>
        <v/>
      </c>
    </row>
    <row r="887">
      <c r="A887" s="3" t="n"/>
      <c r="B887" s="7" t="n"/>
      <c r="C887" s="4" t="n"/>
      <c r="D887" s="4" t="n"/>
      <c r="E887" s="8" t="n"/>
      <c r="F887" s="9" t="n"/>
      <c r="G887" s="7" t="n"/>
      <c r="H887" s="10">
        <f>IF($A887="","",IFERROR(VLOOKUP($A887,Clientes!$A$3:$C$1002,2,0),"NÃO CADASTRADO"))</f>
        <v/>
      </c>
      <c r="I887" s="11">
        <f>IF($A887="","",IFERROR(VLOOKUP($A887,Clientes!$A$3:$C$1002,3,0),"NÃO CADASTRADO"))</f>
        <v/>
      </c>
      <c r="J887" s="7">
        <f>IF($A887="","",IF($A887='Carteira do Cliente'!$B$4,COUNTIF($A$3:$A887,'Carteira do Cliente'!$B$4),""))</f>
        <v/>
      </c>
    </row>
    <row r="888">
      <c r="A888" s="5" t="n"/>
      <c r="B888" s="12" t="n"/>
      <c r="C888" s="6" t="n"/>
      <c r="D888" s="6" t="n"/>
      <c r="E888" s="13" t="n"/>
      <c r="F888" s="14" t="n"/>
      <c r="G888" s="12" t="n"/>
      <c r="H888" s="15">
        <f>IF($A888="","",IFERROR(VLOOKUP($A888,Clientes!$A$3:$C$1002,2,0),"NÃO CADASTRADO"))</f>
        <v/>
      </c>
      <c r="I888" s="16">
        <f>IF($A888="","",IFERROR(VLOOKUP($A888,Clientes!$A$3:$C$1002,3,0),"NÃO CADASTRADO"))</f>
        <v/>
      </c>
      <c r="J888" s="12">
        <f>IF($A888="","",IF($A888='Carteira do Cliente'!$B$4,COUNTIF($A$3:$A888,'Carteira do Cliente'!$B$4),""))</f>
        <v/>
      </c>
    </row>
    <row r="889">
      <c r="A889" s="3" t="n"/>
      <c r="B889" s="7" t="n"/>
      <c r="C889" s="4" t="n"/>
      <c r="D889" s="4" t="n"/>
      <c r="E889" s="8" t="n"/>
      <c r="F889" s="9" t="n"/>
      <c r="G889" s="7" t="n"/>
      <c r="H889" s="10">
        <f>IF($A889="","",IFERROR(VLOOKUP($A889,Clientes!$A$3:$C$1002,2,0),"NÃO CADASTRADO"))</f>
        <v/>
      </c>
      <c r="I889" s="11">
        <f>IF($A889="","",IFERROR(VLOOKUP($A889,Clientes!$A$3:$C$1002,3,0),"NÃO CADASTRADO"))</f>
        <v/>
      </c>
      <c r="J889" s="7">
        <f>IF($A889="","",IF($A889='Carteira do Cliente'!$B$4,COUNTIF($A$3:$A889,'Carteira do Cliente'!$B$4),""))</f>
        <v/>
      </c>
    </row>
    <row r="890">
      <c r="A890" s="5" t="n"/>
      <c r="B890" s="12" t="n"/>
      <c r="C890" s="6" t="n"/>
      <c r="D890" s="6" t="n"/>
      <c r="E890" s="13" t="n"/>
      <c r="F890" s="14" t="n"/>
      <c r="G890" s="12" t="n"/>
      <c r="H890" s="15">
        <f>IF($A890="","",IFERROR(VLOOKUP($A890,Clientes!$A$3:$C$1002,2,0),"NÃO CADASTRADO"))</f>
        <v/>
      </c>
      <c r="I890" s="16">
        <f>IF($A890="","",IFERROR(VLOOKUP($A890,Clientes!$A$3:$C$1002,3,0),"NÃO CADASTRADO"))</f>
        <v/>
      </c>
      <c r="J890" s="12">
        <f>IF($A890="","",IF($A890='Carteira do Cliente'!$B$4,COUNTIF($A$3:$A890,'Carteira do Cliente'!$B$4),""))</f>
        <v/>
      </c>
    </row>
    <row r="891">
      <c r="A891" s="3" t="n"/>
      <c r="B891" s="7" t="n"/>
      <c r="C891" s="4" t="n"/>
      <c r="D891" s="4" t="n"/>
      <c r="E891" s="8" t="n"/>
      <c r="F891" s="9" t="n"/>
      <c r="G891" s="7" t="n"/>
      <c r="H891" s="10">
        <f>IF($A891="","",IFERROR(VLOOKUP($A891,Clientes!$A$3:$C$1002,2,0),"NÃO CADASTRADO"))</f>
        <v/>
      </c>
      <c r="I891" s="11">
        <f>IF($A891="","",IFERROR(VLOOKUP($A891,Clientes!$A$3:$C$1002,3,0),"NÃO CADASTRADO"))</f>
        <v/>
      </c>
      <c r="J891" s="7">
        <f>IF($A891="","",IF($A891='Carteira do Cliente'!$B$4,COUNTIF($A$3:$A891,'Carteira do Cliente'!$B$4),""))</f>
        <v/>
      </c>
    </row>
    <row r="892">
      <c r="A892" s="5" t="n"/>
      <c r="B892" s="12" t="n"/>
      <c r="C892" s="6" t="n"/>
      <c r="D892" s="6" t="n"/>
      <c r="E892" s="13" t="n"/>
      <c r="F892" s="14" t="n"/>
      <c r="G892" s="12" t="n"/>
      <c r="H892" s="15">
        <f>IF($A892="","",IFERROR(VLOOKUP($A892,Clientes!$A$3:$C$1002,2,0),"NÃO CADASTRADO"))</f>
        <v/>
      </c>
      <c r="I892" s="16">
        <f>IF($A892="","",IFERROR(VLOOKUP($A892,Clientes!$A$3:$C$1002,3,0),"NÃO CADASTRADO"))</f>
        <v/>
      </c>
      <c r="J892" s="12">
        <f>IF($A892="","",IF($A892='Carteira do Cliente'!$B$4,COUNTIF($A$3:$A892,'Carteira do Cliente'!$B$4),""))</f>
        <v/>
      </c>
    </row>
    <row r="893">
      <c r="A893" s="3" t="n"/>
      <c r="B893" s="7" t="n"/>
      <c r="C893" s="4" t="n"/>
      <c r="D893" s="4" t="n"/>
      <c r="E893" s="8" t="n"/>
      <c r="F893" s="9" t="n"/>
      <c r="G893" s="7" t="n"/>
      <c r="H893" s="10">
        <f>IF($A893="","",IFERROR(VLOOKUP($A893,Clientes!$A$3:$C$1002,2,0),"NÃO CADASTRADO"))</f>
        <v/>
      </c>
      <c r="I893" s="11">
        <f>IF($A893="","",IFERROR(VLOOKUP($A893,Clientes!$A$3:$C$1002,3,0),"NÃO CADASTRADO"))</f>
        <v/>
      </c>
      <c r="J893" s="7">
        <f>IF($A893="","",IF($A893='Carteira do Cliente'!$B$4,COUNTIF($A$3:$A893,'Carteira do Cliente'!$B$4),""))</f>
        <v/>
      </c>
    </row>
    <row r="894">
      <c r="A894" s="5" t="n"/>
      <c r="B894" s="12" t="n"/>
      <c r="C894" s="6" t="n"/>
      <c r="D894" s="6" t="n"/>
      <c r="E894" s="13" t="n"/>
      <c r="F894" s="14" t="n"/>
      <c r="G894" s="12" t="n"/>
      <c r="H894" s="15">
        <f>IF($A894="","",IFERROR(VLOOKUP($A894,Clientes!$A$3:$C$1002,2,0),"NÃO CADASTRADO"))</f>
        <v/>
      </c>
      <c r="I894" s="16">
        <f>IF($A894="","",IFERROR(VLOOKUP($A894,Clientes!$A$3:$C$1002,3,0),"NÃO CADASTRADO"))</f>
        <v/>
      </c>
      <c r="J894" s="12">
        <f>IF($A894="","",IF($A894='Carteira do Cliente'!$B$4,COUNTIF($A$3:$A894,'Carteira do Cliente'!$B$4),""))</f>
        <v/>
      </c>
    </row>
    <row r="895">
      <c r="A895" s="3" t="n"/>
      <c r="B895" s="7" t="n"/>
      <c r="C895" s="4" t="n"/>
      <c r="D895" s="4" t="n"/>
      <c r="E895" s="8" t="n"/>
      <c r="F895" s="9" t="n"/>
      <c r="G895" s="7" t="n"/>
      <c r="H895" s="10">
        <f>IF($A895="","",IFERROR(VLOOKUP($A895,Clientes!$A$3:$C$1002,2,0),"NÃO CADASTRADO"))</f>
        <v/>
      </c>
      <c r="I895" s="11">
        <f>IF($A895="","",IFERROR(VLOOKUP($A895,Clientes!$A$3:$C$1002,3,0),"NÃO CADASTRADO"))</f>
        <v/>
      </c>
      <c r="J895" s="7">
        <f>IF($A895="","",IF($A895='Carteira do Cliente'!$B$4,COUNTIF($A$3:$A895,'Carteira do Cliente'!$B$4),""))</f>
        <v/>
      </c>
    </row>
    <row r="896">
      <c r="A896" s="5" t="n"/>
      <c r="B896" s="12" t="n"/>
      <c r="C896" s="6" t="n"/>
      <c r="D896" s="6" t="n"/>
      <c r="E896" s="13" t="n"/>
      <c r="F896" s="14" t="n"/>
      <c r="G896" s="12" t="n"/>
      <c r="H896" s="15">
        <f>IF($A896="","",IFERROR(VLOOKUP($A896,Clientes!$A$3:$C$1002,2,0),"NÃO CADASTRADO"))</f>
        <v/>
      </c>
      <c r="I896" s="16">
        <f>IF($A896="","",IFERROR(VLOOKUP($A896,Clientes!$A$3:$C$1002,3,0),"NÃO CADASTRADO"))</f>
        <v/>
      </c>
      <c r="J896" s="12">
        <f>IF($A896="","",IF($A896='Carteira do Cliente'!$B$4,COUNTIF($A$3:$A896,'Carteira do Cliente'!$B$4),""))</f>
        <v/>
      </c>
    </row>
    <row r="897">
      <c r="A897" s="3" t="n"/>
      <c r="B897" s="7" t="n"/>
      <c r="C897" s="4" t="n"/>
      <c r="D897" s="4" t="n"/>
      <c r="E897" s="8" t="n"/>
      <c r="F897" s="9" t="n"/>
      <c r="G897" s="7" t="n"/>
      <c r="H897" s="10">
        <f>IF($A897="","",IFERROR(VLOOKUP($A897,Clientes!$A$3:$C$1002,2,0),"NÃO CADASTRADO"))</f>
        <v/>
      </c>
      <c r="I897" s="11">
        <f>IF($A897="","",IFERROR(VLOOKUP($A897,Clientes!$A$3:$C$1002,3,0),"NÃO CADASTRADO"))</f>
        <v/>
      </c>
      <c r="J897" s="7">
        <f>IF($A897="","",IF($A897='Carteira do Cliente'!$B$4,COUNTIF($A$3:$A897,'Carteira do Cliente'!$B$4),""))</f>
        <v/>
      </c>
    </row>
    <row r="898">
      <c r="A898" s="5" t="n"/>
      <c r="B898" s="12" t="n"/>
      <c r="C898" s="6" t="n"/>
      <c r="D898" s="6" t="n"/>
      <c r="E898" s="13" t="n"/>
      <c r="F898" s="14" t="n"/>
      <c r="G898" s="12" t="n"/>
      <c r="H898" s="15">
        <f>IF($A898="","",IFERROR(VLOOKUP($A898,Clientes!$A$3:$C$1002,2,0),"NÃO CADASTRADO"))</f>
        <v/>
      </c>
      <c r="I898" s="16">
        <f>IF($A898="","",IFERROR(VLOOKUP($A898,Clientes!$A$3:$C$1002,3,0),"NÃO CADASTRADO"))</f>
        <v/>
      </c>
      <c r="J898" s="12">
        <f>IF($A898="","",IF($A898='Carteira do Cliente'!$B$4,COUNTIF($A$3:$A898,'Carteira do Cliente'!$B$4),""))</f>
        <v/>
      </c>
    </row>
    <row r="899">
      <c r="A899" s="3" t="n"/>
      <c r="B899" s="7" t="n"/>
      <c r="C899" s="4" t="n"/>
      <c r="D899" s="4" t="n"/>
      <c r="E899" s="8" t="n"/>
      <c r="F899" s="9" t="n"/>
      <c r="G899" s="7" t="n"/>
      <c r="H899" s="10">
        <f>IF($A899="","",IFERROR(VLOOKUP($A899,Clientes!$A$3:$C$1002,2,0),"NÃO CADASTRADO"))</f>
        <v/>
      </c>
      <c r="I899" s="11">
        <f>IF($A899="","",IFERROR(VLOOKUP($A899,Clientes!$A$3:$C$1002,3,0),"NÃO CADASTRADO"))</f>
        <v/>
      </c>
      <c r="J899" s="7">
        <f>IF($A899="","",IF($A899='Carteira do Cliente'!$B$4,COUNTIF($A$3:$A899,'Carteira do Cliente'!$B$4),""))</f>
        <v/>
      </c>
    </row>
    <row r="900">
      <c r="A900" s="5" t="n"/>
      <c r="B900" s="12" t="n"/>
      <c r="C900" s="6" t="n"/>
      <c r="D900" s="6" t="n"/>
      <c r="E900" s="13" t="n"/>
      <c r="F900" s="14" t="n"/>
      <c r="G900" s="12" t="n"/>
      <c r="H900" s="15">
        <f>IF($A900="","",IFERROR(VLOOKUP($A900,Clientes!$A$3:$C$1002,2,0),"NÃO CADASTRADO"))</f>
        <v/>
      </c>
      <c r="I900" s="16">
        <f>IF($A900="","",IFERROR(VLOOKUP($A900,Clientes!$A$3:$C$1002,3,0),"NÃO CADASTRADO"))</f>
        <v/>
      </c>
      <c r="J900" s="12">
        <f>IF($A900="","",IF($A900='Carteira do Cliente'!$B$4,COUNTIF($A$3:$A900,'Carteira do Cliente'!$B$4),""))</f>
        <v/>
      </c>
    </row>
    <row r="901">
      <c r="A901" s="3" t="n"/>
      <c r="B901" s="7" t="n"/>
      <c r="C901" s="4" t="n"/>
      <c r="D901" s="4" t="n"/>
      <c r="E901" s="8" t="n"/>
      <c r="F901" s="9" t="n"/>
      <c r="G901" s="7" t="n"/>
      <c r="H901" s="10">
        <f>IF($A901="","",IFERROR(VLOOKUP($A901,Clientes!$A$3:$C$1002,2,0),"NÃO CADASTRADO"))</f>
        <v/>
      </c>
      <c r="I901" s="11">
        <f>IF($A901="","",IFERROR(VLOOKUP($A901,Clientes!$A$3:$C$1002,3,0),"NÃO CADASTRADO"))</f>
        <v/>
      </c>
      <c r="J901" s="7">
        <f>IF($A901="","",IF($A901='Carteira do Cliente'!$B$4,COUNTIF($A$3:$A901,'Carteira do Cliente'!$B$4),""))</f>
        <v/>
      </c>
    </row>
    <row r="902">
      <c r="A902" s="5" t="n"/>
      <c r="B902" s="12" t="n"/>
      <c r="C902" s="6" t="n"/>
      <c r="D902" s="6" t="n"/>
      <c r="E902" s="13" t="n"/>
      <c r="F902" s="14" t="n"/>
      <c r="G902" s="12" t="n"/>
      <c r="H902" s="15">
        <f>IF($A902="","",IFERROR(VLOOKUP($A902,Clientes!$A$3:$C$1002,2,0),"NÃO CADASTRADO"))</f>
        <v/>
      </c>
      <c r="I902" s="16">
        <f>IF($A902="","",IFERROR(VLOOKUP($A902,Clientes!$A$3:$C$1002,3,0),"NÃO CADASTRADO"))</f>
        <v/>
      </c>
      <c r="J902" s="12">
        <f>IF($A902="","",IF($A902='Carteira do Cliente'!$B$4,COUNTIF($A$3:$A902,'Carteira do Cliente'!$B$4),""))</f>
        <v/>
      </c>
    </row>
    <row r="903">
      <c r="A903" s="3" t="n"/>
      <c r="B903" s="7" t="n"/>
      <c r="C903" s="4" t="n"/>
      <c r="D903" s="4" t="n"/>
      <c r="E903" s="8" t="n"/>
      <c r="F903" s="9" t="n"/>
      <c r="G903" s="7" t="n"/>
      <c r="H903" s="10">
        <f>IF($A903="","",IFERROR(VLOOKUP($A903,Clientes!$A$3:$C$1002,2,0),"NÃO CADASTRADO"))</f>
        <v/>
      </c>
      <c r="I903" s="11">
        <f>IF($A903="","",IFERROR(VLOOKUP($A903,Clientes!$A$3:$C$1002,3,0),"NÃO CADASTRADO"))</f>
        <v/>
      </c>
      <c r="J903" s="7">
        <f>IF($A903="","",IF($A903='Carteira do Cliente'!$B$4,COUNTIF($A$3:$A903,'Carteira do Cliente'!$B$4),""))</f>
        <v/>
      </c>
    </row>
    <row r="904">
      <c r="A904" s="5" t="n"/>
      <c r="B904" s="12" t="n"/>
      <c r="C904" s="6" t="n"/>
      <c r="D904" s="6" t="n"/>
      <c r="E904" s="13" t="n"/>
      <c r="F904" s="14" t="n"/>
      <c r="G904" s="12" t="n"/>
      <c r="H904" s="15">
        <f>IF($A904="","",IFERROR(VLOOKUP($A904,Clientes!$A$3:$C$1002,2,0),"NÃO CADASTRADO"))</f>
        <v/>
      </c>
      <c r="I904" s="16">
        <f>IF($A904="","",IFERROR(VLOOKUP($A904,Clientes!$A$3:$C$1002,3,0),"NÃO CADASTRADO"))</f>
        <v/>
      </c>
      <c r="J904" s="12">
        <f>IF($A904="","",IF($A904='Carteira do Cliente'!$B$4,COUNTIF($A$3:$A904,'Carteira do Cliente'!$B$4),""))</f>
        <v/>
      </c>
    </row>
    <row r="905">
      <c r="A905" s="3" t="n"/>
      <c r="B905" s="7" t="n"/>
      <c r="C905" s="4" t="n"/>
      <c r="D905" s="4" t="n"/>
      <c r="E905" s="8" t="n"/>
      <c r="F905" s="9" t="n"/>
      <c r="G905" s="7" t="n"/>
      <c r="H905" s="10">
        <f>IF($A905="","",IFERROR(VLOOKUP($A905,Clientes!$A$3:$C$1002,2,0),"NÃO CADASTRADO"))</f>
        <v/>
      </c>
      <c r="I905" s="11">
        <f>IF($A905="","",IFERROR(VLOOKUP($A905,Clientes!$A$3:$C$1002,3,0),"NÃO CADASTRADO"))</f>
        <v/>
      </c>
      <c r="J905" s="7">
        <f>IF($A905="","",IF($A905='Carteira do Cliente'!$B$4,COUNTIF($A$3:$A905,'Carteira do Cliente'!$B$4),""))</f>
        <v/>
      </c>
    </row>
    <row r="906">
      <c r="A906" s="5" t="n"/>
      <c r="B906" s="12" t="n"/>
      <c r="C906" s="6" t="n"/>
      <c r="D906" s="6" t="n"/>
      <c r="E906" s="13" t="n"/>
      <c r="F906" s="14" t="n"/>
      <c r="G906" s="12" t="n"/>
      <c r="H906" s="15">
        <f>IF($A906="","",IFERROR(VLOOKUP($A906,Clientes!$A$3:$C$1002,2,0),"NÃO CADASTRADO"))</f>
        <v/>
      </c>
      <c r="I906" s="16">
        <f>IF($A906="","",IFERROR(VLOOKUP($A906,Clientes!$A$3:$C$1002,3,0),"NÃO CADASTRADO"))</f>
        <v/>
      </c>
      <c r="J906" s="12">
        <f>IF($A906="","",IF($A906='Carteira do Cliente'!$B$4,COUNTIF($A$3:$A906,'Carteira do Cliente'!$B$4),""))</f>
        <v/>
      </c>
    </row>
    <row r="907">
      <c r="A907" s="3" t="n"/>
      <c r="B907" s="7" t="n"/>
      <c r="C907" s="4" t="n"/>
      <c r="D907" s="4" t="n"/>
      <c r="E907" s="8" t="n"/>
      <c r="F907" s="9" t="n"/>
      <c r="G907" s="7" t="n"/>
      <c r="H907" s="10">
        <f>IF($A907="","",IFERROR(VLOOKUP($A907,Clientes!$A$3:$C$1002,2,0),"NÃO CADASTRADO"))</f>
        <v/>
      </c>
      <c r="I907" s="11">
        <f>IF($A907="","",IFERROR(VLOOKUP($A907,Clientes!$A$3:$C$1002,3,0),"NÃO CADASTRADO"))</f>
        <v/>
      </c>
      <c r="J907" s="7">
        <f>IF($A907="","",IF($A907='Carteira do Cliente'!$B$4,COUNTIF($A$3:$A907,'Carteira do Cliente'!$B$4),""))</f>
        <v/>
      </c>
    </row>
    <row r="908">
      <c r="A908" s="5" t="n"/>
      <c r="B908" s="12" t="n"/>
      <c r="C908" s="6" t="n"/>
      <c r="D908" s="6" t="n"/>
      <c r="E908" s="13" t="n"/>
      <c r="F908" s="14" t="n"/>
      <c r="G908" s="12" t="n"/>
      <c r="H908" s="15">
        <f>IF($A908="","",IFERROR(VLOOKUP($A908,Clientes!$A$3:$C$1002,2,0),"NÃO CADASTRADO"))</f>
        <v/>
      </c>
      <c r="I908" s="16">
        <f>IF($A908="","",IFERROR(VLOOKUP($A908,Clientes!$A$3:$C$1002,3,0),"NÃO CADASTRADO"))</f>
        <v/>
      </c>
      <c r="J908" s="12">
        <f>IF($A908="","",IF($A908='Carteira do Cliente'!$B$4,COUNTIF($A$3:$A908,'Carteira do Cliente'!$B$4),""))</f>
        <v/>
      </c>
    </row>
    <row r="909">
      <c r="A909" s="3" t="n"/>
      <c r="B909" s="7" t="n"/>
      <c r="C909" s="4" t="n"/>
      <c r="D909" s="4" t="n"/>
      <c r="E909" s="8" t="n"/>
      <c r="F909" s="9" t="n"/>
      <c r="G909" s="7" t="n"/>
      <c r="H909" s="10">
        <f>IF($A909="","",IFERROR(VLOOKUP($A909,Clientes!$A$3:$C$1002,2,0),"NÃO CADASTRADO"))</f>
        <v/>
      </c>
      <c r="I909" s="11">
        <f>IF($A909="","",IFERROR(VLOOKUP($A909,Clientes!$A$3:$C$1002,3,0),"NÃO CADASTRADO"))</f>
        <v/>
      </c>
      <c r="J909" s="7">
        <f>IF($A909="","",IF($A909='Carteira do Cliente'!$B$4,COUNTIF($A$3:$A909,'Carteira do Cliente'!$B$4),""))</f>
        <v/>
      </c>
    </row>
    <row r="910">
      <c r="A910" s="5" t="n"/>
      <c r="B910" s="12" t="n"/>
      <c r="C910" s="6" t="n"/>
      <c r="D910" s="6" t="n"/>
      <c r="E910" s="13" t="n"/>
      <c r="F910" s="14" t="n"/>
      <c r="G910" s="12" t="n"/>
      <c r="H910" s="15">
        <f>IF($A910="","",IFERROR(VLOOKUP($A910,Clientes!$A$3:$C$1002,2,0),"NÃO CADASTRADO"))</f>
        <v/>
      </c>
      <c r="I910" s="16">
        <f>IF($A910="","",IFERROR(VLOOKUP($A910,Clientes!$A$3:$C$1002,3,0),"NÃO CADASTRADO"))</f>
        <v/>
      </c>
      <c r="J910" s="12">
        <f>IF($A910="","",IF($A910='Carteira do Cliente'!$B$4,COUNTIF($A$3:$A910,'Carteira do Cliente'!$B$4),""))</f>
        <v/>
      </c>
    </row>
    <row r="911">
      <c r="A911" s="3" t="n"/>
      <c r="B911" s="7" t="n"/>
      <c r="C911" s="4" t="n"/>
      <c r="D911" s="4" t="n"/>
      <c r="E911" s="8" t="n"/>
      <c r="F911" s="9" t="n"/>
      <c r="G911" s="7" t="n"/>
      <c r="H911" s="10">
        <f>IF($A911="","",IFERROR(VLOOKUP($A911,Clientes!$A$3:$C$1002,2,0),"NÃO CADASTRADO"))</f>
        <v/>
      </c>
      <c r="I911" s="11">
        <f>IF($A911="","",IFERROR(VLOOKUP($A911,Clientes!$A$3:$C$1002,3,0),"NÃO CADASTRADO"))</f>
        <v/>
      </c>
      <c r="J911" s="7">
        <f>IF($A911="","",IF($A911='Carteira do Cliente'!$B$4,COUNTIF($A$3:$A911,'Carteira do Cliente'!$B$4),""))</f>
        <v/>
      </c>
    </row>
    <row r="912">
      <c r="A912" s="5" t="n"/>
      <c r="B912" s="12" t="n"/>
      <c r="C912" s="6" t="n"/>
      <c r="D912" s="6" t="n"/>
      <c r="E912" s="13" t="n"/>
      <c r="F912" s="14" t="n"/>
      <c r="G912" s="12" t="n"/>
      <c r="H912" s="15">
        <f>IF($A912="","",IFERROR(VLOOKUP($A912,Clientes!$A$3:$C$1002,2,0),"NÃO CADASTRADO"))</f>
        <v/>
      </c>
      <c r="I912" s="16">
        <f>IF($A912="","",IFERROR(VLOOKUP($A912,Clientes!$A$3:$C$1002,3,0),"NÃO CADASTRADO"))</f>
        <v/>
      </c>
      <c r="J912" s="12">
        <f>IF($A912="","",IF($A912='Carteira do Cliente'!$B$4,COUNTIF($A$3:$A912,'Carteira do Cliente'!$B$4),""))</f>
        <v/>
      </c>
    </row>
    <row r="913">
      <c r="A913" s="3" t="n"/>
      <c r="B913" s="7" t="n"/>
      <c r="C913" s="4" t="n"/>
      <c r="D913" s="4" t="n"/>
      <c r="E913" s="8" t="n"/>
      <c r="F913" s="9" t="n"/>
      <c r="G913" s="7" t="n"/>
      <c r="H913" s="10">
        <f>IF($A913="","",IFERROR(VLOOKUP($A913,Clientes!$A$3:$C$1002,2,0),"NÃO CADASTRADO"))</f>
        <v/>
      </c>
      <c r="I913" s="11">
        <f>IF($A913="","",IFERROR(VLOOKUP($A913,Clientes!$A$3:$C$1002,3,0),"NÃO CADASTRADO"))</f>
        <v/>
      </c>
      <c r="J913" s="7">
        <f>IF($A913="","",IF($A913='Carteira do Cliente'!$B$4,COUNTIF($A$3:$A913,'Carteira do Cliente'!$B$4),""))</f>
        <v/>
      </c>
    </row>
    <row r="914">
      <c r="A914" s="5" t="n"/>
      <c r="B914" s="12" t="n"/>
      <c r="C914" s="6" t="n"/>
      <c r="D914" s="6" t="n"/>
      <c r="E914" s="13" t="n"/>
      <c r="F914" s="14" t="n"/>
      <c r="G914" s="12" t="n"/>
      <c r="H914" s="15">
        <f>IF($A914="","",IFERROR(VLOOKUP($A914,Clientes!$A$3:$C$1002,2,0),"NÃO CADASTRADO"))</f>
        <v/>
      </c>
      <c r="I914" s="16">
        <f>IF($A914="","",IFERROR(VLOOKUP($A914,Clientes!$A$3:$C$1002,3,0),"NÃO CADASTRADO"))</f>
        <v/>
      </c>
      <c r="J914" s="12">
        <f>IF($A914="","",IF($A914='Carteira do Cliente'!$B$4,COUNTIF($A$3:$A914,'Carteira do Cliente'!$B$4),""))</f>
        <v/>
      </c>
    </row>
    <row r="915">
      <c r="A915" s="3" t="n"/>
      <c r="B915" s="7" t="n"/>
      <c r="C915" s="4" t="n"/>
      <c r="D915" s="4" t="n"/>
      <c r="E915" s="8" t="n"/>
      <c r="F915" s="9" t="n"/>
      <c r="G915" s="7" t="n"/>
      <c r="H915" s="10">
        <f>IF($A915="","",IFERROR(VLOOKUP($A915,Clientes!$A$3:$C$1002,2,0),"NÃO CADASTRADO"))</f>
        <v/>
      </c>
      <c r="I915" s="11">
        <f>IF($A915="","",IFERROR(VLOOKUP($A915,Clientes!$A$3:$C$1002,3,0),"NÃO CADASTRADO"))</f>
        <v/>
      </c>
      <c r="J915" s="7">
        <f>IF($A915="","",IF($A915='Carteira do Cliente'!$B$4,COUNTIF($A$3:$A915,'Carteira do Cliente'!$B$4),""))</f>
        <v/>
      </c>
    </row>
    <row r="916">
      <c r="A916" s="5" t="n"/>
      <c r="B916" s="12" t="n"/>
      <c r="C916" s="6" t="n"/>
      <c r="D916" s="6" t="n"/>
      <c r="E916" s="13" t="n"/>
      <c r="F916" s="14" t="n"/>
      <c r="G916" s="12" t="n"/>
      <c r="H916" s="15">
        <f>IF($A916="","",IFERROR(VLOOKUP($A916,Clientes!$A$3:$C$1002,2,0),"NÃO CADASTRADO"))</f>
        <v/>
      </c>
      <c r="I916" s="16">
        <f>IF($A916="","",IFERROR(VLOOKUP($A916,Clientes!$A$3:$C$1002,3,0),"NÃO CADASTRADO"))</f>
        <v/>
      </c>
      <c r="J916" s="12">
        <f>IF($A916="","",IF($A916='Carteira do Cliente'!$B$4,COUNTIF($A$3:$A916,'Carteira do Cliente'!$B$4),""))</f>
        <v/>
      </c>
    </row>
    <row r="917">
      <c r="A917" s="3" t="n"/>
      <c r="B917" s="7" t="n"/>
      <c r="C917" s="4" t="n"/>
      <c r="D917" s="4" t="n"/>
      <c r="E917" s="8" t="n"/>
      <c r="F917" s="9" t="n"/>
      <c r="G917" s="7" t="n"/>
      <c r="H917" s="10">
        <f>IF($A917="","",IFERROR(VLOOKUP($A917,Clientes!$A$3:$C$1002,2,0),"NÃO CADASTRADO"))</f>
        <v/>
      </c>
      <c r="I917" s="11">
        <f>IF($A917="","",IFERROR(VLOOKUP($A917,Clientes!$A$3:$C$1002,3,0),"NÃO CADASTRADO"))</f>
        <v/>
      </c>
      <c r="J917" s="7">
        <f>IF($A917="","",IF($A917='Carteira do Cliente'!$B$4,COUNTIF($A$3:$A917,'Carteira do Cliente'!$B$4),""))</f>
        <v/>
      </c>
    </row>
    <row r="918">
      <c r="A918" s="5" t="n"/>
      <c r="B918" s="12" t="n"/>
      <c r="C918" s="6" t="n"/>
      <c r="D918" s="6" t="n"/>
      <c r="E918" s="13" t="n"/>
      <c r="F918" s="14" t="n"/>
      <c r="G918" s="12" t="n"/>
      <c r="H918" s="15">
        <f>IF($A918="","",IFERROR(VLOOKUP($A918,Clientes!$A$3:$C$1002,2,0),"NÃO CADASTRADO"))</f>
        <v/>
      </c>
      <c r="I918" s="16">
        <f>IF($A918="","",IFERROR(VLOOKUP($A918,Clientes!$A$3:$C$1002,3,0),"NÃO CADASTRADO"))</f>
        <v/>
      </c>
      <c r="J918" s="12">
        <f>IF($A918="","",IF($A918='Carteira do Cliente'!$B$4,COUNTIF($A$3:$A918,'Carteira do Cliente'!$B$4),""))</f>
        <v/>
      </c>
    </row>
    <row r="919">
      <c r="A919" s="3" t="n"/>
      <c r="B919" s="7" t="n"/>
      <c r="C919" s="4" t="n"/>
      <c r="D919" s="4" t="n"/>
      <c r="E919" s="8" t="n"/>
      <c r="F919" s="9" t="n"/>
      <c r="G919" s="7" t="n"/>
      <c r="H919" s="10">
        <f>IF($A919="","",IFERROR(VLOOKUP($A919,Clientes!$A$3:$C$1002,2,0),"NÃO CADASTRADO"))</f>
        <v/>
      </c>
      <c r="I919" s="11">
        <f>IF($A919="","",IFERROR(VLOOKUP($A919,Clientes!$A$3:$C$1002,3,0),"NÃO CADASTRADO"))</f>
        <v/>
      </c>
      <c r="J919" s="7">
        <f>IF($A919="","",IF($A919='Carteira do Cliente'!$B$4,COUNTIF($A$3:$A919,'Carteira do Cliente'!$B$4),""))</f>
        <v/>
      </c>
    </row>
    <row r="920">
      <c r="A920" s="5" t="n"/>
      <c r="B920" s="12" t="n"/>
      <c r="C920" s="6" t="n"/>
      <c r="D920" s="6" t="n"/>
      <c r="E920" s="13" t="n"/>
      <c r="F920" s="14" t="n"/>
      <c r="G920" s="12" t="n"/>
      <c r="H920" s="15">
        <f>IF($A920="","",IFERROR(VLOOKUP($A920,Clientes!$A$3:$C$1002,2,0),"NÃO CADASTRADO"))</f>
        <v/>
      </c>
      <c r="I920" s="16">
        <f>IF($A920="","",IFERROR(VLOOKUP($A920,Clientes!$A$3:$C$1002,3,0),"NÃO CADASTRADO"))</f>
        <v/>
      </c>
      <c r="J920" s="12">
        <f>IF($A920="","",IF($A920='Carteira do Cliente'!$B$4,COUNTIF($A$3:$A920,'Carteira do Cliente'!$B$4),""))</f>
        <v/>
      </c>
    </row>
    <row r="921">
      <c r="A921" s="3" t="n"/>
      <c r="B921" s="7" t="n"/>
      <c r="C921" s="4" t="n"/>
      <c r="D921" s="4" t="n"/>
      <c r="E921" s="8" t="n"/>
      <c r="F921" s="9" t="n"/>
      <c r="G921" s="7" t="n"/>
      <c r="H921" s="10">
        <f>IF($A921="","",IFERROR(VLOOKUP($A921,Clientes!$A$3:$C$1002,2,0),"NÃO CADASTRADO"))</f>
        <v/>
      </c>
      <c r="I921" s="11">
        <f>IF($A921="","",IFERROR(VLOOKUP($A921,Clientes!$A$3:$C$1002,3,0),"NÃO CADASTRADO"))</f>
        <v/>
      </c>
      <c r="J921" s="7">
        <f>IF($A921="","",IF($A921='Carteira do Cliente'!$B$4,COUNTIF($A$3:$A921,'Carteira do Cliente'!$B$4),""))</f>
        <v/>
      </c>
    </row>
    <row r="922">
      <c r="A922" s="5" t="n"/>
      <c r="B922" s="12" t="n"/>
      <c r="C922" s="6" t="n"/>
      <c r="D922" s="6" t="n"/>
      <c r="E922" s="13" t="n"/>
      <c r="F922" s="14" t="n"/>
      <c r="G922" s="12" t="n"/>
      <c r="H922" s="15">
        <f>IF($A922="","",IFERROR(VLOOKUP($A922,Clientes!$A$3:$C$1002,2,0),"NÃO CADASTRADO"))</f>
        <v/>
      </c>
      <c r="I922" s="16">
        <f>IF($A922="","",IFERROR(VLOOKUP($A922,Clientes!$A$3:$C$1002,3,0),"NÃO CADASTRADO"))</f>
        <v/>
      </c>
      <c r="J922" s="12">
        <f>IF($A922="","",IF($A922='Carteira do Cliente'!$B$4,COUNTIF($A$3:$A922,'Carteira do Cliente'!$B$4),""))</f>
        <v/>
      </c>
    </row>
    <row r="923">
      <c r="A923" s="3" t="n"/>
      <c r="B923" s="7" t="n"/>
      <c r="C923" s="4" t="n"/>
      <c r="D923" s="4" t="n"/>
      <c r="E923" s="8" t="n"/>
      <c r="F923" s="9" t="n"/>
      <c r="G923" s="7" t="n"/>
      <c r="H923" s="10">
        <f>IF($A923="","",IFERROR(VLOOKUP($A923,Clientes!$A$3:$C$1002,2,0),"NÃO CADASTRADO"))</f>
        <v/>
      </c>
      <c r="I923" s="11">
        <f>IF($A923="","",IFERROR(VLOOKUP($A923,Clientes!$A$3:$C$1002,3,0),"NÃO CADASTRADO"))</f>
        <v/>
      </c>
      <c r="J923" s="7">
        <f>IF($A923="","",IF($A923='Carteira do Cliente'!$B$4,COUNTIF($A$3:$A923,'Carteira do Cliente'!$B$4),""))</f>
        <v/>
      </c>
    </row>
    <row r="924">
      <c r="A924" s="5" t="n"/>
      <c r="B924" s="12" t="n"/>
      <c r="C924" s="6" t="n"/>
      <c r="D924" s="6" t="n"/>
      <c r="E924" s="13" t="n"/>
      <c r="F924" s="14" t="n"/>
      <c r="G924" s="12" t="n"/>
      <c r="H924" s="15">
        <f>IF($A924="","",IFERROR(VLOOKUP($A924,Clientes!$A$3:$C$1002,2,0),"NÃO CADASTRADO"))</f>
        <v/>
      </c>
      <c r="I924" s="16">
        <f>IF($A924="","",IFERROR(VLOOKUP($A924,Clientes!$A$3:$C$1002,3,0),"NÃO CADASTRADO"))</f>
        <v/>
      </c>
      <c r="J924" s="12">
        <f>IF($A924="","",IF($A924='Carteira do Cliente'!$B$4,COUNTIF($A$3:$A924,'Carteira do Cliente'!$B$4),""))</f>
        <v/>
      </c>
    </row>
    <row r="925">
      <c r="A925" s="3" t="n"/>
      <c r="B925" s="7" t="n"/>
      <c r="C925" s="4" t="n"/>
      <c r="D925" s="4" t="n"/>
      <c r="E925" s="8" t="n"/>
      <c r="F925" s="9" t="n"/>
      <c r="G925" s="7" t="n"/>
      <c r="H925" s="10">
        <f>IF($A925="","",IFERROR(VLOOKUP($A925,Clientes!$A$3:$C$1002,2,0),"NÃO CADASTRADO"))</f>
        <v/>
      </c>
      <c r="I925" s="11">
        <f>IF($A925="","",IFERROR(VLOOKUP($A925,Clientes!$A$3:$C$1002,3,0),"NÃO CADASTRADO"))</f>
        <v/>
      </c>
      <c r="J925" s="7">
        <f>IF($A925="","",IF($A925='Carteira do Cliente'!$B$4,COUNTIF($A$3:$A925,'Carteira do Cliente'!$B$4),""))</f>
        <v/>
      </c>
    </row>
    <row r="926">
      <c r="A926" s="5" t="n"/>
      <c r="B926" s="12" t="n"/>
      <c r="C926" s="6" t="n"/>
      <c r="D926" s="6" t="n"/>
      <c r="E926" s="13" t="n"/>
      <c r="F926" s="14" t="n"/>
      <c r="G926" s="12" t="n"/>
      <c r="H926" s="15">
        <f>IF($A926="","",IFERROR(VLOOKUP($A926,Clientes!$A$3:$C$1002,2,0),"NÃO CADASTRADO"))</f>
        <v/>
      </c>
      <c r="I926" s="16">
        <f>IF($A926="","",IFERROR(VLOOKUP($A926,Clientes!$A$3:$C$1002,3,0),"NÃO CADASTRADO"))</f>
        <v/>
      </c>
      <c r="J926" s="12">
        <f>IF($A926="","",IF($A926='Carteira do Cliente'!$B$4,COUNTIF($A$3:$A926,'Carteira do Cliente'!$B$4),""))</f>
        <v/>
      </c>
    </row>
    <row r="927">
      <c r="A927" s="3" t="n"/>
      <c r="B927" s="7" t="n"/>
      <c r="C927" s="4" t="n"/>
      <c r="D927" s="4" t="n"/>
      <c r="E927" s="8" t="n"/>
      <c r="F927" s="9" t="n"/>
      <c r="G927" s="7" t="n"/>
      <c r="H927" s="10">
        <f>IF($A927="","",IFERROR(VLOOKUP($A927,Clientes!$A$3:$C$1002,2,0),"NÃO CADASTRADO"))</f>
        <v/>
      </c>
      <c r="I927" s="11">
        <f>IF($A927="","",IFERROR(VLOOKUP($A927,Clientes!$A$3:$C$1002,3,0),"NÃO CADASTRADO"))</f>
        <v/>
      </c>
      <c r="J927" s="7">
        <f>IF($A927="","",IF($A927='Carteira do Cliente'!$B$4,COUNTIF($A$3:$A927,'Carteira do Cliente'!$B$4),""))</f>
        <v/>
      </c>
    </row>
    <row r="928">
      <c r="A928" s="5" t="n"/>
      <c r="B928" s="12" t="n"/>
      <c r="C928" s="6" t="n"/>
      <c r="D928" s="6" t="n"/>
      <c r="E928" s="13" t="n"/>
      <c r="F928" s="14" t="n"/>
      <c r="G928" s="12" t="n"/>
      <c r="H928" s="15">
        <f>IF($A928="","",IFERROR(VLOOKUP($A928,Clientes!$A$3:$C$1002,2,0),"NÃO CADASTRADO"))</f>
        <v/>
      </c>
      <c r="I928" s="16">
        <f>IF($A928="","",IFERROR(VLOOKUP($A928,Clientes!$A$3:$C$1002,3,0),"NÃO CADASTRADO"))</f>
        <v/>
      </c>
      <c r="J928" s="12">
        <f>IF($A928="","",IF($A928='Carteira do Cliente'!$B$4,COUNTIF($A$3:$A928,'Carteira do Cliente'!$B$4),""))</f>
        <v/>
      </c>
    </row>
    <row r="929">
      <c r="A929" s="3" t="n"/>
      <c r="B929" s="7" t="n"/>
      <c r="C929" s="4" t="n"/>
      <c r="D929" s="4" t="n"/>
      <c r="E929" s="8" t="n"/>
      <c r="F929" s="9" t="n"/>
      <c r="G929" s="7" t="n"/>
      <c r="H929" s="10">
        <f>IF($A929="","",IFERROR(VLOOKUP($A929,Clientes!$A$3:$C$1002,2,0),"NÃO CADASTRADO"))</f>
        <v/>
      </c>
      <c r="I929" s="11">
        <f>IF($A929="","",IFERROR(VLOOKUP($A929,Clientes!$A$3:$C$1002,3,0),"NÃO CADASTRADO"))</f>
        <v/>
      </c>
      <c r="J929" s="7">
        <f>IF($A929="","",IF($A929='Carteira do Cliente'!$B$4,COUNTIF($A$3:$A929,'Carteira do Cliente'!$B$4),""))</f>
        <v/>
      </c>
    </row>
    <row r="930">
      <c r="A930" s="5" t="n"/>
      <c r="B930" s="12" t="n"/>
      <c r="C930" s="6" t="n"/>
      <c r="D930" s="6" t="n"/>
      <c r="E930" s="13" t="n"/>
      <c r="F930" s="14" t="n"/>
      <c r="G930" s="12" t="n"/>
      <c r="H930" s="15">
        <f>IF($A930="","",IFERROR(VLOOKUP($A930,Clientes!$A$3:$C$1002,2,0),"NÃO CADASTRADO"))</f>
        <v/>
      </c>
      <c r="I930" s="16">
        <f>IF($A930="","",IFERROR(VLOOKUP($A930,Clientes!$A$3:$C$1002,3,0),"NÃO CADASTRADO"))</f>
        <v/>
      </c>
      <c r="J930" s="12">
        <f>IF($A930="","",IF($A930='Carteira do Cliente'!$B$4,COUNTIF($A$3:$A930,'Carteira do Cliente'!$B$4),""))</f>
        <v/>
      </c>
    </row>
    <row r="931">
      <c r="A931" s="3" t="n"/>
      <c r="B931" s="7" t="n"/>
      <c r="C931" s="4" t="n"/>
      <c r="D931" s="4" t="n"/>
      <c r="E931" s="8" t="n"/>
      <c r="F931" s="9" t="n"/>
      <c r="G931" s="7" t="n"/>
      <c r="H931" s="10">
        <f>IF($A931="","",IFERROR(VLOOKUP($A931,Clientes!$A$3:$C$1002,2,0),"NÃO CADASTRADO"))</f>
        <v/>
      </c>
      <c r="I931" s="11">
        <f>IF($A931="","",IFERROR(VLOOKUP($A931,Clientes!$A$3:$C$1002,3,0),"NÃO CADASTRADO"))</f>
        <v/>
      </c>
      <c r="J931" s="7">
        <f>IF($A931="","",IF($A931='Carteira do Cliente'!$B$4,COUNTIF($A$3:$A931,'Carteira do Cliente'!$B$4),""))</f>
        <v/>
      </c>
    </row>
    <row r="932">
      <c r="A932" s="5" t="n"/>
      <c r="B932" s="12" t="n"/>
      <c r="C932" s="6" t="n"/>
      <c r="D932" s="6" t="n"/>
      <c r="E932" s="13" t="n"/>
      <c r="F932" s="14" t="n"/>
      <c r="G932" s="12" t="n"/>
      <c r="H932" s="15">
        <f>IF($A932="","",IFERROR(VLOOKUP($A932,Clientes!$A$3:$C$1002,2,0),"NÃO CADASTRADO"))</f>
        <v/>
      </c>
      <c r="I932" s="16">
        <f>IF($A932="","",IFERROR(VLOOKUP($A932,Clientes!$A$3:$C$1002,3,0),"NÃO CADASTRADO"))</f>
        <v/>
      </c>
      <c r="J932" s="12">
        <f>IF($A932="","",IF($A932='Carteira do Cliente'!$B$4,COUNTIF($A$3:$A932,'Carteira do Cliente'!$B$4),""))</f>
        <v/>
      </c>
    </row>
    <row r="933">
      <c r="A933" s="3" t="n"/>
      <c r="B933" s="7" t="n"/>
      <c r="C933" s="4" t="n"/>
      <c r="D933" s="4" t="n"/>
      <c r="E933" s="8" t="n"/>
      <c r="F933" s="9" t="n"/>
      <c r="G933" s="7" t="n"/>
      <c r="H933" s="10">
        <f>IF($A933="","",IFERROR(VLOOKUP($A933,Clientes!$A$3:$C$1002,2,0),"NÃO CADASTRADO"))</f>
        <v/>
      </c>
      <c r="I933" s="11">
        <f>IF($A933="","",IFERROR(VLOOKUP($A933,Clientes!$A$3:$C$1002,3,0),"NÃO CADASTRADO"))</f>
        <v/>
      </c>
      <c r="J933" s="7">
        <f>IF($A933="","",IF($A933='Carteira do Cliente'!$B$4,COUNTIF($A$3:$A933,'Carteira do Cliente'!$B$4),""))</f>
        <v/>
      </c>
    </row>
    <row r="934">
      <c r="A934" s="5" t="n"/>
      <c r="B934" s="12" t="n"/>
      <c r="C934" s="6" t="n"/>
      <c r="D934" s="6" t="n"/>
      <c r="E934" s="13" t="n"/>
      <c r="F934" s="14" t="n"/>
      <c r="G934" s="12" t="n"/>
      <c r="H934" s="15">
        <f>IF($A934="","",IFERROR(VLOOKUP($A934,Clientes!$A$3:$C$1002,2,0),"NÃO CADASTRADO"))</f>
        <v/>
      </c>
      <c r="I934" s="16">
        <f>IF($A934="","",IFERROR(VLOOKUP($A934,Clientes!$A$3:$C$1002,3,0),"NÃO CADASTRADO"))</f>
        <v/>
      </c>
      <c r="J934" s="12">
        <f>IF($A934="","",IF($A934='Carteira do Cliente'!$B$4,COUNTIF($A$3:$A934,'Carteira do Cliente'!$B$4),""))</f>
        <v/>
      </c>
    </row>
    <row r="935">
      <c r="A935" s="3" t="n"/>
      <c r="B935" s="7" t="n"/>
      <c r="C935" s="4" t="n"/>
      <c r="D935" s="4" t="n"/>
      <c r="E935" s="8" t="n"/>
      <c r="F935" s="9" t="n"/>
      <c r="G935" s="7" t="n"/>
      <c r="H935" s="10">
        <f>IF($A935="","",IFERROR(VLOOKUP($A935,Clientes!$A$3:$C$1002,2,0),"NÃO CADASTRADO"))</f>
        <v/>
      </c>
      <c r="I935" s="11">
        <f>IF($A935="","",IFERROR(VLOOKUP($A935,Clientes!$A$3:$C$1002,3,0),"NÃO CADASTRADO"))</f>
        <v/>
      </c>
      <c r="J935" s="7">
        <f>IF($A935="","",IF($A935='Carteira do Cliente'!$B$4,COUNTIF($A$3:$A935,'Carteira do Cliente'!$B$4),""))</f>
        <v/>
      </c>
    </row>
    <row r="936">
      <c r="A936" s="5" t="n"/>
      <c r="B936" s="12" t="n"/>
      <c r="C936" s="6" t="n"/>
      <c r="D936" s="6" t="n"/>
      <c r="E936" s="13" t="n"/>
      <c r="F936" s="14" t="n"/>
      <c r="G936" s="12" t="n"/>
      <c r="H936" s="15">
        <f>IF($A936="","",IFERROR(VLOOKUP($A936,Clientes!$A$3:$C$1002,2,0),"NÃO CADASTRADO"))</f>
        <v/>
      </c>
      <c r="I936" s="16">
        <f>IF($A936="","",IFERROR(VLOOKUP($A936,Clientes!$A$3:$C$1002,3,0),"NÃO CADASTRADO"))</f>
        <v/>
      </c>
      <c r="J936" s="12">
        <f>IF($A936="","",IF($A936='Carteira do Cliente'!$B$4,COUNTIF($A$3:$A936,'Carteira do Cliente'!$B$4),""))</f>
        <v/>
      </c>
    </row>
    <row r="937">
      <c r="A937" s="3" t="n"/>
      <c r="B937" s="7" t="n"/>
      <c r="C937" s="4" t="n"/>
      <c r="D937" s="4" t="n"/>
      <c r="E937" s="8" t="n"/>
      <c r="F937" s="9" t="n"/>
      <c r="G937" s="7" t="n"/>
      <c r="H937" s="10">
        <f>IF($A937="","",IFERROR(VLOOKUP($A937,Clientes!$A$3:$C$1002,2,0),"NÃO CADASTRADO"))</f>
        <v/>
      </c>
      <c r="I937" s="11">
        <f>IF($A937="","",IFERROR(VLOOKUP($A937,Clientes!$A$3:$C$1002,3,0),"NÃO CADASTRADO"))</f>
        <v/>
      </c>
      <c r="J937" s="7">
        <f>IF($A937="","",IF($A937='Carteira do Cliente'!$B$4,COUNTIF($A$3:$A937,'Carteira do Cliente'!$B$4),""))</f>
        <v/>
      </c>
    </row>
    <row r="938">
      <c r="A938" s="5" t="n"/>
      <c r="B938" s="12" t="n"/>
      <c r="C938" s="6" t="n"/>
      <c r="D938" s="6" t="n"/>
      <c r="E938" s="13" t="n"/>
      <c r="F938" s="14" t="n"/>
      <c r="G938" s="12" t="n"/>
      <c r="H938" s="15">
        <f>IF($A938="","",IFERROR(VLOOKUP($A938,Clientes!$A$3:$C$1002,2,0),"NÃO CADASTRADO"))</f>
        <v/>
      </c>
      <c r="I938" s="16">
        <f>IF($A938="","",IFERROR(VLOOKUP($A938,Clientes!$A$3:$C$1002,3,0),"NÃO CADASTRADO"))</f>
        <v/>
      </c>
      <c r="J938" s="12">
        <f>IF($A938="","",IF($A938='Carteira do Cliente'!$B$4,COUNTIF($A$3:$A938,'Carteira do Cliente'!$B$4),""))</f>
        <v/>
      </c>
    </row>
    <row r="939">
      <c r="A939" s="3" t="n"/>
      <c r="B939" s="7" t="n"/>
      <c r="C939" s="4" t="n"/>
      <c r="D939" s="4" t="n"/>
      <c r="E939" s="8" t="n"/>
      <c r="F939" s="9" t="n"/>
      <c r="G939" s="7" t="n"/>
      <c r="H939" s="10">
        <f>IF($A939="","",IFERROR(VLOOKUP($A939,Clientes!$A$3:$C$1002,2,0),"NÃO CADASTRADO"))</f>
        <v/>
      </c>
      <c r="I939" s="11">
        <f>IF($A939="","",IFERROR(VLOOKUP($A939,Clientes!$A$3:$C$1002,3,0),"NÃO CADASTRADO"))</f>
        <v/>
      </c>
      <c r="J939" s="7">
        <f>IF($A939="","",IF($A939='Carteira do Cliente'!$B$4,COUNTIF($A$3:$A939,'Carteira do Cliente'!$B$4),""))</f>
        <v/>
      </c>
    </row>
    <row r="940">
      <c r="A940" s="5" t="n"/>
      <c r="B940" s="12" t="n"/>
      <c r="C940" s="6" t="n"/>
      <c r="D940" s="6" t="n"/>
      <c r="E940" s="13" t="n"/>
      <c r="F940" s="14" t="n"/>
      <c r="G940" s="12" t="n"/>
      <c r="H940" s="15">
        <f>IF($A940="","",IFERROR(VLOOKUP($A940,Clientes!$A$3:$C$1002,2,0),"NÃO CADASTRADO"))</f>
        <v/>
      </c>
      <c r="I940" s="16">
        <f>IF($A940="","",IFERROR(VLOOKUP($A940,Clientes!$A$3:$C$1002,3,0),"NÃO CADASTRADO"))</f>
        <v/>
      </c>
      <c r="J940" s="12">
        <f>IF($A940="","",IF($A940='Carteira do Cliente'!$B$4,COUNTIF($A$3:$A940,'Carteira do Cliente'!$B$4),""))</f>
        <v/>
      </c>
    </row>
    <row r="941">
      <c r="A941" s="3" t="n"/>
      <c r="B941" s="7" t="n"/>
      <c r="C941" s="4" t="n"/>
      <c r="D941" s="4" t="n"/>
      <c r="E941" s="8" t="n"/>
      <c r="F941" s="9" t="n"/>
      <c r="G941" s="7" t="n"/>
      <c r="H941" s="10">
        <f>IF($A941="","",IFERROR(VLOOKUP($A941,Clientes!$A$3:$C$1002,2,0),"NÃO CADASTRADO"))</f>
        <v/>
      </c>
      <c r="I941" s="11">
        <f>IF($A941="","",IFERROR(VLOOKUP($A941,Clientes!$A$3:$C$1002,3,0),"NÃO CADASTRADO"))</f>
        <v/>
      </c>
      <c r="J941" s="7">
        <f>IF($A941="","",IF($A941='Carteira do Cliente'!$B$4,COUNTIF($A$3:$A941,'Carteira do Cliente'!$B$4),""))</f>
        <v/>
      </c>
    </row>
    <row r="942">
      <c r="A942" s="5" t="n"/>
      <c r="B942" s="12" t="n"/>
      <c r="C942" s="6" t="n"/>
      <c r="D942" s="6" t="n"/>
      <c r="E942" s="13" t="n"/>
      <c r="F942" s="14" t="n"/>
      <c r="G942" s="12" t="n"/>
      <c r="H942" s="15">
        <f>IF($A942="","",IFERROR(VLOOKUP($A942,Clientes!$A$3:$C$1002,2,0),"NÃO CADASTRADO"))</f>
        <v/>
      </c>
      <c r="I942" s="16">
        <f>IF($A942="","",IFERROR(VLOOKUP($A942,Clientes!$A$3:$C$1002,3,0),"NÃO CADASTRADO"))</f>
        <v/>
      </c>
      <c r="J942" s="12">
        <f>IF($A942="","",IF($A942='Carteira do Cliente'!$B$4,COUNTIF($A$3:$A942,'Carteira do Cliente'!$B$4),""))</f>
        <v/>
      </c>
    </row>
    <row r="943">
      <c r="A943" s="3" t="n"/>
      <c r="B943" s="7" t="n"/>
      <c r="C943" s="4" t="n"/>
      <c r="D943" s="4" t="n"/>
      <c r="E943" s="8" t="n"/>
      <c r="F943" s="9" t="n"/>
      <c r="G943" s="7" t="n"/>
      <c r="H943" s="10">
        <f>IF($A943="","",IFERROR(VLOOKUP($A943,Clientes!$A$3:$C$1002,2,0),"NÃO CADASTRADO"))</f>
        <v/>
      </c>
      <c r="I943" s="11">
        <f>IF($A943="","",IFERROR(VLOOKUP($A943,Clientes!$A$3:$C$1002,3,0),"NÃO CADASTRADO"))</f>
        <v/>
      </c>
      <c r="J943" s="7">
        <f>IF($A943="","",IF($A943='Carteira do Cliente'!$B$4,COUNTIF($A$3:$A943,'Carteira do Cliente'!$B$4),""))</f>
        <v/>
      </c>
    </row>
    <row r="944">
      <c r="A944" s="5" t="n"/>
      <c r="B944" s="12" t="n"/>
      <c r="C944" s="6" t="n"/>
      <c r="D944" s="6" t="n"/>
      <c r="E944" s="13" t="n"/>
      <c r="F944" s="14" t="n"/>
      <c r="G944" s="12" t="n"/>
      <c r="H944" s="15">
        <f>IF($A944="","",IFERROR(VLOOKUP($A944,Clientes!$A$3:$C$1002,2,0),"NÃO CADASTRADO"))</f>
        <v/>
      </c>
      <c r="I944" s="16">
        <f>IF($A944="","",IFERROR(VLOOKUP($A944,Clientes!$A$3:$C$1002,3,0),"NÃO CADASTRADO"))</f>
        <v/>
      </c>
      <c r="J944" s="12">
        <f>IF($A944="","",IF($A944='Carteira do Cliente'!$B$4,COUNTIF($A$3:$A944,'Carteira do Cliente'!$B$4),""))</f>
        <v/>
      </c>
    </row>
    <row r="945">
      <c r="A945" s="3" t="n"/>
      <c r="B945" s="7" t="n"/>
      <c r="C945" s="4" t="n"/>
      <c r="D945" s="4" t="n"/>
      <c r="E945" s="8" t="n"/>
      <c r="F945" s="9" t="n"/>
      <c r="G945" s="7" t="n"/>
      <c r="H945" s="10">
        <f>IF($A945="","",IFERROR(VLOOKUP($A945,Clientes!$A$3:$C$1002,2,0),"NÃO CADASTRADO"))</f>
        <v/>
      </c>
      <c r="I945" s="11">
        <f>IF($A945="","",IFERROR(VLOOKUP($A945,Clientes!$A$3:$C$1002,3,0),"NÃO CADASTRADO"))</f>
        <v/>
      </c>
      <c r="J945" s="7">
        <f>IF($A945="","",IF($A945='Carteira do Cliente'!$B$4,COUNTIF($A$3:$A945,'Carteira do Cliente'!$B$4),""))</f>
        <v/>
      </c>
    </row>
    <row r="946">
      <c r="A946" s="5" t="n"/>
      <c r="B946" s="12" t="n"/>
      <c r="C946" s="6" t="n"/>
      <c r="D946" s="6" t="n"/>
      <c r="E946" s="13" t="n"/>
      <c r="F946" s="14" t="n"/>
      <c r="G946" s="12" t="n"/>
      <c r="H946" s="15">
        <f>IF($A946="","",IFERROR(VLOOKUP($A946,Clientes!$A$3:$C$1002,2,0),"NÃO CADASTRADO"))</f>
        <v/>
      </c>
      <c r="I946" s="16">
        <f>IF($A946="","",IFERROR(VLOOKUP($A946,Clientes!$A$3:$C$1002,3,0),"NÃO CADASTRADO"))</f>
        <v/>
      </c>
      <c r="J946" s="12">
        <f>IF($A946="","",IF($A946='Carteira do Cliente'!$B$4,COUNTIF($A$3:$A946,'Carteira do Cliente'!$B$4),""))</f>
        <v/>
      </c>
    </row>
    <row r="947">
      <c r="A947" s="3" t="n"/>
      <c r="B947" s="7" t="n"/>
      <c r="C947" s="4" t="n"/>
      <c r="D947" s="4" t="n"/>
      <c r="E947" s="8" t="n"/>
      <c r="F947" s="9" t="n"/>
      <c r="G947" s="7" t="n"/>
      <c r="H947" s="10">
        <f>IF($A947="","",IFERROR(VLOOKUP($A947,Clientes!$A$3:$C$1002,2,0),"NÃO CADASTRADO"))</f>
        <v/>
      </c>
      <c r="I947" s="11">
        <f>IF($A947="","",IFERROR(VLOOKUP($A947,Clientes!$A$3:$C$1002,3,0),"NÃO CADASTRADO"))</f>
        <v/>
      </c>
      <c r="J947" s="7">
        <f>IF($A947="","",IF($A947='Carteira do Cliente'!$B$4,COUNTIF($A$3:$A947,'Carteira do Cliente'!$B$4),""))</f>
        <v/>
      </c>
    </row>
    <row r="948">
      <c r="A948" s="5" t="n"/>
      <c r="B948" s="12" t="n"/>
      <c r="C948" s="6" t="n"/>
      <c r="D948" s="6" t="n"/>
      <c r="E948" s="13" t="n"/>
      <c r="F948" s="14" t="n"/>
      <c r="G948" s="12" t="n"/>
      <c r="H948" s="15">
        <f>IF($A948="","",IFERROR(VLOOKUP($A948,Clientes!$A$3:$C$1002,2,0),"NÃO CADASTRADO"))</f>
        <v/>
      </c>
      <c r="I948" s="16">
        <f>IF($A948="","",IFERROR(VLOOKUP($A948,Clientes!$A$3:$C$1002,3,0),"NÃO CADASTRADO"))</f>
        <v/>
      </c>
      <c r="J948" s="12">
        <f>IF($A948="","",IF($A948='Carteira do Cliente'!$B$4,COUNTIF($A$3:$A948,'Carteira do Cliente'!$B$4),""))</f>
        <v/>
      </c>
    </row>
    <row r="949">
      <c r="A949" s="3" t="n"/>
      <c r="B949" s="7" t="n"/>
      <c r="C949" s="4" t="n"/>
      <c r="D949" s="4" t="n"/>
      <c r="E949" s="8" t="n"/>
      <c r="F949" s="9" t="n"/>
      <c r="G949" s="7" t="n"/>
      <c r="H949" s="10">
        <f>IF($A949="","",IFERROR(VLOOKUP($A949,Clientes!$A$3:$C$1002,2,0),"NÃO CADASTRADO"))</f>
        <v/>
      </c>
      <c r="I949" s="11">
        <f>IF($A949="","",IFERROR(VLOOKUP($A949,Clientes!$A$3:$C$1002,3,0),"NÃO CADASTRADO"))</f>
        <v/>
      </c>
      <c r="J949" s="7">
        <f>IF($A949="","",IF($A949='Carteira do Cliente'!$B$4,COUNTIF($A$3:$A949,'Carteira do Cliente'!$B$4),""))</f>
        <v/>
      </c>
    </row>
    <row r="950">
      <c r="A950" s="5" t="n"/>
      <c r="B950" s="12" t="n"/>
      <c r="C950" s="6" t="n"/>
      <c r="D950" s="6" t="n"/>
      <c r="E950" s="13" t="n"/>
      <c r="F950" s="14" t="n"/>
      <c r="G950" s="12" t="n"/>
      <c r="H950" s="15">
        <f>IF($A950="","",IFERROR(VLOOKUP($A950,Clientes!$A$3:$C$1002,2,0),"NÃO CADASTRADO"))</f>
        <v/>
      </c>
      <c r="I950" s="16">
        <f>IF($A950="","",IFERROR(VLOOKUP($A950,Clientes!$A$3:$C$1002,3,0),"NÃO CADASTRADO"))</f>
        <v/>
      </c>
      <c r="J950" s="12">
        <f>IF($A950="","",IF($A950='Carteira do Cliente'!$B$4,COUNTIF($A$3:$A950,'Carteira do Cliente'!$B$4),""))</f>
        <v/>
      </c>
    </row>
    <row r="951">
      <c r="A951" s="3" t="n"/>
      <c r="B951" s="7" t="n"/>
      <c r="C951" s="4" t="n"/>
      <c r="D951" s="4" t="n"/>
      <c r="E951" s="8" t="n"/>
      <c r="F951" s="9" t="n"/>
      <c r="G951" s="7" t="n"/>
      <c r="H951" s="10">
        <f>IF($A951="","",IFERROR(VLOOKUP($A951,Clientes!$A$3:$C$1002,2,0),"NÃO CADASTRADO"))</f>
        <v/>
      </c>
      <c r="I951" s="11">
        <f>IF($A951="","",IFERROR(VLOOKUP($A951,Clientes!$A$3:$C$1002,3,0),"NÃO CADASTRADO"))</f>
        <v/>
      </c>
      <c r="J951" s="7">
        <f>IF($A951="","",IF($A951='Carteira do Cliente'!$B$4,COUNTIF($A$3:$A951,'Carteira do Cliente'!$B$4),""))</f>
        <v/>
      </c>
    </row>
    <row r="952">
      <c r="A952" s="5" t="n"/>
      <c r="B952" s="12" t="n"/>
      <c r="C952" s="6" t="n"/>
      <c r="D952" s="6" t="n"/>
      <c r="E952" s="13" t="n"/>
      <c r="F952" s="14" t="n"/>
      <c r="G952" s="12" t="n"/>
      <c r="H952" s="15">
        <f>IF($A952="","",IFERROR(VLOOKUP($A952,Clientes!$A$3:$C$1002,2,0),"NÃO CADASTRADO"))</f>
        <v/>
      </c>
      <c r="I952" s="16">
        <f>IF($A952="","",IFERROR(VLOOKUP($A952,Clientes!$A$3:$C$1002,3,0),"NÃO CADASTRADO"))</f>
        <v/>
      </c>
      <c r="J952" s="12">
        <f>IF($A952="","",IF($A952='Carteira do Cliente'!$B$4,COUNTIF($A$3:$A952,'Carteira do Cliente'!$B$4),""))</f>
        <v/>
      </c>
    </row>
    <row r="953">
      <c r="A953" s="3" t="n"/>
      <c r="B953" s="7" t="n"/>
      <c r="C953" s="4" t="n"/>
      <c r="D953" s="4" t="n"/>
      <c r="E953" s="8" t="n"/>
      <c r="F953" s="9" t="n"/>
      <c r="G953" s="7" t="n"/>
      <c r="H953" s="10">
        <f>IF($A953="","",IFERROR(VLOOKUP($A953,Clientes!$A$3:$C$1002,2,0),"NÃO CADASTRADO"))</f>
        <v/>
      </c>
      <c r="I953" s="11">
        <f>IF($A953="","",IFERROR(VLOOKUP($A953,Clientes!$A$3:$C$1002,3,0),"NÃO CADASTRADO"))</f>
        <v/>
      </c>
      <c r="J953" s="7">
        <f>IF($A953="","",IF($A953='Carteira do Cliente'!$B$4,COUNTIF($A$3:$A953,'Carteira do Cliente'!$B$4),""))</f>
        <v/>
      </c>
    </row>
    <row r="954">
      <c r="A954" s="5" t="n"/>
      <c r="B954" s="12" t="n"/>
      <c r="C954" s="6" t="n"/>
      <c r="D954" s="6" t="n"/>
      <c r="E954" s="13" t="n"/>
      <c r="F954" s="14" t="n"/>
      <c r="G954" s="12" t="n"/>
      <c r="H954" s="15">
        <f>IF($A954="","",IFERROR(VLOOKUP($A954,Clientes!$A$3:$C$1002,2,0),"NÃO CADASTRADO"))</f>
        <v/>
      </c>
      <c r="I954" s="16">
        <f>IF($A954="","",IFERROR(VLOOKUP($A954,Clientes!$A$3:$C$1002,3,0),"NÃO CADASTRADO"))</f>
        <v/>
      </c>
      <c r="J954" s="12">
        <f>IF($A954="","",IF($A954='Carteira do Cliente'!$B$4,COUNTIF($A$3:$A954,'Carteira do Cliente'!$B$4),""))</f>
        <v/>
      </c>
    </row>
    <row r="955">
      <c r="A955" s="3" t="n"/>
      <c r="B955" s="7" t="n"/>
      <c r="C955" s="4" t="n"/>
      <c r="D955" s="4" t="n"/>
      <c r="E955" s="8" t="n"/>
      <c r="F955" s="9" t="n"/>
      <c r="G955" s="7" t="n"/>
      <c r="H955" s="10">
        <f>IF($A955="","",IFERROR(VLOOKUP($A955,Clientes!$A$3:$C$1002,2,0),"NÃO CADASTRADO"))</f>
        <v/>
      </c>
      <c r="I955" s="11">
        <f>IF($A955="","",IFERROR(VLOOKUP($A955,Clientes!$A$3:$C$1002,3,0),"NÃO CADASTRADO"))</f>
        <v/>
      </c>
      <c r="J955" s="7">
        <f>IF($A955="","",IF($A955='Carteira do Cliente'!$B$4,COUNTIF($A$3:$A955,'Carteira do Cliente'!$B$4),""))</f>
        <v/>
      </c>
    </row>
    <row r="956">
      <c r="A956" s="5" t="n"/>
      <c r="B956" s="12" t="n"/>
      <c r="C956" s="6" t="n"/>
      <c r="D956" s="6" t="n"/>
      <c r="E956" s="13" t="n"/>
      <c r="F956" s="14" t="n"/>
      <c r="G956" s="12" t="n"/>
      <c r="H956" s="15">
        <f>IF($A956="","",IFERROR(VLOOKUP($A956,Clientes!$A$3:$C$1002,2,0),"NÃO CADASTRADO"))</f>
        <v/>
      </c>
      <c r="I956" s="16">
        <f>IF($A956="","",IFERROR(VLOOKUP($A956,Clientes!$A$3:$C$1002,3,0),"NÃO CADASTRADO"))</f>
        <v/>
      </c>
      <c r="J956" s="12">
        <f>IF($A956="","",IF($A956='Carteira do Cliente'!$B$4,COUNTIF($A$3:$A956,'Carteira do Cliente'!$B$4),""))</f>
        <v/>
      </c>
    </row>
    <row r="957">
      <c r="A957" s="3" t="n"/>
      <c r="B957" s="7" t="n"/>
      <c r="C957" s="4" t="n"/>
      <c r="D957" s="4" t="n"/>
      <c r="E957" s="8" t="n"/>
      <c r="F957" s="9" t="n"/>
      <c r="G957" s="7" t="n"/>
      <c r="H957" s="10">
        <f>IF($A957="","",IFERROR(VLOOKUP($A957,Clientes!$A$3:$C$1002,2,0),"NÃO CADASTRADO"))</f>
        <v/>
      </c>
      <c r="I957" s="11">
        <f>IF($A957="","",IFERROR(VLOOKUP($A957,Clientes!$A$3:$C$1002,3,0),"NÃO CADASTRADO"))</f>
        <v/>
      </c>
      <c r="J957" s="7">
        <f>IF($A957="","",IF($A957='Carteira do Cliente'!$B$4,COUNTIF($A$3:$A957,'Carteira do Cliente'!$B$4),""))</f>
        <v/>
      </c>
    </row>
    <row r="958">
      <c r="A958" s="5" t="n"/>
      <c r="B958" s="12" t="n"/>
      <c r="C958" s="6" t="n"/>
      <c r="D958" s="6" t="n"/>
      <c r="E958" s="13" t="n"/>
      <c r="F958" s="14" t="n"/>
      <c r="G958" s="12" t="n"/>
      <c r="H958" s="15">
        <f>IF($A958="","",IFERROR(VLOOKUP($A958,Clientes!$A$3:$C$1002,2,0),"NÃO CADASTRADO"))</f>
        <v/>
      </c>
      <c r="I958" s="16">
        <f>IF($A958="","",IFERROR(VLOOKUP($A958,Clientes!$A$3:$C$1002,3,0),"NÃO CADASTRADO"))</f>
        <v/>
      </c>
      <c r="J958" s="12">
        <f>IF($A958="","",IF($A958='Carteira do Cliente'!$B$4,COUNTIF($A$3:$A958,'Carteira do Cliente'!$B$4),""))</f>
        <v/>
      </c>
    </row>
    <row r="959">
      <c r="A959" s="3" t="n"/>
      <c r="B959" s="7" t="n"/>
      <c r="C959" s="4" t="n"/>
      <c r="D959" s="4" t="n"/>
      <c r="E959" s="8" t="n"/>
      <c r="F959" s="9" t="n"/>
      <c r="G959" s="7" t="n"/>
      <c r="H959" s="10">
        <f>IF($A959="","",IFERROR(VLOOKUP($A959,Clientes!$A$3:$C$1002,2,0),"NÃO CADASTRADO"))</f>
        <v/>
      </c>
      <c r="I959" s="11">
        <f>IF($A959="","",IFERROR(VLOOKUP($A959,Clientes!$A$3:$C$1002,3,0),"NÃO CADASTRADO"))</f>
        <v/>
      </c>
      <c r="J959" s="7">
        <f>IF($A959="","",IF($A959='Carteira do Cliente'!$B$4,COUNTIF($A$3:$A959,'Carteira do Cliente'!$B$4),""))</f>
        <v/>
      </c>
    </row>
    <row r="960">
      <c r="A960" s="5" t="n"/>
      <c r="B960" s="12" t="n"/>
      <c r="C960" s="6" t="n"/>
      <c r="D960" s="6" t="n"/>
      <c r="E960" s="13" t="n"/>
      <c r="F960" s="14" t="n"/>
      <c r="G960" s="12" t="n"/>
      <c r="H960" s="15">
        <f>IF($A960="","",IFERROR(VLOOKUP($A960,Clientes!$A$3:$C$1002,2,0),"NÃO CADASTRADO"))</f>
        <v/>
      </c>
      <c r="I960" s="16">
        <f>IF($A960="","",IFERROR(VLOOKUP($A960,Clientes!$A$3:$C$1002,3,0),"NÃO CADASTRADO"))</f>
        <v/>
      </c>
      <c r="J960" s="12">
        <f>IF($A960="","",IF($A960='Carteira do Cliente'!$B$4,COUNTIF($A$3:$A960,'Carteira do Cliente'!$B$4),""))</f>
        <v/>
      </c>
    </row>
    <row r="961">
      <c r="A961" s="3" t="n"/>
      <c r="B961" s="7" t="n"/>
      <c r="C961" s="4" t="n"/>
      <c r="D961" s="4" t="n"/>
      <c r="E961" s="8" t="n"/>
      <c r="F961" s="9" t="n"/>
      <c r="G961" s="7" t="n"/>
      <c r="H961" s="10">
        <f>IF($A961="","",IFERROR(VLOOKUP($A961,Clientes!$A$3:$C$1002,2,0),"NÃO CADASTRADO"))</f>
        <v/>
      </c>
      <c r="I961" s="11">
        <f>IF($A961="","",IFERROR(VLOOKUP($A961,Clientes!$A$3:$C$1002,3,0),"NÃO CADASTRADO"))</f>
        <v/>
      </c>
      <c r="J961" s="7">
        <f>IF($A961="","",IF($A961='Carteira do Cliente'!$B$4,COUNTIF($A$3:$A961,'Carteira do Cliente'!$B$4),""))</f>
        <v/>
      </c>
    </row>
    <row r="962">
      <c r="A962" s="5" t="n"/>
      <c r="B962" s="12" t="n"/>
      <c r="C962" s="6" t="n"/>
      <c r="D962" s="6" t="n"/>
      <c r="E962" s="13" t="n"/>
      <c r="F962" s="14" t="n"/>
      <c r="G962" s="12" t="n"/>
      <c r="H962" s="15">
        <f>IF($A962="","",IFERROR(VLOOKUP($A962,Clientes!$A$3:$C$1002,2,0),"NÃO CADASTRADO"))</f>
        <v/>
      </c>
      <c r="I962" s="16">
        <f>IF($A962="","",IFERROR(VLOOKUP($A962,Clientes!$A$3:$C$1002,3,0),"NÃO CADASTRADO"))</f>
        <v/>
      </c>
      <c r="J962" s="12">
        <f>IF($A962="","",IF($A962='Carteira do Cliente'!$B$4,COUNTIF($A$3:$A962,'Carteira do Cliente'!$B$4),""))</f>
        <v/>
      </c>
    </row>
    <row r="963">
      <c r="A963" s="3" t="n"/>
      <c r="B963" s="7" t="n"/>
      <c r="C963" s="4" t="n"/>
      <c r="D963" s="4" t="n"/>
      <c r="E963" s="8" t="n"/>
      <c r="F963" s="9" t="n"/>
      <c r="G963" s="7" t="n"/>
      <c r="H963" s="10">
        <f>IF($A963="","",IFERROR(VLOOKUP($A963,Clientes!$A$3:$C$1002,2,0),"NÃO CADASTRADO"))</f>
        <v/>
      </c>
      <c r="I963" s="11">
        <f>IF($A963="","",IFERROR(VLOOKUP($A963,Clientes!$A$3:$C$1002,3,0),"NÃO CADASTRADO"))</f>
        <v/>
      </c>
      <c r="J963" s="7">
        <f>IF($A963="","",IF($A963='Carteira do Cliente'!$B$4,COUNTIF($A$3:$A963,'Carteira do Cliente'!$B$4),""))</f>
        <v/>
      </c>
    </row>
    <row r="964">
      <c r="A964" s="5" t="n"/>
      <c r="B964" s="12" t="n"/>
      <c r="C964" s="6" t="n"/>
      <c r="D964" s="6" t="n"/>
      <c r="E964" s="13" t="n"/>
      <c r="F964" s="14" t="n"/>
      <c r="G964" s="12" t="n"/>
      <c r="H964" s="15">
        <f>IF($A964="","",IFERROR(VLOOKUP($A964,Clientes!$A$3:$C$1002,2,0),"NÃO CADASTRADO"))</f>
        <v/>
      </c>
      <c r="I964" s="16">
        <f>IF($A964="","",IFERROR(VLOOKUP($A964,Clientes!$A$3:$C$1002,3,0),"NÃO CADASTRADO"))</f>
        <v/>
      </c>
      <c r="J964" s="12">
        <f>IF($A964="","",IF($A964='Carteira do Cliente'!$B$4,COUNTIF($A$3:$A964,'Carteira do Cliente'!$B$4),""))</f>
        <v/>
      </c>
    </row>
    <row r="965">
      <c r="A965" s="3" t="n"/>
      <c r="B965" s="7" t="n"/>
      <c r="C965" s="4" t="n"/>
      <c r="D965" s="4" t="n"/>
      <c r="E965" s="8" t="n"/>
      <c r="F965" s="9" t="n"/>
      <c r="G965" s="7" t="n"/>
      <c r="H965" s="10">
        <f>IF($A965="","",IFERROR(VLOOKUP($A965,Clientes!$A$3:$C$1002,2,0),"NÃO CADASTRADO"))</f>
        <v/>
      </c>
      <c r="I965" s="11">
        <f>IF($A965="","",IFERROR(VLOOKUP($A965,Clientes!$A$3:$C$1002,3,0),"NÃO CADASTRADO"))</f>
        <v/>
      </c>
      <c r="J965" s="7">
        <f>IF($A965="","",IF($A965='Carteira do Cliente'!$B$4,COUNTIF($A$3:$A965,'Carteira do Cliente'!$B$4),""))</f>
        <v/>
      </c>
    </row>
    <row r="966">
      <c r="A966" s="5" t="n"/>
      <c r="B966" s="12" t="n"/>
      <c r="C966" s="6" t="n"/>
      <c r="D966" s="6" t="n"/>
      <c r="E966" s="13" t="n"/>
      <c r="F966" s="14" t="n"/>
      <c r="G966" s="12" t="n"/>
      <c r="H966" s="15">
        <f>IF($A966="","",IFERROR(VLOOKUP($A966,Clientes!$A$3:$C$1002,2,0),"NÃO CADASTRADO"))</f>
        <v/>
      </c>
      <c r="I966" s="16">
        <f>IF($A966="","",IFERROR(VLOOKUP($A966,Clientes!$A$3:$C$1002,3,0),"NÃO CADASTRADO"))</f>
        <v/>
      </c>
      <c r="J966" s="12">
        <f>IF($A966="","",IF($A966='Carteira do Cliente'!$B$4,COUNTIF($A$3:$A966,'Carteira do Cliente'!$B$4),""))</f>
        <v/>
      </c>
    </row>
    <row r="967">
      <c r="A967" s="3" t="n"/>
      <c r="B967" s="7" t="n"/>
      <c r="C967" s="4" t="n"/>
      <c r="D967" s="4" t="n"/>
      <c r="E967" s="8" t="n"/>
      <c r="F967" s="9" t="n"/>
      <c r="G967" s="7" t="n"/>
      <c r="H967" s="10">
        <f>IF($A967="","",IFERROR(VLOOKUP($A967,Clientes!$A$3:$C$1002,2,0),"NÃO CADASTRADO"))</f>
        <v/>
      </c>
      <c r="I967" s="11">
        <f>IF($A967="","",IFERROR(VLOOKUP($A967,Clientes!$A$3:$C$1002,3,0),"NÃO CADASTRADO"))</f>
        <v/>
      </c>
      <c r="J967" s="7">
        <f>IF($A967="","",IF($A967='Carteira do Cliente'!$B$4,COUNTIF($A$3:$A967,'Carteira do Cliente'!$B$4),""))</f>
        <v/>
      </c>
    </row>
    <row r="968">
      <c r="A968" s="5" t="n"/>
      <c r="B968" s="12" t="n"/>
      <c r="C968" s="6" t="n"/>
      <c r="D968" s="6" t="n"/>
      <c r="E968" s="13" t="n"/>
      <c r="F968" s="14" t="n"/>
      <c r="G968" s="12" t="n"/>
      <c r="H968" s="15">
        <f>IF($A968="","",IFERROR(VLOOKUP($A968,Clientes!$A$3:$C$1002,2,0),"NÃO CADASTRADO"))</f>
        <v/>
      </c>
      <c r="I968" s="16">
        <f>IF($A968="","",IFERROR(VLOOKUP($A968,Clientes!$A$3:$C$1002,3,0),"NÃO CADASTRADO"))</f>
        <v/>
      </c>
      <c r="J968" s="12">
        <f>IF($A968="","",IF($A968='Carteira do Cliente'!$B$4,COUNTIF($A$3:$A968,'Carteira do Cliente'!$B$4),""))</f>
        <v/>
      </c>
    </row>
    <row r="969">
      <c r="A969" s="3" t="n"/>
      <c r="B969" s="7" t="n"/>
      <c r="C969" s="4" t="n"/>
      <c r="D969" s="4" t="n"/>
      <c r="E969" s="8" t="n"/>
      <c r="F969" s="9" t="n"/>
      <c r="G969" s="7" t="n"/>
      <c r="H969" s="10">
        <f>IF($A969="","",IFERROR(VLOOKUP($A969,Clientes!$A$3:$C$1002,2,0),"NÃO CADASTRADO"))</f>
        <v/>
      </c>
      <c r="I969" s="11">
        <f>IF($A969="","",IFERROR(VLOOKUP($A969,Clientes!$A$3:$C$1002,3,0),"NÃO CADASTRADO"))</f>
        <v/>
      </c>
      <c r="J969" s="7">
        <f>IF($A969="","",IF($A969='Carteira do Cliente'!$B$4,COUNTIF($A$3:$A969,'Carteira do Cliente'!$B$4),""))</f>
        <v/>
      </c>
    </row>
    <row r="970">
      <c r="A970" s="5" t="n"/>
      <c r="B970" s="12" t="n"/>
      <c r="C970" s="6" t="n"/>
      <c r="D970" s="6" t="n"/>
      <c r="E970" s="13" t="n"/>
      <c r="F970" s="14" t="n"/>
      <c r="G970" s="12" t="n"/>
      <c r="H970" s="15">
        <f>IF($A970="","",IFERROR(VLOOKUP($A970,Clientes!$A$3:$C$1002,2,0),"NÃO CADASTRADO"))</f>
        <v/>
      </c>
      <c r="I970" s="16">
        <f>IF($A970="","",IFERROR(VLOOKUP($A970,Clientes!$A$3:$C$1002,3,0),"NÃO CADASTRADO"))</f>
        <v/>
      </c>
      <c r="J970" s="12">
        <f>IF($A970="","",IF($A970='Carteira do Cliente'!$B$4,COUNTIF($A$3:$A970,'Carteira do Cliente'!$B$4),""))</f>
        <v/>
      </c>
    </row>
    <row r="971">
      <c r="A971" s="3" t="n"/>
      <c r="B971" s="7" t="n"/>
      <c r="C971" s="4" t="n"/>
      <c r="D971" s="4" t="n"/>
      <c r="E971" s="8" t="n"/>
      <c r="F971" s="9" t="n"/>
      <c r="G971" s="7" t="n"/>
      <c r="H971" s="10">
        <f>IF($A971="","",IFERROR(VLOOKUP($A971,Clientes!$A$3:$C$1002,2,0),"NÃO CADASTRADO"))</f>
        <v/>
      </c>
      <c r="I971" s="11">
        <f>IF($A971="","",IFERROR(VLOOKUP($A971,Clientes!$A$3:$C$1002,3,0),"NÃO CADASTRADO"))</f>
        <v/>
      </c>
      <c r="J971" s="7">
        <f>IF($A971="","",IF($A971='Carteira do Cliente'!$B$4,COUNTIF($A$3:$A971,'Carteira do Cliente'!$B$4),""))</f>
        <v/>
      </c>
    </row>
    <row r="972">
      <c r="A972" s="5" t="n"/>
      <c r="B972" s="12" t="n"/>
      <c r="C972" s="6" t="n"/>
      <c r="D972" s="6" t="n"/>
      <c r="E972" s="13" t="n"/>
      <c r="F972" s="14" t="n"/>
      <c r="G972" s="12" t="n"/>
      <c r="H972" s="15">
        <f>IF($A972="","",IFERROR(VLOOKUP($A972,Clientes!$A$3:$C$1002,2,0),"NÃO CADASTRADO"))</f>
        <v/>
      </c>
      <c r="I972" s="16">
        <f>IF($A972="","",IFERROR(VLOOKUP($A972,Clientes!$A$3:$C$1002,3,0),"NÃO CADASTRADO"))</f>
        <v/>
      </c>
      <c r="J972" s="12">
        <f>IF($A972="","",IF($A972='Carteira do Cliente'!$B$4,COUNTIF($A$3:$A972,'Carteira do Cliente'!$B$4),""))</f>
        <v/>
      </c>
    </row>
    <row r="973">
      <c r="A973" s="3" t="n"/>
      <c r="B973" s="7" t="n"/>
      <c r="C973" s="4" t="n"/>
      <c r="D973" s="4" t="n"/>
      <c r="E973" s="8" t="n"/>
      <c r="F973" s="9" t="n"/>
      <c r="G973" s="7" t="n"/>
      <c r="H973" s="10">
        <f>IF($A973="","",IFERROR(VLOOKUP($A973,Clientes!$A$3:$C$1002,2,0),"NÃO CADASTRADO"))</f>
        <v/>
      </c>
      <c r="I973" s="11">
        <f>IF($A973="","",IFERROR(VLOOKUP($A973,Clientes!$A$3:$C$1002,3,0),"NÃO CADASTRADO"))</f>
        <v/>
      </c>
      <c r="J973" s="7">
        <f>IF($A973="","",IF($A973='Carteira do Cliente'!$B$4,COUNTIF($A$3:$A973,'Carteira do Cliente'!$B$4),""))</f>
        <v/>
      </c>
    </row>
    <row r="974">
      <c r="A974" s="5" t="n"/>
      <c r="B974" s="12" t="n"/>
      <c r="C974" s="6" t="n"/>
      <c r="D974" s="6" t="n"/>
      <c r="E974" s="13" t="n"/>
      <c r="F974" s="14" t="n"/>
      <c r="G974" s="12" t="n"/>
      <c r="H974" s="15">
        <f>IF($A974="","",IFERROR(VLOOKUP($A974,Clientes!$A$3:$C$1002,2,0),"NÃO CADASTRADO"))</f>
        <v/>
      </c>
      <c r="I974" s="16">
        <f>IF($A974="","",IFERROR(VLOOKUP($A974,Clientes!$A$3:$C$1002,3,0),"NÃO CADASTRADO"))</f>
        <v/>
      </c>
      <c r="J974" s="12">
        <f>IF($A974="","",IF($A974='Carteira do Cliente'!$B$4,COUNTIF($A$3:$A974,'Carteira do Cliente'!$B$4),""))</f>
        <v/>
      </c>
    </row>
    <row r="975">
      <c r="A975" s="3" t="n"/>
      <c r="B975" s="7" t="n"/>
      <c r="C975" s="4" t="n"/>
      <c r="D975" s="4" t="n"/>
      <c r="E975" s="8" t="n"/>
      <c r="F975" s="9" t="n"/>
      <c r="G975" s="7" t="n"/>
      <c r="H975" s="10">
        <f>IF($A975="","",IFERROR(VLOOKUP($A975,Clientes!$A$3:$C$1002,2,0),"NÃO CADASTRADO"))</f>
        <v/>
      </c>
      <c r="I975" s="11">
        <f>IF($A975="","",IFERROR(VLOOKUP($A975,Clientes!$A$3:$C$1002,3,0),"NÃO CADASTRADO"))</f>
        <v/>
      </c>
      <c r="J975" s="7">
        <f>IF($A975="","",IF($A975='Carteira do Cliente'!$B$4,COUNTIF($A$3:$A975,'Carteira do Cliente'!$B$4),""))</f>
        <v/>
      </c>
    </row>
    <row r="976">
      <c r="A976" s="5" t="n"/>
      <c r="B976" s="12" t="n"/>
      <c r="C976" s="6" t="n"/>
      <c r="D976" s="6" t="n"/>
      <c r="E976" s="13" t="n"/>
      <c r="F976" s="14" t="n"/>
      <c r="G976" s="12" t="n"/>
      <c r="H976" s="15">
        <f>IF($A976="","",IFERROR(VLOOKUP($A976,Clientes!$A$3:$C$1002,2,0),"NÃO CADASTRADO"))</f>
        <v/>
      </c>
      <c r="I976" s="16">
        <f>IF($A976="","",IFERROR(VLOOKUP($A976,Clientes!$A$3:$C$1002,3,0),"NÃO CADASTRADO"))</f>
        <v/>
      </c>
      <c r="J976" s="12">
        <f>IF($A976="","",IF($A976='Carteira do Cliente'!$B$4,COUNTIF($A$3:$A976,'Carteira do Cliente'!$B$4),""))</f>
        <v/>
      </c>
    </row>
    <row r="977">
      <c r="A977" s="3" t="n"/>
      <c r="B977" s="7" t="n"/>
      <c r="C977" s="4" t="n"/>
      <c r="D977" s="4" t="n"/>
      <c r="E977" s="8" t="n"/>
      <c r="F977" s="9" t="n"/>
      <c r="G977" s="7" t="n"/>
      <c r="H977" s="10">
        <f>IF($A977="","",IFERROR(VLOOKUP($A977,Clientes!$A$3:$C$1002,2,0),"NÃO CADASTRADO"))</f>
        <v/>
      </c>
      <c r="I977" s="11">
        <f>IF($A977="","",IFERROR(VLOOKUP($A977,Clientes!$A$3:$C$1002,3,0),"NÃO CADASTRADO"))</f>
        <v/>
      </c>
      <c r="J977" s="7">
        <f>IF($A977="","",IF($A977='Carteira do Cliente'!$B$4,COUNTIF($A$3:$A977,'Carteira do Cliente'!$B$4),""))</f>
        <v/>
      </c>
    </row>
    <row r="978">
      <c r="A978" s="5" t="n"/>
      <c r="B978" s="12" t="n"/>
      <c r="C978" s="6" t="n"/>
      <c r="D978" s="6" t="n"/>
      <c r="E978" s="13" t="n"/>
      <c r="F978" s="14" t="n"/>
      <c r="G978" s="12" t="n"/>
      <c r="H978" s="15">
        <f>IF($A978="","",IFERROR(VLOOKUP($A978,Clientes!$A$3:$C$1002,2,0),"NÃO CADASTRADO"))</f>
        <v/>
      </c>
      <c r="I978" s="16">
        <f>IF($A978="","",IFERROR(VLOOKUP($A978,Clientes!$A$3:$C$1002,3,0),"NÃO CADASTRADO"))</f>
        <v/>
      </c>
      <c r="J978" s="12">
        <f>IF($A978="","",IF($A978='Carteira do Cliente'!$B$4,COUNTIF($A$3:$A978,'Carteira do Cliente'!$B$4),""))</f>
        <v/>
      </c>
    </row>
    <row r="979">
      <c r="A979" s="3" t="n"/>
      <c r="B979" s="7" t="n"/>
      <c r="C979" s="4" t="n"/>
      <c r="D979" s="4" t="n"/>
      <c r="E979" s="8" t="n"/>
      <c r="F979" s="9" t="n"/>
      <c r="G979" s="7" t="n"/>
      <c r="H979" s="10">
        <f>IF($A979="","",IFERROR(VLOOKUP($A979,Clientes!$A$3:$C$1002,2,0),"NÃO CADASTRADO"))</f>
        <v/>
      </c>
      <c r="I979" s="11">
        <f>IF($A979="","",IFERROR(VLOOKUP($A979,Clientes!$A$3:$C$1002,3,0),"NÃO CADASTRADO"))</f>
        <v/>
      </c>
      <c r="J979" s="7">
        <f>IF($A979="","",IF($A979='Carteira do Cliente'!$B$4,COUNTIF($A$3:$A979,'Carteira do Cliente'!$B$4),""))</f>
        <v/>
      </c>
    </row>
    <row r="980">
      <c r="A980" s="5" t="n"/>
      <c r="B980" s="12" t="n"/>
      <c r="C980" s="6" t="n"/>
      <c r="D980" s="6" t="n"/>
      <c r="E980" s="13" t="n"/>
      <c r="F980" s="14" t="n"/>
      <c r="G980" s="12" t="n"/>
      <c r="H980" s="15">
        <f>IF($A980="","",IFERROR(VLOOKUP($A980,Clientes!$A$3:$C$1002,2,0),"NÃO CADASTRADO"))</f>
        <v/>
      </c>
      <c r="I980" s="16">
        <f>IF($A980="","",IFERROR(VLOOKUP($A980,Clientes!$A$3:$C$1002,3,0),"NÃO CADASTRADO"))</f>
        <v/>
      </c>
      <c r="J980" s="12">
        <f>IF($A980="","",IF($A980='Carteira do Cliente'!$B$4,COUNTIF($A$3:$A980,'Carteira do Cliente'!$B$4),""))</f>
        <v/>
      </c>
    </row>
    <row r="981">
      <c r="A981" s="3" t="n"/>
      <c r="B981" s="7" t="n"/>
      <c r="C981" s="4" t="n"/>
      <c r="D981" s="4" t="n"/>
      <c r="E981" s="8" t="n"/>
      <c r="F981" s="9" t="n"/>
      <c r="G981" s="7" t="n"/>
      <c r="H981" s="10">
        <f>IF($A981="","",IFERROR(VLOOKUP($A981,Clientes!$A$3:$C$1002,2,0),"NÃO CADASTRADO"))</f>
        <v/>
      </c>
      <c r="I981" s="11">
        <f>IF($A981="","",IFERROR(VLOOKUP($A981,Clientes!$A$3:$C$1002,3,0),"NÃO CADASTRADO"))</f>
        <v/>
      </c>
      <c r="J981" s="7">
        <f>IF($A981="","",IF($A981='Carteira do Cliente'!$B$4,COUNTIF($A$3:$A981,'Carteira do Cliente'!$B$4),""))</f>
        <v/>
      </c>
    </row>
    <row r="982">
      <c r="A982" s="5" t="n"/>
      <c r="B982" s="12" t="n"/>
      <c r="C982" s="6" t="n"/>
      <c r="D982" s="6" t="n"/>
      <c r="E982" s="13" t="n"/>
      <c r="F982" s="14" t="n"/>
      <c r="G982" s="12" t="n"/>
      <c r="H982" s="15">
        <f>IF($A982="","",IFERROR(VLOOKUP($A982,Clientes!$A$3:$C$1002,2,0),"NÃO CADASTRADO"))</f>
        <v/>
      </c>
      <c r="I982" s="16">
        <f>IF($A982="","",IFERROR(VLOOKUP($A982,Clientes!$A$3:$C$1002,3,0),"NÃO CADASTRADO"))</f>
        <v/>
      </c>
      <c r="J982" s="12">
        <f>IF($A982="","",IF($A982='Carteira do Cliente'!$B$4,COUNTIF($A$3:$A982,'Carteira do Cliente'!$B$4),""))</f>
        <v/>
      </c>
    </row>
    <row r="983">
      <c r="A983" s="3" t="n"/>
      <c r="B983" s="7" t="n"/>
      <c r="C983" s="4" t="n"/>
      <c r="D983" s="4" t="n"/>
      <c r="E983" s="8" t="n"/>
      <c r="F983" s="9" t="n"/>
      <c r="G983" s="7" t="n"/>
      <c r="H983" s="10">
        <f>IF($A983="","",IFERROR(VLOOKUP($A983,Clientes!$A$3:$C$1002,2,0),"NÃO CADASTRADO"))</f>
        <v/>
      </c>
      <c r="I983" s="11">
        <f>IF($A983="","",IFERROR(VLOOKUP($A983,Clientes!$A$3:$C$1002,3,0),"NÃO CADASTRADO"))</f>
        <v/>
      </c>
      <c r="J983" s="7">
        <f>IF($A983="","",IF($A983='Carteira do Cliente'!$B$4,COUNTIF($A$3:$A983,'Carteira do Cliente'!$B$4),""))</f>
        <v/>
      </c>
    </row>
    <row r="984">
      <c r="A984" s="5" t="n"/>
      <c r="B984" s="12" t="n"/>
      <c r="C984" s="6" t="n"/>
      <c r="D984" s="6" t="n"/>
      <c r="E984" s="13" t="n"/>
      <c r="F984" s="14" t="n"/>
      <c r="G984" s="12" t="n"/>
      <c r="H984" s="15">
        <f>IF($A984="","",IFERROR(VLOOKUP($A984,Clientes!$A$3:$C$1002,2,0),"NÃO CADASTRADO"))</f>
        <v/>
      </c>
      <c r="I984" s="16">
        <f>IF($A984="","",IFERROR(VLOOKUP($A984,Clientes!$A$3:$C$1002,3,0),"NÃO CADASTRADO"))</f>
        <v/>
      </c>
      <c r="J984" s="12">
        <f>IF($A984="","",IF($A984='Carteira do Cliente'!$B$4,COUNTIF($A$3:$A984,'Carteira do Cliente'!$B$4),""))</f>
        <v/>
      </c>
    </row>
    <row r="985">
      <c r="A985" s="3" t="n"/>
      <c r="B985" s="7" t="n"/>
      <c r="C985" s="4" t="n"/>
      <c r="D985" s="4" t="n"/>
      <c r="E985" s="8" t="n"/>
      <c r="F985" s="9" t="n"/>
      <c r="G985" s="7" t="n"/>
      <c r="H985" s="10">
        <f>IF($A985="","",IFERROR(VLOOKUP($A985,Clientes!$A$3:$C$1002,2,0),"NÃO CADASTRADO"))</f>
        <v/>
      </c>
      <c r="I985" s="11">
        <f>IF($A985="","",IFERROR(VLOOKUP($A985,Clientes!$A$3:$C$1002,3,0),"NÃO CADASTRADO"))</f>
        <v/>
      </c>
      <c r="J985" s="7">
        <f>IF($A985="","",IF($A985='Carteira do Cliente'!$B$4,COUNTIF($A$3:$A985,'Carteira do Cliente'!$B$4),""))</f>
        <v/>
      </c>
    </row>
    <row r="986">
      <c r="A986" s="5" t="n"/>
      <c r="B986" s="12" t="n"/>
      <c r="C986" s="6" t="n"/>
      <c r="D986" s="6" t="n"/>
      <c r="E986" s="13" t="n"/>
      <c r="F986" s="14" t="n"/>
      <c r="G986" s="12" t="n"/>
      <c r="H986" s="15">
        <f>IF($A986="","",IFERROR(VLOOKUP($A986,Clientes!$A$3:$C$1002,2,0),"NÃO CADASTRADO"))</f>
        <v/>
      </c>
      <c r="I986" s="16">
        <f>IF($A986="","",IFERROR(VLOOKUP($A986,Clientes!$A$3:$C$1002,3,0),"NÃO CADASTRADO"))</f>
        <v/>
      </c>
      <c r="J986" s="12">
        <f>IF($A986="","",IF($A986='Carteira do Cliente'!$B$4,COUNTIF($A$3:$A986,'Carteira do Cliente'!$B$4),""))</f>
        <v/>
      </c>
    </row>
    <row r="987">
      <c r="A987" s="3" t="n"/>
      <c r="B987" s="7" t="n"/>
      <c r="C987" s="4" t="n"/>
      <c r="D987" s="4" t="n"/>
      <c r="E987" s="8" t="n"/>
      <c r="F987" s="9" t="n"/>
      <c r="G987" s="7" t="n"/>
      <c r="H987" s="10">
        <f>IF($A987="","",IFERROR(VLOOKUP($A987,Clientes!$A$3:$C$1002,2,0),"NÃO CADASTRADO"))</f>
        <v/>
      </c>
      <c r="I987" s="11">
        <f>IF($A987="","",IFERROR(VLOOKUP($A987,Clientes!$A$3:$C$1002,3,0),"NÃO CADASTRADO"))</f>
        <v/>
      </c>
      <c r="J987" s="7">
        <f>IF($A987="","",IF($A987='Carteira do Cliente'!$B$4,COUNTIF($A$3:$A987,'Carteira do Cliente'!$B$4),""))</f>
        <v/>
      </c>
    </row>
    <row r="988">
      <c r="A988" s="5" t="n"/>
      <c r="B988" s="12" t="n"/>
      <c r="C988" s="6" t="n"/>
      <c r="D988" s="6" t="n"/>
      <c r="E988" s="13" t="n"/>
      <c r="F988" s="14" t="n"/>
      <c r="G988" s="12" t="n"/>
      <c r="H988" s="15">
        <f>IF($A988="","",IFERROR(VLOOKUP($A988,Clientes!$A$3:$C$1002,2,0),"NÃO CADASTRADO"))</f>
        <v/>
      </c>
      <c r="I988" s="16">
        <f>IF($A988="","",IFERROR(VLOOKUP($A988,Clientes!$A$3:$C$1002,3,0),"NÃO CADASTRADO"))</f>
        <v/>
      </c>
      <c r="J988" s="12">
        <f>IF($A988="","",IF($A988='Carteira do Cliente'!$B$4,COUNTIF($A$3:$A988,'Carteira do Cliente'!$B$4),""))</f>
        <v/>
      </c>
    </row>
    <row r="989">
      <c r="A989" s="3" t="n"/>
      <c r="B989" s="7" t="n"/>
      <c r="C989" s="4" t="n"/>
      <c r="D989" s="4" t="n"/>
      <c r="E989" s="8" t="n"/>
      <c r="F989" s="9" t="n"/>
      <c r="G989" s="7" t="n"/>
      <c r="H989" s="10">
        <f>IF($A989="","",IFERROR(VLOOKUP($A989,Clientes!$A$3:$C$1002,2,0),"NÃO CADASTRADO"))</f>
        <v/>
      </c>
      <c r="I989" s="11">
        <f>IF($A989="","",IFERROR(VLOOKUP($A989,Clientes!$A$3:$C$1002,3,0),"NÃO CADASTRADO"))</f>
        <v/>
      </c>
      <c r="J989" s="7">
        <f>IF($A989="","",IF($A989='Carteira do Cliente'!$B$4,COUNTIF($A$3:$A989,'Carteira do Cliente'!$B$4),""))</f>
        <v/>
      </c>
    </row>
    <row r="990">
      <c r="A990" s="5" t="n"/>
      <c r="B990" s="12" t="n"/>
      <c r="C990" s="6" t="n"/>
      <c r="D990" s="6" t="n"/>
      <c r="E990" s="13" t="n"/>
      <c r="F990" s="14" t="n"/>
      <c r="G990" s="12" t="n"/>
      <c r="H990" s="15">
        <f>IF($A990="","",IFERROR(VLOOKUP($A990,Clientes!$A$3:$C$1002,2,0),"NÃO CADASTRADO"))</f>
        <v/>
      </c>
      <c r="I990" s="16">
        <f>IF($A990="","",IFERROR(VLOOKUP($A990,Clientes!$A$3:$C$1002,3,0),"NÃO CADASTRADO"))</f>
        <v/>
      </c>
      <c r="J990" s="12">
        <f>IF($A990="","",IF($A990='Carteira do Cliente'!$B$4,COUNTIF($A$3:$A990,'Carteira do Cliente'!$B$4),""))</f>
        <v/>
      </c>
    </row>
    <row r="991">
      <c r="A991" s="3" t="n"/>
      <c r="B991" s="7" t="n"/>
      <c r="C991" s="4" t="n"/>
      <c r="D991" s="4" t="n"/>
      <c r="E991" s="8" t="n"/>
      <c r="F991" s="9" t="n"/>
      <c r="G991" s="7" t="n"/>
      <c r="H991" s="10">
        <f>IF($A991="","",IFERROR(VLOOKUP($A991,Clientes!$A$3:$C$1002,2,0),"NÃO CADASTRADO"))</f>
        <v/>
      </c>
      <c r="I991" s="11">
        <f>IF($A991="","",IFERROR(VLOOKUP($A991,Clientes!$A$3:$C$1002,3,0),"NÃO CADASTRADO"))</f>
        <v/>
      </c>
      <c r="J991" s="7">
        <f>IF($A991="","",IF($A991='Carteira do Cliente'!$B$4,COUNTIF($A$3:$A991,'Carteira do Cliente'!$B$4),""))</f>
        <v/>
      </c>
    </row>
    <row r="992">
      <c r="A992" s="5" t="n"/>
      <c r="B992" s="12" t="n"/>
      <c r="C992" s="6" t="n"/>
      <c r="D992" s="6" t="n"/>
      <c r="E992" s="13" t="n"/>
      <c r="F992" s="14" t="n"/>
      <c r="G992" s="12" t="n"/>
      <c r="H992" s="15">
        <f>IF($A992="","",IFERROR(VLOOKUP($A992,Clientes!$A$3:$C$1002,2,0),"NÃO CADASTRADO"))</f>
        <v/>
      </c>
      <c r="I992" s="16">
        <f>IF($A992="","",IFERROR(VLOOKUP($A992,Clientes!$A$3:$C$1002,3,0),"NÃO CADASTRADO"))</f>
        <v/>
      </c>
      <c r="J992" s="12">
        <f>IF($A992="","",IF($A992='Carteira do Cliente'!$B$4,COUNTIF($A$3:$A992,'Carteira do Cliente'!$B$4),""))</f>
        <v/>
      </c>
    </row>
    <row r="993">
      <c r="A993" s="3" t="n"/>
      <c r="B993" s="7" t="n"/>
      <c r="C993" s="4" t="n"/>
      <c r="D993" s="4" t="n"/>
      <c r="E993" s="8" t="n"/>
      <c r="F993" s="9" t="n"/>
      <c r="G993" s="7" t="n"/>
      <c r="H993" s="10">
        <f>IF($A993="","",IFERROR(VLOOKUP($A993,Clientes!$A$3:$C$1002,2,0),"NÃO CADASTRADO"))</f>
        <v/>
      </c>
      <c r="I993" s="11">
        <f>IF($A993="","",IFERROR(VLOOKUP($A993,Clientes!$A$3:$C$1002,3,0),"NÃO CADASTRADO"))</f>
        <v/>
      </c>
      <c r="J993" s="7">
        <f>IF($A993="","",IF($A993='Carteira do Cliente'!$B$4,COUNTIF($A$3:$A993,'Carteira do Cliente'!$B$4),""))</f>
        <v/>
      </c>
    </row>
    <row r="994">
      <c r="A994" s="5" t="n"/>
      <c r="B994" s="12" t="n"/>
      <c r="C994" s="6" t="n"/>
      <c r="D994" s="6" t="n"/>
      <c r="E994" s="13" t="n"/>
      <c r="F994" s="14" t="n"/>
      <c r="G994" s="12" t="n"/>
      <c r="H994" s="15">
        <f>IF($A994="","",IFERROR(VLOOKUP($A994,Clientes!$A$3:$C$1002,2,0),"NÃO CADASTRADO"))</f>
        <v/>
      </c>
      <c r="I994" s="16">
        <f>IF($A994="","",IFERROR(VLOOKUP($A994,Clientes!$A$3:$C$1002,3,0),"NÃO CADASTRADO"))</f>
        <v/>
      </c>
      <c r="J994" s="12">
        <f>IF($A994="","",IF($A994='Carteira do Cliente'!$B$4,COUNTIF($A$3:$A994,'Carteira do Cliente'!$B$4),""))</f>
        <v/>
      </c>
    </row>
    <row r="995">
      <c r="A995" s="3" t="n"/>
      <c r="B995" s="7" t="n"/>
      <c r="C995" s="4" t="n"/>
      <c r="D995" s="4" t="n"/>
      <c r="E995" s="8" t="n"/>
      <c r="F995" s="9" t="n"/>
      <c r="G995" s="7" t="n"/>
      <c r="H995" s="10">
        <f>IF($A995="","",IFERROR(VLOOKUP($A995,Clientes!$A$3:$C$1002,2,0),"NÃO CADASTRADO"))</f>
        <v/>
      </c>
      <c r="I995" s="11">
        <f>IF($A995="","",IFERROR(VLOOKUP($A995,Clientes!$A$3:$C$1002,3,0),"NÃO CADASTRADO"))</f>
        <v/>
      </c>
      <c r="J995" s="7">
        <f>IF($A995="","",IF($A995='Carteira do Cliente'!$B$4,COUNTIF($A$3:$A995,'Carteira do Cliente'!$B$4),""))</f>
        <v/>
      </c>
    </row>
    <row r="996">
      <c r="A996" s="5" t="n"/>
      <c r="B996" s="12" t="n"/>
      <c r="C996" s="6" t="n"/>
      <c r="D996" s="6" t="n"/>
      <c r="E996" s="13" t="n"/>
      <c r="F996" s="14" t="n"/>
      <c r="G996" s="12" t="n"/>
      <c r="H996" s="15">
        <f>IF($A996="","",IFERROR(VLOOKUP($A996,Clientes!$A$3:$C$1002,2,0),"NÃO CADASTRADO"))</f>
        <v/>
      </c>
      <c r="I996" s="16">
        <f>IF($A996="","",IFERROR(VLOOKUP($A996,Clientes!$A$3:$C$1002,3,0),"NÃO CADASTRADO"))</f>
        <v/>
      </c>
      <c r="J996" s="12">
        <f>IF($A996="","",IF($A996='Carteira do Cliente'!$B$4,COUNTIF($A$3:$A996,'Carteira do Cliente'!$B$4),""))</f>
        <v/>
      </c>
    </row>
    <row r="997">
      <c r="A997" s="3" t="n"/>
      <c r="B997" s="7" t="n"/>
      <c r="C997" s="4" t="n"/>
      <c r="D997" s="4" t="n"/>
      <c r="E997" s="8" t="n"/>
      <c r="F997" s="9" t="n"/>
      <c r="G997" s="7" t="n"/>
      <c r="H997" s="10">
        <f>IF($A997="","",IFERROR(VLOOKUP($A997,Clientes!$A$3:$C$1002,2,0),"NÃO CADASTRADO"))</f>
        <v/>
      </c>
      <c r="I997" s="11">
        <f>IF($A997="","",IFERROR(VLOOKUP($A997,Clientes!$A$3:$C$1002,3,0),"NÃO CADASTRADO"))</f>
        <v/>
      </c>
      <c r="J997" s="7">
        <f>IF($A997="","",IF($A997='Carteira do Cliente'!$B$4,COUNTIF($A$3:$A997,'Carteira do Cliente'!$B$4),""))</f>
        <v/>
      </c>
    </row>
    <row r="998">
      <c r="A998" s="5" t="n"/>
      <c r="B998" s="12" t="n"/>
      <c r="C998" s="6" t="n"/>
      <c r="D998" s="6" t="n"/>
      <c r="E998" s="13" t="n"/>
      <c r="F998" s="14" t="n"/>
      <c r="G998" s="12" t="n"/>
      <c r="H998" s="15">
        <f>IF($A998="","",IFERROR(VLOOKUP($A998,Clientes!$A$3:$C$1002,2,0),"NÃO CADASTRADO"))</f>
        <v/>
      </c>
      <c r="I998" s="16">
        <f>IF($A998="","",IFERROR(VLOOKUP($A998,Clientes!$A$3:$C$1002,3,0),"NÃO CADASTRADO"))</f>
        <v/>
      </c>
      <c r="J998" s="12">
        <f>IF($A998="","",IF($A998='Carteira do Cliente'!$B$4,COUNTIF($A$3:$A998,'Carteira do Cliente'!$B$4),""))</f>
        <v/>
      </c>
    </row>
    <row r="999">
      <c r="A999" s="3" t="n"/>
      <c r="B999" s="7" t="n"/>
      <c r="C999" s="4" t="n"/>
      <c r="D999" s="4" t="n"/>
      <c r="E999" s="8" t="n"/>
      <c r="F999" s="9" t="n"/>
      <c r="G999" s="7" t="n"/>
      <c r="H999" s="10">
        <f>IF($A999="","",IFERROR(VLOOKUP($A999,Clientes!$A$3:$C$1002,2,0),"NÃO CADASTRADO"))</f>
        <v/>
      </c>
      <c r="I999" s="11">
        <f>IF($A999="","",IFERROR(VLOOKUP($A999,Clientes!$A$3:$C$1002,3,0),"NÃO CADASTRADO"))</f>
        <v/>
      </c>
      <c r="J999" s="7">
        <f>IF($A999="","",IF($A999='Carteira do Cliente'!$B$4,COUNTIF($A$3:$A999,'Carteira do Cliente'!$B$4),""))</f>
        <v/>
      </c>
    </row>
    <row r="1000">
      <c r="A1000" s="5" t="n"/>
      <c r="B1000" s="12" t="n"/>
      <c r="C1000" s="6" t="n"/>
      <c r="D1000" s="6" t="n"/>
      <c r="E1000" s="13" t="n"/>
      <c r="F1000" s="14" t="n"/>
      <c r="G1000" s="12" t="n"/>
      <c r="H1000" s="15">
        <f>IF($A1000="","",IFERROR(VLOOKUP($A1000,Clientes!$A$3:$C$1002,2,0),"NÃO CADASTRADO"))</f>
        <v/>
      </c>
      <c r="I1000" s="16">
        <f>IF($A1000="","",IFERROR(VLOOKUP($A1000,Clientes!$A$3:$C$1002,3,0),"NÃO CADASTRADO"))</f>
        <v/>
      </c>
      <c r="J1000" s="12">
        <f>IF($A1000="","",IF($A1000='Carteira do Cliente'!$B$4,COUNTIF($A$3:$A1000,'Carteira do Cliente'!$B$4),""))</f>
        <v/>
      </c>
    </row>
    <row r="1001">
      <c r="A1001" s="3" t="n"/>
      <c r="B1001" s="7" t="n"/>
      <c r="C1001" s="4" t="n"/>
      <c r="D1001" s="4" t="n"/>
      <c r="E1001" s="8" t="n"/>
      <c r="F1001" s="9" t="n"/>
      <c r="G1001" s="7" t="n"/>
      <c r="H1001" s="10">
        <f>IF($A1001="","",IFERROR(VLOOKUP($A1001,Clientes!$A$3:$C$1002,2,0),"NÃO CADASTRADO"))</f>
        <v/>
      </c>
      <c r="I1001" s="11">
        <f>IF($A1001="","",IFERROR(VLOOKUP($A1001,Clientes!$A$3:$C$1002,3,0),"NÃO CADASTRADO"))</f>
        <v/>
      </c>
      <c r="J1001" s="7">
        <f>IF($A1001="","",IF($A1001='Carteira do Cliente'!$B$4,COUNTIF($A$3:$A1001,'Carteira do Cliente'!$B$4),""))</f>
        <v/>
      </c>
    </row>
    <row r="1002">
      <c r="A1002" s="5" t="n"/>
      <c r="B1002" s="12" t="n"/>
      <c r="C1002" s="6" t="n"/>
      <c r="D1002" s="6" t="n"/>
      <c r="E1002" s="13" t="n"/>
      <c r="F1002" s="14" t="n"/>
      <c r="G1002" s="12" t="n"/>
      <c r="H1002" s="15">
        <f>IF($A1002="","",IFERROR(VLOOKUP($A1002,Clientes!$A$3:$C$1002,2,0),"NÃO CADASTRADO"))</f>
        <v/>
      </c>
      <c r="I1002" s="16">
        <f>IF($A1002="","",IFERROR(VLOOKUP($A1002,Clientes!$A$3:$C$1002,3,0),"NÃO CADASTRADO"))</f>
        <v/>
      </c>
      <c r="J1002" s="12">
        <f>IF($A1002="","",IF($A1002='Carteira do Cliente'!$B$4,COUNTIF($A$3:$A1002,'Carteira do Cliente'!$B$4),""))</f>
        <v/>
      </c>
    </row>
  </sheetData>
  <mergeCells count="1">
    <mergeCell ref="A1:J1"/>
  </mergeCells>
  <conditionalFormatting sqref="H3:I1002">
    <cfRule type="expression" priority="1" dxfId="0">
      <formula>H3="NÃO CADASTRADO"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3" customWidth="1" min="4" max="4"/>
    <col width="12" customWidth="1" min="5" max="5"/>
    <col width="10" customWidth="1" min="6" max="6"/>
  </cols>
  <sheetData>
    <row r="1" ht="30" customHeight="1">
      <c r="A1" s="1" t="inlineStr">
        <is>
          <t>CARTEIRA DO CLIENTE — POSIÇÃO ATUAL</t>
        </is>
      </c>
    </row>
    <row r="3">
      <c r="A3" s="17" t="inlineStr">
        <is>
          <t>Cliente:</t>
        </is>
      </c>
      <c r="B3" s="18" t="n"/>
    </row>
    <row r="4">
      <c r="A4" s="17" t="inlineStr">
        <is>
          <t>Penumper:</t>
        </is>
      </c>
      <c r="B4" s="19">
        <f>IFERROR(INDEX(Clientes!$A$3:$A$1002,MATCH($B$3,Clientes!$B$3:$B$1002,0)),"")</f>
        <v/>
      </c>
    </row>
    <row r="5">
      <c r="A5" s="17" t="inlineStr">
        <is>
          <t>CPF:</t>
        </is>
      </c>
      <c r="B5" s="19">
        <f>IFERROR(INDEX(Clientes!$C$3:$C$1002,MATCH($B$3,Clientes!$B$3:$B$1002,0)),"")</f>
        <v/>
      </c>
    </row>
    <row r="6">
      <c r="A6" s="17" t="inlineStr">
        <is>
          <t>Patrimônio total:</t>
        </is>
      </c>
      <c r="B6" s="20">
        <f>SUMIFS(Aplicacoes!$F$3:$F$1002,Aplicacoes!$A$3:$A$1002,$B$4)</f>
        <v/>
      </c>
    </row>
    <row r="7">
      <c r="A7" s="17" t="inlineStr">
        <is>
          <t>Nº de aplicações:</t>
        </is>
      </c>
      <c r="B7" s="21">
        <f>COUNTIF(Aplicacoes!$A$3:$A$1002,$B$4)</f>
        <v/>
      </c>
    </row>
    <row r="9" ht="20" customHeight="1">
      <c r="A9" s="22" t="inlineStr">
        <is>
          <t>ALOCAÇÃO POR PRODUTO / CLASSE</t>
        </is>
      </c>
    </row>
    <row r="10">
      <c r="A10" s="2" t="inlineStr">
        <is>
          <t>Classe</t>
        </is>
      </c>
      <c r="B10" s="2" t="inlineStr">
        <is>
          <t>Filtro (contém)</t>
        </is>
      </c>
      <c r="C10" s="2" t="inlineStr">
        <is>
          <t>Saldo (R$)</t>
        </is>
      </c>
      <c r="D10" s="2" t="inlineStr">
        <is>
          <t>% da carteira</t>
        </is>
      </c>
    </row>
    <row r="11">
      <c r="A11" s="23" t="inlineStr">
        <is>
          <t>Fundos</t>
        </is>
      </c>
      <c r="B11" s="23" t="inlineStr">
        <is>
          <t>FUNDOS</t>
        </is>
      </c>
      <c r="C11" s="24">
        <f>IF($B11="",0,SUMIFS(Aplicacoes!$F$3:$F$1002,Aplicacoes!$A$3:$A$1002,$B$4,Aplicacoes!$C$3:$C$1002,"*"&amp;$B11&amp;"*"))</f>
        <v/>
      </c>
      <c r="D11" s="25">
        <f>IFERROR($C11/$B$6,0)</f>
        <v/>
      </c>
    </row>
    <row r="12">
      <c r="A12" s="23" t="inlineStr">
        <is>
          <t>Crédito Privado</t>
        </is>
      </c>
      <c r="B12" s="23" t="inlineStr">
        <is>
          <t>CRED</t>
        </is>
      </c>
      <c r="C12" s="26">
        <f>IF($B12="",0,SUMIFS(Aplicacoes!$F$3:$F$1002,Aplicacoes!$A$3:$A$1002,$B$4,Aplicacoes!$C$3:$C$1002,"*"&amp;$B12&amp;"*"))</f>
        <v/>
      </c>
      <c r="D12" s="27">
        <f>IFERROR($C12/$B$6,0)</f>
        <v/>
      </c>
    </row>
    <row r="13">
      <c r="A13" s="23" t="inlineStr">
        <is>
          <t>Letras (LCI/LCA)</t>
        </is>
      </c>
      <c r="B13" s="23" t="inlineStr">
        <is>
          <t>LETRAS</t>
        </is>
      </c>
      <c r="C13" s="24">
        <f>IF($B13="",0,SUMIFS(Aplicacoes!$F$3:$F$1002,Aplicacoes!$A$3:$A$1002,$B$4,Aplicacoes!$C$3:$C$1002,"*"&amp;$B13&amp;"*"))</f>
        <v/>
      </c>
      <c r="D13" s="25">
        <f>IFERROR($C13/$B$6,0)</f>
        <v/>
      </c>
    </row>
    <row r="14">
      <c r="A14" s="23" t="inlineStr">
        <is>
          <t>CDB</t>
        </is>
      </c>
      <c r="B14" s="23" t="inlineStr">
        <is>
          <t>CDB</t>
        </is>
      </c>
      <c r="C14" s="26">
        <f>IF($B14="",0,SUMIFS(Aplicacoes!$F$3:$F$1002,Aplicacoes!$A$3:$A$1002,$B$4,Aplicacoes!$C$3:$C$1002,"*"&amp;$B14&amp;"*"))</f>
        <v/>
      </c>
      <c r="D14" s="27">
        <f>IFERROR($C14/$B$6,0)</f>
        <v/>
      </c>
    </row>
    <row r="15">
      <c r="A15" s="23" t="inlineStr">
        <is>
          <t>LCA (emissor direto)</t>
        </is>
      </c>
      <c r="B15" s="23" t="inlineStr">
        <is>
          <t>LCA</t>
        </is>
      </c>
      <c r="C15" s="24">
        <f>IF($B15="",0,SUMIFS(Aplicacoes!$F$3:$F$1002,Aplicacoes!$A$3:$A$1002,$B$4,Aplicacoes!$C$3:$C$1002,"*"&amp;$B15&amp;"*"))</f>
        <v/>
      </c>
      <c r="D15" s="25">
        <f>IFERROR($C15/$B$6,0)</f>
        <v/>
      </c>
    </row>
    <row r="16">
      <c r="A16" s="23" t="inlineStr">
        <is>
          <t>Tesouraria / Outros</t>
        </is>
      </c>
      <c r="B16" s="23" t="inlineStr">
        <is>
          <t>TESOURARIA</t>
        </is>
      </c>
      <c r="C16" s="26">
        <f>IF($B16="",0,SUMIFS(Aplicacoes!$F$3:$F$1002,Aplicacoes!$A$3:$A$1002,$B$4,Aplicacoes!$C$3:$C$1002,"*"&amp;$B16&amp;"*"))</f>
        <v/>
      </c>
      <c r="D16" s="27">
        <f>IFERROR($C16/$B$6,0)</f>
        <v/>
      </c>
    </row>
    <row r="17">
      <c r="A17" s="23" t="inlineStr"/>
      <c r="B17" s="23" t="inlineStr"/>
      <c r="C17" s="24">
        <f>IF($B17="",0,SUMIFS(Aplicacoes!$F$3:$F$1002,Aplicacoes!$A$3:$A$1002,$B$4,Aplicacoes!$C$3:$C$1002,"*"&amp;$B17&amp;"*"))</f>
        <v/>
      </c>
      <c r="D17" s="25">
        <f>IFERROR($C17/$B$6,0)</f>
        <v/>
      </c>
    </row>
    <row r="18">
      <c r="A18" s="23" t="inlineStr"/>
      <c r="B18" s="23" t="inlineStr"/>
      <c r="C18" s="26">
        <f>IF($B18="",0,SUMIFS(Aplicacoes!$F$3:$F$1002,Aplicacoes!$A$3:$A$1002,$B$4,Aplicacoes!$C$3:$C$1002,"*"&amp;$B18&amp;"*"))</f>
        <v/>
      </c>
      <c r="D18" s="27">
        <f>IFERROR($C18/$B$6,0)</f>
        <v/>
      </c>
    </row>
    <row r="19">
      <c r="A19" s="28" t="inlineStr">
        <is>
          <t>TOTAL CLASSIFICADO</t>
        </is>
      </c>
      <c r="B19" s="29" t="n"/>
      <c r="C19" s="30">
        <f>SUM(C11:C18)</f>
        <v/>
      </c>
      <c r="D19" s="31">
        <f>SUM(D11:D18)</f>
        <v/>
      </c>
    </row>
    <row r="20">
      <c r="A20" s="28" t="inlineStr">
        <is>
          <t>Não classificado</t>
        </is>
      </c>
      <c r="B20" s="29" t="n"/>
      <c r="C20" s="30">
        <f>$B$6-$C$19</f>
        <v/>
      </c>
      <c r="D20" s="31">
        <f>IFERROR($C20/$B$6,0)</f>
        <v/>
      </c>
    </row>
    <row r="22" ht="20" customHeight="1">
      <c r="A22" s="22" t="inlineStr">
        <is>
          <t>APLICAÇÕES DO CLIENTE</t>
        </is>
      </c>
    </row>
    <row r="23">
      <c r="A23" s="2" t="inlineStr">
        <is>
          <t>Produto</t>
        </is>
      </c>
      <c r="B23" s="2" t="inlineStr">
        <is>
          <t>Subproduto</t>
        </is>
      </c>
      <c r="C23" s="2" t="inlineStr">
        <is>
          <t>Vencimento</t>
        </is>
      </c>
      <c r="D23" s="2" t="inlineStr">
        <is>
          <t>Saldo (R$)</t>
        </is>
      </c>
      <c r="E23" s="2" t="inlineStr">
        <is>
          <t>% carteira</t>
        </is>
      </c>
      <c r="F23" s="2" t="inlineStr">
        <is>
          <t>Idade</t>
        </is>
      </c>
    </row>
    <row r="24">
      <c r="A24" s="4">
        <f>IFERROR(INDEX(Aplicacoes!$C$3:$C$1002,MATCH(1,Aplicacoes!$J$3:$J$1002,0)),"")</f>
        <v/>
      </c>
      <c r="B24" s="4">
        <f>IFERROR(INDEX(Aplicacoes!$D$3:$D$1002,MATCH(1,Aplicacoes!$J$3:$J$1002,0)),"")</f>
        <v/>
      </c>
      <c r="C24" s="32">
        <f>IFERROR(INDEX(Aplicacoes!$E$3:$E$1002,MATCH(1,Aplicacoes!$J$3:$J$1002,0)),"")</f>
        <v/>
      </c>
      <c r="D24" s="26">
        <f>IFERROR(INDEX(Aplicacoes!$F$3:$F$1002,MATCH(1,Aplicacoes!$J$3:$J$1002,0)),"")</f>
        <v/>
      </c>
      <c r="E24" s="27">
        <f>IFERROR(INDEX(Aplicacoes!$F$3:$F$1002,MATCH(1,Aplicacoes!$J$3:$J$1002,0))/$B$6,"")</f>
        <v/>
      </c>
      <c r="F24" s="33">
        <f>IFERROR(INDEX(Aplicacoes!$G$3:$G$1002,MATCH(1,Aplicacoes!$J$3:$J$1002,0)),"")</f>
        <v/>
      </c>
    </row>
    <row r="25">
      <c r="A25" s="6">
        <f>IFERROR(INDEX(Aplicacoes!$C$3:$C$1002,MATCH(2,Aplicacoes!$J$3:$J$1002,0)),"")</f>
        <v/>
      </c>
      <c r="B25" s="6">
        <f>IFERROR(INDEX(Aplicacoes!$D$3:$D$1002,MATCH(2,Aplicacoes!$J$3:$J$1002,0)),"")</f>
        <v/>
      </c>
      <c r="C25" s="34">
        <f>IFERROR(INDEX(Aplicacoes!$E$3:$E$1002,MATCH(2,Aplicacoes!$J$3:$J$1002,0)),"")</f>
        <v/>
      </c>
      <c r="D25" s="24">
        <f>IFERROR(INDEX(Aplicacoes!$F$3:$F$1002,MATCH(2,Aplicacoes!$J$3:$J$1002,0)),"")</f>
        <v/>
      </c>
      <c r="E25" s="25">
        <f>IFERROR(INDEX(Aplicacoes!$F$3:$F$1002,MATCH(2,Aplicacoes!$J$3:$J$1002,0))/$B$6,"")</f>
        <v/>
      </c>
      <c r="F25" s="35">
        <f>IFERROR(INDEX(Aplicacoes!$G$3:$G$1002,MATCH(2,Aplicacoes!$J$3:$J$1002,0)),"")</f>
        <v/>
      </c>
    </row>
    <row r="26">
      <c r="A26" s="4">
        <f>IFERROR(INDEX(Aplicacoes!$C$3:$C$1002,MATCH(3,Aplicacoes!$J$3:$J$1002,0)),"")</f>
        <v/>
      </c>
      <c r="B26" s="4">
        <f>IFERROR(INDEX(Aplicacoes!$D$3:$D$1002,MATCH(3,Aplicacoes!$J$3:$J$1002,0)),"")</f>
        <v/>
      </c>
      <c r="C26" s="32">
        <f>IFERROR(INDEX(Aplicacoes!$E$3:$E$1002,MATCH(3,Aplicacoes!$J$3:$J$1002,0)),"")</f>
        <v/>
      </c>
      <c r="D26" s="26">
        <f>IFERROR(INDEX(Aplicacoes!$F$3:$F$1002,MATCH(3,Aplicacoes!$J$3:$J$1002,0)),"")</f>
        <v/>
      </c>
      <c r="E26" s="27">
        <f>IFERROR(INDEX(Aplicacoes!$F$3:$F$1002,MATCH(3,Aplicacoes!$J$3:$J$1002,0))/$B$6,"")</f>
        <v/>
      </c>
      <c r="F26" s="33">
        <f>IFERROR(INDEX(Aplicacoes!$G$3:$G$1002,MATCH(3,Aplicacoes!$J$3:$J$1002,0)),"")</f>
        <v/>
      </c>
    </row>
    <row r="27">
      <c r="A27" s="6">
        <f>IFERROR(INDEX(Aplicacoes!$C$3:$C$1002,MATCH(4,Aplicacoes!$J$3:$J$1002,0)),"")</f>
        <v/>
      </c>
      <c r="B27" s="6">
        <f>IFERROR(INDEX(Aplicacoes!$D$3:$D$1002,MATCH(4,Aplicacoes!$J$3:$J$1002,0)),"")</f>
        <v/>
      </c>
      <c r="C27" s="34">
        <f>IFERROR(INDEX(Aplicacoes!$E$3:$E$1002,MATCH(4,Aplicacoes!$J$3:$J$1002,0)),"")</f>
        <v/>
      </c>
      <c r="D27" s="24">
        <f>IFERROR(INDEX(Aplicacoes!$F$3:$F$1002,MATCH(4,Aplicacoes!$J$3:$J$1002,0)),"")</f>
        <v/>
      </c>
      <c r="E27" s="25">
        <f>IFERROR(INDEX(Aplicacoes!$F$3:$F$1002,MATCH(4,Aplicacoes!$J$3:$J$1002,0))/$B$6,"")</f>
        <v/>
      </c>
      <c r="F27" s="35">
        <f>IFERROR(INDEX(Aplicacoes!$G$3:$G$1002,MATCH(4,Aplicacoes!$J$3:$J$1002,0)),"")</f>
        <v/>
      </c>
    </row>
    <row r="28">
      <c r="A28" s="4">
        <f>IFERROR(INDEX(Aplicacoes!$C$3:$C$1002,MATCH(5,Aplicacoes!$J$3:$J$1002,0)),"")</f>
        <v/>
      </c>
      <c r="B28" s="4">
        <f>IFERROR(INDEX(Aplicacoes!$D$3:$D$1002,MATCH(5,Aplicacoes!$J$3:$J$1002,0)),"")</f>
        <v/>
      </c>
      <c r="C28" s="32">
        <f>IFERROR(INDEX(Aplicacoes!$E$3:$E$1002,MATCH(5,Aplicacoes!$J$3:$J$1002,0)),"")</f>
        <v/>
      </c>
      <c r="D28" s="26">
        <f>IFERROR(INDEX(Aplicacoes!$F$3:$F$1002,MATCH(5,Aplicacoes!$J$3:$J$1002,0)),"")</f>
        <v/>
      </c>
      <c r="E28" s="27">
        <f>IFERROR(INDEX(Aplicacoes!$F$3:$F$1002,MATCH(5,Aplicacoes!$J$3:$J$1002,0))/$B$6,"")</f>
        <v/>
      </c>
      <c r="F28" s="33">
        <f>IFERROR(INDEX(Aplicacoes!$G$3:$G$1002,MATCH(5,Aplicacoes!$J$3:$J$1002,0)),"")</f>
        <v/>
      </c>
    </row>
    <row r="29">
      <c r="A29" s="6">
        <f>IFERROR(INDEX(Aplicacoes!$C$3:$C$1002,MATCH(6,Aplicacoes!$J$3:$J$1002,0)),"")</f>
        <v/>
      </c>
      <c r="B29" s="6">
        <f>IFERROR(INDEX(Aplicacoes!$D$3:$D$1002,MATCH(6,Aplicacoes!$J$3:$J$1002,0)),"")</f>
        <v/>
      </c>
      <c r="C29" s="34">
        <f>IFERROR(INDEX(Aplicacoes!$E$3:$E$1002,MATCH(6,Aplicacoes!$J$3:$J$1002,0)),"")</f>
        <v/>
      </c>
      <c r="D29" s="24">
        <f>IFERROR(INDEX(Aplicacoes!$F$3:$F$1002,MATCH(6,Aplicacoes!$J$3:$J$1002,0)),"")</f>
        <v/>
      </c>
      <c r="E29" s="25">
        <f>IFERROR(INDEX(Aplicacoes!$F$3:$F$1002,MATCH(6,Aplicacoes!$J$3:$J$1002,0))/$B$6,"")</f>
        <v/>
      </c>
      <c r="F29" s="35">
        <f>IFERROR(INDEX(Aplicacoes!$G$3:$G$1002,MATCH(6,Aplicacoes!$J$3:$J$1002,0)),"")</f>
        <v/>
      </c>
    </row>
    <row r="30">
      <c r="A30" s="4">
        <f>IFERROR(INDEX(Aplicacoes!$C$3:$C$1002,MATCH(7,Aplicacoes!$J$3:$J$1002,0)),"")</f>
        <v/>
      </c>
      <c r="B30" s="4">
        <f>IFERROR(INDEX(Aplicacoes!$D$3:$D$1002,MATCH(7,Aplicacoes!$J$3:$J$1002,0)),"")</f>
        <v/>
      </c>
      <c r="C30" s="32">
        <f>IFERROR(INDEX(Aplicacoes!$E$3:$E$1002,MATCH(7,Aplicacoes!$J$3:$J$1002,0)),"")</f>
        <v/>
      </c>
      <c r="D30" s="26">
        <f>IFERROR(INDEX(Aplicacoes!$F$3:$F$1002,MATCH(7,Aplicacoes!$J$3:$J$1002,0)),"")</f>
        <v/>
      </c>
      <c r="E30" s="27">
        <f>IFERROR(INDEX(Aplicacoes!$F$3:$F$1002,MATCH(7,Aplicacoes!$J$3:$J$1002,0))/$B$6,"")</f>
        <v/>
      </c>
      <c r="F30" s="33">
        <f>IFERROR(INDEX(Aplicacoes!$G$3:$G$1002,MATCH(7,Aplicacoes!$J$3:$J$1002,0)),"")</f>
        <v/>
      </c>
    </row>
    <row r="31">
      <c r="A31" s="6">
        <f>IFERROR(INDEX(Aplicacoes!$C$3:$C$1002,MATCH(8,Aplicacoes!$J$3:$J$1002,0)),"")</f>
        <v/>
      </c>
      <c r="B31" s="6">
        <f>IFERROR(INDEX(Aplicacoes!$D$3:$D$1002,MATCH(8,Aplicacoes!$J$3:$J$1002,0)),"")</f>
        <v/>
      </c>
      <c r="C31" s="34">
        <f>IFERROR(INDEX(Aplicacoes!$E$3:$E$1002,MATCH(8,Aplicacoes!$J$3:$J$1002,0)),"")</f>
        <v/>
      </c>
      <c r="D31" s="24">
        <f>IFERROR(INDEX(Aplicacoes!$F$3:$F$1002,MATCH(8,Aplicacoes!$J$3:$J$1002,0)),"")</f>
        <v/>
      </c>
      <c r="E31" s="25">
        <f>IFERROR(INDEX(Aplicacoes!$F$3:$F$1002,MATCH(8,Aplicacoes!$J$3:$J$1002,0))/$B$6,"")</f>
        <v/>
      </c>
      <c r="F31" s="35">
        <f>IFERROR(INDEX(Aplicacoes!$G$3:$G$1002,MATCH(8,Aplicacoes!$J$3:$J$1002,0)),"")</f>
        <v/>
      </c>
    </row>
    <row r="32">
      <c r="A32" s="4">
        <f>IFERROR(INDEX(Aplicacoes!$C$3:$C$1002,MATCH(9,Aplicacoes!$J$3:$J$1002,0)),"")</f>
        <v/>
      </c>
      <c r="B32" s="4">
        <f>IFERROR(INDEX(Aplicacoes!$D$3:$D$1002,MATCH(9,Aplicacoes!$J$3:$J$1002,0)),"")</f>
        <v/>
      </c>
      <c r="C32" s="32">
        <f>IFERROR(INDEX(Aplicacoes!$E$3:$E$1002,MATCH(9,Aplicacoes!$J$3:$J$1002,0)),"")</f>
        <v/>
      </c>
      <c r="D32" s="26">
        <f>IFERROR(INDEX(Aplicacoes!$F$3:$F$1002,MATCH(9,Aplicacoes!$J$3:$J$1002,0)),"")</f>
        <v/>
      </c>
      <c r="E32" s="27">
        <f>IFERROR(INDEX(Aplicacoes!$F$3:$F$1002,MATCH(9,Aplicacoes!$J$3:$J$1002,0))/$B$6,"")</f>
        <v/>
      </c>
      <c r="F32" s="33">
        <f>IFERROR(INDEX(Aplicacoes!$G$3:$G$1002,MATCH(9,Aplicacoes!$J$3:$J$1002,0)),"")</f>
        <v/>
      </c>
    </row>
    <row r="33">
      <c r="A33" s="6">
        <f>IFERROR(INDEX(Aplicacoes!$C$3:$C$1002,MATCH(10,Aplicacoes!$J$3:$J$1002,0)),"")</f>
        <v/>
      </c>
      <c r="B33" s="6">
        <f>IFERROR(INDEX(Aplicacoes!$D$3:$D$1002,MATCH(10,Aplicacoes!$J$3:$J$1002,0)),"")</f>
        <v/>
      </c>
      <c r="C33" s="34">
        <f>IFERROR(INDEX(Aplicacoes!$E$3:$E$1002,MATCH(10,Aplicacoes!$J$3:$J$1002,0)),"")</f>
        <v/>
      </c>
      <c r="D33" s="24">
        <f>IFERROR(INDEX(Aplicacoes!$F$3:$F$1002,MATCH(10,Aplicacoes!$J$3:$J$1002,0)),"")</f>
        <v/>
      </c>
      <c r="E33" s="25">
        <f>IFERROR(INDEX(Aplicacoes!$F$3:$F$1002,MATCH(10,Aplicacoes!$J$3:$J$1002,0))/$B$6,"")</f>
        <v/>
      </c>
      <c r="F33" s="35">
        <f>IFERROR(INDEX(Aplicacoes!$G$3:$G$1002,MATCH(10,Aplicacoes!$J$3:$J$1002,0)),"")</f>
        <v/>
      </c>
    </row>
    <row r="34">
      <c r="A34" s="4">
        <f>IFERROR(INDEX(Aplicacoes!$C$3:$C$1002,MATCH(11,Aplicacoes!$J$3:$J$1002,0)),"")</f>
        <v/>
      </c>
      <c r="B34" s="4">
        <f>IFERROR(INDEX(Aplicacoes!$D$3:$D$1002,MATCH(11,Aplicacoes!$J$3:$J$1002,0)),"")</f>
        <v/>
      </c>
      <c r="C34" s="32">
        <f>IFERROR(INDEX(Aplicacoes!$E$3:$E$1002,MATCH(11,Aplicacoes!$J$3:$J$1002,0)),"")</f>
        <v/>
      </c>
      <c r="D34" s="26">
        <f>IFERROR(INDEX(Aplicacoes!$F$3:$F$1002,MATCH(11,Aplicacoes!$J$3:$J$1002,0)),"")</f>
        <v/>
      </c>
      <c r="E34" s="27">
        <f>IFERROR(INDEX(Aplicacoes!$F$3:$F$1002,MATCH(11,Aplicacoes!$J$3:$J$1002,0))/$B$6,"")</f>
        <v/>
      </c>
      <c r="F34" s="33">
        <f>IFERROR(INDEX(Aplicacoes!$G$3:$G$1002,MATCH(11,Aplicacoes!$J$3:$J$1002,0)),"")</f>
        <v/>
      </c>
    </row>
    <row r="35">
      <c r="A35" s="6">
        <f>IFERROR(INDEX(Aplicacoes!$C$3:$C$1002,MATCH(12,Aplicacoes!$J$3:$J$1002,0)),"")</f>
        <v/>
      </c>
      <c r="B35" s="6">
        <f>IFERROR(INDEX(Aplicacoes!$D$3:$D$1002,MATCH(12,Aplicacoes!$J$3:$J$1002,0)),"")</f>
        <v/>
      </c>
      <c r="C35" s="34">
        <f>IFERROR(INDEX(Aplicacoes!$E$3:$E$1002,MATCH(12,Aplicacoes!$J$3:$J$1002,0)),"")</f>
        <v/>
      </c>
      <c r="D35" s="24">
        <f>IFERROR(INDEX(Aplicacoes!$F$3:$F$1002,MATCH(12,Aplicacoes!$J$3:$J$1002,0)),"")</f>
        <v/>
      </c>
      <c r="E35" s="25">
        <f>IFERROR(INDEX(Aplicacoes!$F$3:$F$1002,MATCH(12,Aplicacoes!$J$3:$J$1002,0))/$B$6,"")</f>
        <v/>
      </c>
      <c r="F35" s="35">
        <f>IFERROR(INDEX(Aplicacoes!$G$3:$G$1002,MATCH(12,Aplicacoes!$J$3:$J$1002,0)),"")</f>
        <v/>
      </c>
    </row>
    <row r="36">
      <c r="A36" s="4">
        <f>IFERROR(INDEX(Aplicacoes!$C$3:$C$1002,MATCH(13,Aplicacoes!$J$3:$J$1002,0)),"")</f>
        <v/>
      </c>
      <c r="B36" s="4">
        <f>IFERROR(INDEX(Aplicacoes!$D$3:$D$1002,MATCH(13,Aplicacoes!$J$3:$J$1002,0)),"")</f>
        <v/>
      </c>
      <c r="C36" s="32">
        <f>IFERROR(INDEX(Aplicacoes!$E$3:$E$1002,MATCH(13,Aplicacoes!$J$3:$J$1002,0)),"")</f>
        <v/>
      </c>
      <c r="D36" s="26">
        <f>IFERROR(INDEX(Aplicacoes!$F$3:$F$1002,MATCH(13,Aplicacoes!$J$3:$J$1002,0)),"")</f>
        <v/>
      </c>
      <c r="E36" s="27">
        <f>IFERROR(INDEX(Aplicacoes!$F$3:$F$1002,MATCH(13,Aplicacoes!$J$3:$J$1002,0))/$B$6,"")</f>
        <v/>
      </c>
      <c r="F36" s="33">
        <f>IFERROR(INDEX(Aplicacoes!$G$3:$G$1002,MATCH(13,Aplicacoes!$J$3:$J$1002,0)),"")</f>
        <v/>
      </c>
    </row>
    <row r="37">
      <c r="A37" s="6">
        <f>IFERROR(INDEX(Aplicacoes!$C$3:$C$1002,MATCH(14,Aplicacoes!$J$3:$J$1002,0)),"")</f>
        <v/>
      </c>
      <c r="B37" s="6">
        <f>IFERROR(INDEX(Aplicacoes!$D$3:$D$1002,MATCH(14,Aplicacoes!$J$3:$J$1002,0)),"")</f>
        <v/>
      </c>
      <c r="C37" s="34">
        <f>IFERROR(INDEX(Aplicacoes!$E$3:$E$1002,MATCH(14,Aplicacoes!$J$3:$J$1002,0)),"")</f>
        <v/>
      </c>
      <c r="D37" s="24">
        <f>IFERROR(INDEX(Aplicacoes!$F$3:$F$1002,MATCH(14,Aplicacoes!$J$3:$J$1002,0)),"")</f>
        <v/>
      </c>
      <c r="E37" s="25">
        <f>IFERROR(INDEX(Aplicacoes!$F$3:$F$1002,MATCH(14,Aplicacoes!$J$3:$J$1002,0))/$B$6,"")</f>
        <v/>
      </c>
      <c r="F37" s="35">
        <f>IFERROR(INDEX(Aplicacoes!$G$3:$G$1002,MATCH(14,Aplicacoes!$J$3:$J$1002,0)),"")</f>
        <v/>
      </c>
    </row>
    <row r="38">
      <c r="A38" s="4">
        <f>IFERROR(INDEX(Aplicacoes!$C$3:$C$1002,MATCH(15,Aplicacoes!$J$3:$J$1002,0)),"")</f>
        <v/>
      </c>
      <c r="B38" s="4">
        <f>IFERROR(INDEX(Aplicacoes!$D$3:$D$1002,MATCH(15,Aplicacoes!$J$3:$J$1002,0)),"")</f>
        <v/>
      </c>
      <c r="C38" s="32">
        <f>IFERROR(INDEX(Aplicacoes!$E$3:$E$1002,MATCH(15,Aplicacoes!$J$3:$J$1002,0)),"")</f>
        <v/>
      </c>
      <c r="D38" s="26">
        <f>IFERROR(INDEX(Aplicacoes!$F$3:$F$1002,MATCH(15,Aplicacoes!$J$3:$J$1002,0)),"")</f>
        <v/>
      </c>
      <c r="E38" s="27">
        <f>IFERROR(INDEX(Aplicacoes!$F$3:$F$1002,MATCH(15,Aplicacoes!$J$3:$J$1002,0))/$B$6,"")</f>
        <v/>
      </c>
      <c r="F38" s="33">
        <f>IFERROR(INDEX(Aplicacoes!$G$3:$G$1002,MATCH(15,Aplicacoes!$J$3:$J$1002,0)),"")</f>
        <v/>
      </c>
    </row>
    <row r="39">
      <c r="A39" s="6">
        <f>IFERROR(INDEX(Aplicacoes!$C$3:$C$1002,MATCH(16,Aplicacoes!$J$3:$J$1002,0)),"")</f>
        <v/>
      </c>
      <c r="B39" s="6">
        <f>IFERROR(INDEX(Aplicacoes!$D$3:$D$1002,MATCH(16,Aplicacoes!$J$3:$J$1002,0)),"")</f>
        <v/>
      </c>
      <c r="C39" s="34">
        <f>IFERROR(INDEX(Aplicacoes!$E$3:$E$1002,MATCH(16,Aplicacoes!$J$3:$J$1002,0)),"")</f>
        <v/>
      </c>
      <c r="D39" s="24">
        <f>IFERROR(INDEX(Aplicacoes!$F$3:$F$1002,MATCH(16,Aplicacoes!$J$3:$J$1002,0)),"")</f>
        <v/>
      </c>
      <c r="E39" s="25">
        <f>IFERROR(INDEX(Aplicacoes!$F$3:$F$1002,MATCH(16,Aplicacoes!$J$3:$J$1002,0))/$B$6,"")</f>
        <v/>
      </c>
      <c r="F39" s="35">
        <f>IFERROR(INDEX(Aplicacoes!$G$3:$G$1002,MATCH(16,Aplicacoes!$J$3:$J$1002,0)),"")</f>
        <v/>
      </c>
    </row>
    <row r="40">
      <c r="A40" s="4">
        <f>IFERROR(INDEX(Aplicacoes!$C$3:$C$1002,MATCH(17,Aplicacoes!$J$3:$J$1002,0)),"")</f>
        <v/>
      </c>
      <c r="B40" s="4">
        <f>IFERROR(INDEX(Aplicacoes!$D$3:$D$1002,MATCH(17,Aplicacoes!$J$3:$J$1002,0)),"")</f>
        <v/>
      </c>
      <c r="C40" s="32">
        <f>IFERROR(INDEX(Aplicacoes!$E$3:$E$1002,MATCH(17,Aplicacoes!$J$3:$J$1002,0)),"")</f>
        <v/>
      </c>
      <c r="D40" s="26">
        <f>IFERROR(INDEX(Aplicacoes!$F$3:$F$1002,MATCH(17,Aplicacoes!$J$3:$J$1002,0)),"")</f>
        <v/>
      </c>
      <c r="E40" s="27">
        <f>IFERROR(INDEX(Aplicacoes!$F$3:$F$1002,MATCH(17,Aplicacoes!$J$3:$J$1002,0))/$B$6,"")</f>
        <v/>
      </c>
      <c r="F40" s="33">
        <f>IFERROR(INDEX(Aplicacoes!$G$3:$G$1002,MATCH(17,Aplicacoes!$J$3:$J$1002,0)),"")</f>
        <v/>
      </c>
    </row>
    <row r="41">
      <c r="A41" s="6">
        <f>IFERROR(INDEX(Aplicacoes!$C$3:$C$1002,MATCH(18,Aplicacoes!$J$3:$J$1002,0)),"")</f>
        <v/>
      </c>
      <c r="B41" s="6">
        <f>IFERROR(INDEX(Aplicacoes!$D$3:$D$1002,MATCH(18,Aplicacoes!$J$3:$J$1002,0)),"")</f>
        <v/>
      </c>
      <c r="C41" s="34">
        <f>IFERROR(INDEX(Aplicacoes!$E$3:$E$1002,MATCH(18,Aplicacoes!$J$3:$J$1002,0)),"")</f>
        <v/>
      </c>
      <c r="D41" s="24">
        <f>IFERROR(INDEX(Aplicacoes!$F$3:$F$1002,MATCH(18,Aplicacoes!$J$3:$J$1002,0)),"")</f>
        <v/>
      </c>
      <c r="E41" s="25">
        <f>IFERROR(INDEX(Aplicacoes!$F$3:$F$1002,MATCH(18,Aplicacoes!$J$3:$J$1002,0))/$B$6,"")</f>
        <v/>
      </c>
      <c r="F41" s="35">
        <f>IFERROR(INDEX(Aplicacoes!$G$3:$G$1002,MATCH(18,Aplicacoes!$J$3:$J$1002,0)),"")</f>
        <v/>
      </c>
    </row>
    <row r="42">
      <c r="A42" s="4">
        <f>IFERROR(INDEX(Aplicacoes!$C$3:$C$1002,MATCH(19,Aplicacoes!$J$3:$J$1002,0)),"")</f>
        <v/>
      </c>
      <c r="B42" s="4">
        <f>IFERROR(INDEX(Aplicacoes!$D$3:$D$1002,MATCH(19,Aplicacoes!$J$3:$J$1002,0)),"")</f>
        <v/>
      </c>
      <c r="C42" s="32">
        <f>IFERROR(INDEX(Aplicacoes!$E$3:$E$1002,MATCH(19,Aplicacoes!$J$3:$J$1002,0)),"")</f>
        <v/>
      </c>
      <c r="D42" s="26">
        <f>IFERROR(INDEX(Aplicacoes!$F$3:$F$1002,MATCH(19,Aplicacoes!$J$3:$J$1002,0)),"")</f>
        <v/>
      </c>
      <c r="E42" s="27">
        <f>IFERROR(INDEX(Aplicacoes!$F$3:$F$1002,MATCH(19,Aplicacoes!$J$3:$J$1002,0))/$B$6,"")</f>
        <v/>
      </c>
      <c r="F42" s="33">
        <f>IFERROR(INDEX(Aplicacoes!$G$3:$G$1002,MATCH(19,Aplicacoes!$J$3:$J$1002,0)),"")</f>
        <v/>
      </c>
    </row>
    <row r="43">
      <c r="A43" s="6">
        <f>IFERROR(INDEX(Aplicacoes!$C$3:$C$1002,MATCH(20,Aplicacoes!$J$3:$J$1002,0)),"")</f>
        <v/>
      </c>
      <c r="B43" s="6">
        <f>IFERROR(INDEX(Aplicacoes!$D$3:$D$1002,MATCH(20,Aplicacoes!$J$3:$J$1002,0)),"")</f>
        <v/>
      </c>
      <c r="C43" s="34">
        <f>IFERROR(INDEX(Aplicacoes!$E$3:$E$1002,MATCH(20,Aplicacoes!$J$3:$J$1002,0)),"")</f>
        <v/>
      </c>
      <c r="D43" s="24">
        <f>IFERROR(INDEX(Aplicacoes!$F$3:$F$1002,MATCH(20,Aplicacoes!$J$3:$J$1002,0)),"")</f>
        <v/>
      </c>
      <c r="E43" s="25">
        <f>IFERROR(INDEX(Aplicacoes!$F$3:$F$1002,MATCH(20,Aplicacoes!$J$3:$J$1002,0))/$B$6,"")</f>
        <v/>
      </c>
      <c r="F43" s="35">
        <f>IFERROR(INDEX(Aplicacoes!$G$3:$G$1002,MATCH(20,Aplicacoes!$J$3:$J$1002,0)),"")</f>
        <v/>
      </c>
    </row>
    <row r="44">
      <c r="A44" s="4">
        <f>IFERROR(INDEX(Aplicacoes!$C$3:$C$1002,MATCH(21,Aplicacoes!$J$3:$J$1002,0)),"")</f>
        <v/>
      </c>
      <c r="B44" s="4">
        <f>IFERROR(INDEX(Aplicacoes!$D$3:$D$1002,MATCH(21,Aplicacoes!$J$3:$J$1002,0)),"")</f>
        <v/>
      </c>
      <c r="C44" s="32">
        <f>IFERROR(INDEX(Aplicacoes!$E$3:$E$1002,MATCH(21,Aplicacoes!$J$3:$J$1002,0)),"")</f>
        <v/>
      </c>
      <c r="D44" s="26">
        <f>IFERROR(INDEX(Aplicacoes!$F$3:$F$1002,MATCH(21,Aplicacoes!$J$3:$J$1002,0)),"")</f>
        <v/>
      </c>
      <c r="E44" s="27">
        <f>IFERROR(INDEX(Aplicacoes!$F$3:$F$1002,MATCH(21,Aplicacoes!$J$3:$J$1002,0))/$B$6,"")</f>
        <v/>
      </c>
      <c r="F44" s="33">
        <f>IFERROR(INDEX(Aplicacoes!$G$3:$G$1002,MATCH(21,Aplicacoes!$J$3:$J$1002,0)),"")</f>
        <v/>
      </c>
    </row>
    <row r="45">
      <c r="A45" s="6">
        <f>IFERROR(INDEX(Aplicacoes!$C$3:$C$1002,MATCH(22,Aplicacoes!$J$3:$J$1002,0)),"")</f>
        <v/>
      </c>
      <c r="B45" s="6">
        <f>IFERROR(INDEX(Aplicacoes!$D$3:$D$1002,MATCH(22,Aplicacoes!$J$3:$J$1002,0)),"")</f>
        <v/>
      </c>
      <c r="C45" s="34">
        <f>IFERROR(INDEX(Aplicacoes!$E$3:$E$1002,MATCH(22,Aplicacoes!$J$3:$J$1002,0)),"")</f>
        <v/>
      </c>
      <c r="D45" s="24">
        <f>IFERROR(INDEX(Aplicacoes!$F$3:$F$1002,MATCH(22,Aplicacoes!$J$3:$J$1002,0)),"")</f>
        <v/>
      </c>
      <c r="E45" s="25">
        <f>IFERROR(INDEX(Aplicacoes!$F$3:$F$1002,MATCH(22,Aplicacoes!$J$3:$J$1002,0))/$B$6,"")</f>
        <v/>
      </c>
      <c r="F45" s="35">
        <f>IFERROR(INDEX(Aplicacoes!$G$3:$G$1002,MATCH(22,Aplicacoes!$J$3:$J$1002,0)),"")</f>
        <v/>
      </c>
    </row>
    <row r="46">
      <c r="A46" s="4">
        <f>IFERROR(INDEX(Aplicacoes!$C$3:$C$1002,MATCH(23,Aplicacoes!$J$3:$J$1002,0)),"")</f>
        <v/>
      </c>
      <c r="B46" s="4">
        <f>IFERROR(INDEX(Aplicacoes!$D$3:$D$1002,MATCH(23,Aplicacoes!$J$3:$J$1002,0)),"")</f>
        <v/>
      </c>
      <c r="C46" s="32">
        <f>IFERROR(INDEX(Aplicacoes!$E$3:$E$1002,MATCH(23,Aplicacoes!$J$3:$J$1002,0)),"")</f>
        <v/>
      </c>
      <c r="D46" s="26">
        <f>IFERROR(INDEX(Aplicacoes!$F$3:$F$1002,MATCH(23,Aplicacoes!$J$3:$J$1002,0)),"")</f>
        <v/>
      </c>
      <c r="E46" s="27">
        <f>IFERROR(INDEX(Aplicacoes!$F$3:$F$1002,MATCH(23,Aplicacoes!$J$3:$J$1002,0))/$B$6,"")</f>
        <v/>
      </c>
      <c r="F46" s="33">
        <f>IFERROR(INDEX(Aplicacoes!$G$3:$G$1002,MATCH(23,Aplicacoes!$J$3:$J$1002,0)),"")</f>
        <v/>
      </c>
    </row>
    <row r="47">
      <c r="A47" s="6">
        <f>IFERROR(INDEX(Aplicacoes!$C$3:$C$1002,MATCH(24,Aplicacoes!$J$3:$J$1002,0)),"")</f>
        <v/>
      </c>
      <c r="B47" s="6">
        <f>IFERROR(INDEX(Aplicacoes!$D$3:$D$1002,MATCH(24,Aplicacoes!$J$3:$J$1002,0)),"")</f>
        <v/>
      </c>
      <c r="C47" s="34">
        <f>IFERROR(INDEX(Aplicacoes!$E$3:$E$1002,MATCH(24,Aplicacoes!$J$3:$J$1002,0)),"")</f>
        <v/>
      </c>
      <c r="D47" s="24">
        <f>IFERROR(INDEX(Aplicacoes!$F$3:$F$1002,MATCH(24,Aplicacoes!$J$3:$J$1002,0)),"")</f>
        <v/>
      </c>
      <c r="E47" s="25">
        <f>IFERROR(INDEX(Aplicacoes!$F$3:$F$1002,MATCH(24,Aplicacoes!$J$3:$J$1002,0))/$B$6,"")</f>
        <v/>
      </c>
      <c r="F47" s="35">
        <f>IFERROR(INDEX(Aplicacoes!$G$3:$G$1002,MATCH(24,Aplicacoes!$J$3:$J$1002,0)),"")</f>
        <v/>
      </c>
    </row>
    <row r="48">
      <c r="A48" s="4">
        <f>IFERROR(INDEX(Aplicacoes!$C$3:$C$1002,MATCH(25,Aplicacoes!$J$3:$J$1002,0)),"")</f>
        <v/>
      </c>
      <c r="B48" s="4">
        <f>IFERROR(INDEX(Aplicacoes!$D$3:$D$1002,MATCH(25,Aplicacoes!$J$3:$J$1002,0)),"")</f>
        <v/>
      </c>
      <c r="C48" s="32">
        <f>IFERROR(INDEX(Aplicacoes!$E$3:$E$1002,MATCH(25,Aplicacoes!$J$3:$J$1002,0)),"")</f>
        <v/>
      </c>
      <c r="D48" s="26">
        <f>IFERROR(INDEX(Aplicacoes!$F$3:$F$1002,MATCH(25,Aplicacoes!$J$3:$J$1002,0)),"")</f>
        <v/>
      </c>
      <c r="E48" s="27">
        <f>IFERROR(INDEX(Aplicacoes!$F$3:$F$1002,MATCH(25,Aplicacoes!$J$3:$J$1002,0))/$B$6,"")</f>
        <v/>
      </c>
      <c r="F48" s="33">
        <f>IFERROR(INDEX(Aplicacoes!$G$3:$G$1002,MATCH(25,Aplicacoes!$J$3:$J$1002,0)),"")</f>
        <v/>
      </c>
    </row>
    <row r="49">
      <c r="A49" s="6">
        <f>IFERROR(INDEX(Aplicacoes!$C$3:$C$1002,MATCH(26,Aplicacoes!$J$3:$J$1002,0)),"")</f>
        <v/>
      </c>
      <c r="B49" s="6">
        <f>IFERROR(INDEX(Aplicacoes!$D$3:$D$1002,MATCH(26,Aplicacoes!$J$3:$J$1002,0)),"")</f>
        <v/>
      </c>
      <c r="C49" s="34">
        <f>IFERROR(INDEX(Aplicacoes!$E$3:$E$1002,MATCH(26,Aplicacoes!$J$3:$J$1002,0)),"")</f>
        <v/>
      </c>
      <c r="D49" s="24">
        <f>IFERROR(INDEX(Aplicacoes!$F$3:$F$1002,MATCH(26,Aplicacoes!$J$3:$J$1002,0)),"")</f>
        <v/>
      </c>
      <c r="E49" s="25">
        <f>IFERROR(INDEX(Aplicacoes!$F$3:$F$1002,MATCH(26,Aplicacoes!$J$3:$J$1002,0))/$B$6,"")</f>
        <v/>
      </c>
      <c r="F49" s="35">
        <f>IFERROR(INDEX(Aplicacoes!$G$3:$G$1002,MATCH(26,Aplicacoes!$J$3:$J$1002,0)),"")</f>
        <v/>
      </c>
    </row>
    <row r="50">
      <c r="A50" s="4">
        <f>IFERROR(INDEX(Aplicacoes!$C$3:$C$1002,MATCH(27,Aplicacoes!$J$3:$J$1002,0)),"")</f>
        <v/>
      </c>
      <c r="B50" s="4">
        <f>IFERROR(INDEX(Aplicacoes!$D$3:$D$1002,MATCH(27,Aplicacoes!$J$3:$J$1002,0)),"")</f>
        <v/>
      </c>
      <c r="C50" s="32">
        <f>IFERROR(INDEX(Aplicacoes!$E$3:$E$1002,MATCH(27,Aplicacoes!$J$3:$J$1002,0)),"")</f>
        <v/>
      </c>
      <c r="D50" s="26">
        <f>IFERROR(INDEX(Aplicacoes!$F$3:$F$1002,MATCH(27,Aplicacoes!$J$3:$J$1002,0)),"")</f>
        <v/>
      </c>
      <c r="E50" s="27">
        <f>IFERROR(INDEX(Aplicacoes!$F$3:$F$1002,MATCH(27,Aplicacoes!$J$3:$J$1002,0))/$B$6,"")</f>
        <v/>
      </c>
      <c r="F50" s="33">
        <f>IFERROR(INDEX(Aplicacoes!$G$3:$G$1002,MATCH(27,Aplicacoes!$J$3:$J$1002,0)),"")</f>
        <v/>
      </c>
    </row>
    <row r="51">
      <c r="A51" s="6">
        <f>IFERROR(INDEX(Aplicacoes!$C$3:$C$1002,MATCH(28,Aplicacoes!$J$3:$J$1002,0)),"")</f>
        <v/>
      </c>
      <c r="B51" s="6">
        <f>IFERROR(INDEX(Aplicacoes!$D$3:$D$1002,MATCH(28,Aplicacoes!$J$3:$J$1002,0)),"")</f>
        <v/>
      </c>
      <c r="C51" s="34">
        <f>IFERROR(INDEX(Aplicacoes!$E$3:$E$1002,MATCH(28,Aplicacoes!$J$3:$J$1002,0)),"")</f>
        <v/>
      </c>
      <c r="D51" s="24">
        <f>IFERROR(INDEX(Aplicacoes!$F$3:$F$1002,MATCH(28,Aplicacoes!$J$3:$J$1002,0)),"")</f>
        <v/>
      </c>
      <c r="E51" s="25">
        <f>IFERROR(INDEX(Aplicacoes!$F$3:$F$1002,MATCH(28,Aplicacoes!$J$3:$J$1002,0))/$B$6,"")</f>
        <v/>
      </c>
      <c r="F51" s="35">
        <f>IFERROR(INDEX(Aplicacoes!$G$3:$G$1002,MATCH(28,Aplicacoes!$J$3:$J$1002,0)),"")</f>
        <v/>
      </c>
    </row>
    <row r="52">
      <c r="A52" s="4">
        <f>IFERROR(INDEX(Aplicacoes!$C$3:$C$1002,MATCH(29,Aplicacoes!$J$3:$J$1002,0)),"")</f>
        <v/>
      </c>
      <c r="B52" s="4">
        <f>IFERROR(INDEX(Aplicacoes!$D$3:$D$1002,MATCH(29,Aplicacoes!$J$3:$J$1002,0)),"")</f>
        <v/>
      </c>
      <c r="C52" s="32">
        <f>IFERROR(INDEX(Aplicacoes!$E$3:$E$1002,MATCH(29,Aplicacoes!$J$3:$J$1002,0)),"")</f>
        <v/>
      </c>
      <c r="D52" s="26">
        <f>IFERROR(INDEX(Aplicacoes!$F$3:$F$1002,MATCH(29,Aplicacoes!$J$3:$J$1002,0)),"")</f>
        <v/>
      </c>
      <c r="E52" s="27">
        <f>IFERROR(INDEX(Aplicacoes!$F$3:$F$1002,MATCH(29,Aplicacoes!$J$3:$J$1002,0))/$B$6,"")</f>
        <v/>
      </c>
      <c r="F52" s="33">
        <f>IFERROR(INDEX(Aplicacoes!$G$3:$G$1002,MATCH(29,Aplicacoes!$J$3:$J$1002,0)),"")</f>
        <v/>
      </c>
    </row>
    <row r="53">
      <c r="A53" s="6">
        <f>IFERROR(INDEX(Aplicacoes!$C$3:$C$1002,MATCH(30,Aplicacoes!$J$3:$J$1002,0)),"")</f>
        <v/>
      </c>
      <c r="B53" s="6">
        <f>IFERROR(INDEX(Aplicacoes!$D$3:$D$1002,MATCH(30,Aplicacoes!$J$3:$J$1002,0)),"")</f>
        <v/>
      </c>
      <c r="C53" s="34">
        <f>IFERROR(INDEX(Aplicacoes!$E$3:$E$1002,MATCH(30,Aplicacoes!$J$3:$J$1002,0)),"")</f>
        <v/>
      </c>
      <c r="D53" s="24">
        <f>IFERROR(INDEX(Aplicacoes!$F$3:$F$1002,MATCH(30,Aplicacoes!$J$3:$J$1002,0)),"")</f>
        <v/>
      </c>
      <c r="E53" s="25">
        <f>IFERROR(INDEX(Aplicacoes!$F$3:$F$1002,MATCH(30,Aplicacoes!$J$3:$J$1002,0))/$B$6,"")</f>
        <v/>
      </c>
      <c r="F53" s="35">
        <f>IFERROR(INDEX(Aplicacoes!$G$3:$G$1002,MATCH(30,Aplicacoes!$J$3:$J$1002,0)),"")</f>
        <v/>
      </c>
    </row>
    <row r="54">
      <c r="A54" s="4">
        <f>IFERROR(INDEX(Aplicacoes!$C$3:$C$1002,MATCH(31,Aplicacoes!$J$3:$J$1002,0)),"")</f>
        <v/>
      </c>
      <c r="B54" s="4">
        <f>IFERROR(INDEX(Aplicacoes!$D$3:$D$1002,MATCH(31,Aplicacoes!$J$3:$J$1002,0)),"")</f>
        <v/>
      </c>
      <c r="C54" s="32">
        <f>IFERROR(INDEX(Aplicacoes!$E$3:$E$1002,MATCH(31,Aplicacoes!$J$3:$J$1002,0)),"")</f>
        <v/>
      </c>
      <c r="D54" s="26">
        <f>IFERROR(INDEX(Aplicacoes!$F$3:$F$1002,MATCH(31,Aplicacoes!$J$3:$J$1002,0)),"")</f>
        <v/>
      </c>
      <c r="E54" s="27">
        <f>IFERROR(INDEX(Aplicacoes!$F$3:$F$1002,MATCH(31,Aplicacoes!$J$3:$J$1002,0))/$B$6,"")</f>
        <v/>
      </c>
      <c r="F54" s="33">
        <f>IFERROR(INDEX(Aplicacoes!$G$3:$G$1002,MATCH(31,Aplicacoes!$J$3:$J$1002,0)),"")</f>
        <v/>
      </c>
    </row>
    <row r="55">
      <c r="A55" s="6">
        <f>IFERROR(INDEX(Aplicacoes!$C$3:$C$1002,MATCH(32,Aplicacoes!$J$3:$J$1002,0)),"")</f>
        <v/>
      </c>
      <c r="B55" s="6">
        <f>IFERROR(INDEX(Aplicacoes!$D$3:$D$1002,MATCH(32,Aplicacoes!$J$3:$J$1002,0)),"")</f>
        <v/>
      </c>
      <c r="C55" s="34">
        <f>IFERROR(INDEX(Aplicacoes!$E$3:$E$1002,MATCH(32,Aplicacoes!$J$3:$J$1002,0)),"")</f>
        <v/>
      </c>
      <c r="D55" s="24">
        <f>IFERROR(INDEX(Aplicacoes!$F$3:$F$1002,MATCH(32,Aplicacoes!$J$3:$J$1002,0)),"")</f>
        <v/>
      </c>
      <c r="E55" s="25">
        <f>IFERROR(INDEX(Aplicacoes!$F$3:$F$1002,MATCH(32,Aplicacoes!$J$3:$J$1002,0))/$B$6,"")</f>
        <v/>
      </c>
      <c r="F55" s="35">
        <f>IFERROR(INDEX(Aplicacoes!$G$3:$G$1002,MATCH(32,Aplicacoes!$J$3:$J$1002,0)),"")</f>
        <v/>
      </c>
    </row>
    <row r="56">
      <c r="A56" s="4">
        <f>IFERROR(INDEX(Aplicacoes!$C$3:$C$1002,MATCH(33,Aplicacoes!$J$3:$J$1002,0)),"")</f>
        <v/>
      </c>
      <c r="B56" s="4">
        <f>IFERROR(INDEX(Aplicacoes!$D$3:$D$1002,MATCH(33,Aplicacoes!$J$3:$J$1002,0)),"")</f>
        <v/>
      </c>
      <c r="C56" s="32">
        <f>IFERROR(INDEX(Aplicacoes!$E$3:$E$1002,MATCH(33,Aplicacoes!$J$3:$J$1002,0)),"")</f>
        <v/>
      </c>
      <c r="D56" s="26">
        <f>IFERROR(INDEX(Aplicacoes!$F$3:$F$1002,MATCH(33,Aplicacoes!$J$3:$J$1002,0)),"")</f>
        <v/>
      </c>
      <c r="E56" s="27">
        <f>IFERROR(INDEX(Aplicacoes!$F$3:$F$1002,MATCH(33,Aplicacoes!$J$3:$J$1002,0))/$B$6,"")</f>
        <v/>
      </c>
      <c r="F56" s="33">
        <f>IFERROR(INDEX(Aplicacoes!$G$3:$G$1002,MATCH(33,Aplicacoes!$J$3:$J$1002,0)),"")</f>
        <v/>
      </c>
    </row>
    <row r="57">
      <c r="A57" s="6">
        <f>IFERROR(INDEX(Aplicacoes!$C$3:$C$1002,MATCH(34,Aplicacoes!$J$3:$J$1002,0)),"")</f>
        <v/>
      </c>
      <c r="B57" s="6">
        <f>IFERROR(INDEX(Aplicacoes!$D$3:$D$1002,MATCH(34,Aplicacoes!$J$3:$J$1002,0)),"")</f>
        <v/>
      </c>
      <c r="C57" s="34">
        <f>IFERROR(INDEX(Aplicacoes!$E$3:$E$1002,MATCH(34,Aplicacoes!$J$3:$J$1002,0)),"")</f>
        <v/>
      </c>
      <c r="D57" s="24">
        <f>IFERROR(INDEX(Aplicacoes!$F$3:$F$1002,MATCH(34,Aplicacoes!$J$3:$J$1002,0)),"")</f>
        <v/>
      </c>
      <c r="E57" s="25">
        <f>IFERROR(INDEX(Aplicacoes!$F$3:$F$1002,MATCH(34,Aplicacoes!$J$3:$J$1002,0))/$B$6,"")</f>
        <v/>
      </c>
      <c r="F57" s="35">
        <f>IFERROR(INDEX(Aplicacoes!$G$3:$G$1002,MATCH(34,Aplicacoes!$J$3:$J$1002,0)),"")</f>
        <v/>
      </c>
    </row>
    <row r="58">
      <c r="A58" s="4">
        <f>IFERROR(INDEX(Aplicacoes!$C$3:$C$1002,MATCH(35,Aplicacoes!$J$3:$J$1002,0)),"")</f>
        <v/>
      </c>
      <c r="B58" s="4">
        <f>IFERROR(INDEX(Aplicacoes!$D$3:$D$1002,MATCH(35,Aplicacoes!$J$3:$J$1002,0)),"")</f>
        <v/>
      </c>
      <c r="C58" s="32">
        <f>IFERROR(INDEX(Aplicacoes!$E$3:$E$1002,MATCH(35,Aplicacoes!$J$3:$J$1002,0)),"")</f>
        <v/>
      </c>
      <c r="D58" s="26">
        <f>IFERROR(INDEX(Aplicacoes!$F$3:$F$1002,MATCH(35,Aplicacoes!$J$3:$J$1002,0)),"")</f>
        <v/>
      </c>
      <c r="E58" s="27">
        <f>IFERROR(INDEX(Aplicacoes!$F$3:$F$1002,MATCH(35,Aplicacoes!$J$3:$J$1002,0))/$B$6,"")</f>
        <v/>
      </c>
      <c r="F58" s="33">
        <f>IFERROR(INDEX(Aplicacoes!$G$3:$G$1002,MATCH(35,Aplicacoes!$J$3:$J$1002,0)),"")</f>
        <v/>
      </c>
    </row>
    <row r="59">
      <c r="A59" s="6">
        <f>IFERROR(INDEX(Aplicacoes!$C$3:$C$1002,MATCH(36,Aplicacoes!$J$3:$J$1002,0)),"")</f>
        <v/>
      </c>
      <c r="B59" s="6">
        <f>IFERROR(INDEX(Aplicacoes!$D$3:$D$1002,MATCH(36,Aplicacoes!$J$3:$J$1002,0)),"")</f>
        <v/>
      </c>
      <c r="C59" s="34">
        <f>IFERROR(INDEX(Aplicacoes!$E$3:$E$1002,MATCH(36,Aplicacoes!$J$3:$J$1002,0)),"")</f>
        <v/>
      </c>
      <c r="D59" s="24">
        <f>IFERROR(INDEX(Aplicacoes!$F$3:$F$1002,MATCH(36,Aplicacoes!$J$3:$J$1002,0)),"")</f>
        <v/>
      </c>
      <c r="E59" s="25">
        <f>IFERROR(INDEX(Aplicacoes!$F$3:$F$1002,MATCH(36,Aplicacoes!$J$3:$J$1002,0))/$B$6,"")</f>
        <v/>
      </c>
      <c r="F59" s="35">
        <f>IFERROR(INDEX(Aplicacoes!$G$3:$G$1002,MATCH(36,Aplicacoes!$J$3:$J$1002,0)),"")</f>
        <v/>
      </c>
    </row>
    <row r="60">
      <c r="A60" s="4">
        <f>IFERROR(INDEX(Aplicacoes!$C$3:$C$1002,MATCH(37,Aplicacoes!$J$3:$J$1002,0)),"")</f>
        <v/>
      </c>
      <c r="B60" s="4">
        <f>IFERROR(INDEX(Aplicacoes!$D$3:$D$1002,MATCH(37,Aplicacoes!$J$3:$J$1002,0)),"")</f>
        <v/>
      </c>
      <c r="C60" s="32">
        <f>IFERROR(INDEX(Aplicacoes!$E$3:$E$1002,MATCH(37,Aplicacoes!$J$3:$J$1002,0)),"")</f>
        <v/>
      </c>
      <c r="D60" s="26">
        <f>IFERROR(INDEX(Aplicacoes!$F$3:$F$1002,MATCH(37,Aplicacoes!$J$3:$J$1002,0)),"")</f>
        <v/>
      </c>
      <c r="E60" s="27">
        <f>IFERROR(INDEX(Aplicacoes!$F$3:$F$1002,MATCH(37,Aplicacoes!$J$3:$J$1002,0))/$B$6,"")</f>
        <v/>
      </c>
      <c r="F60" s="33">
        <f>IFERROR(INDEX(Aplicacoes!$G$3:$G$1002,MATCH(37,Aplicacoes!$J$3:$J$1002,0)),"")</f>
        <v/>
      </c>
    </row>
    <row r="61">
      <c r="A61" s="6">
        <f>IFERROR(INDEX(Aplicacoes!$C$3:$C$1002,MATCH(38,Aplicacoes!$J$3:$J$1002,0)),"")</f>
        <v/>
      </c>
      <c r="B61" s="6">
        <f>IFERROR(INDEX(Aplicacoes!$D$3:$D$1002,MATCH(38,Aplicacoes!$J$3:$J$1002,0)),"")</f>
        <v/>
      </c>
      <c r="C61" s="34">
        <f>IFERROR(INDEX(Aplicacoes!$E$3:$E$1002,MATCH(38,Aplicacoes!$J$3:$J$1002,0)),"")</f>
        <v/>
      </c>
      <c r="D61" s="24">
        <f>IFERROR(INDEX(Aplicacoes!$F$3:$F$1002,MATCH(38,Aplicacoes!$J$3:$J$1002,0)),"")</f>
        <v/>
      </c>
      <c r="E61" s="25">
        <f>IFERROR(INDEX(Aplicacoes!$F$3:$F$1002,MATCH(38,Aplicacoes!$J$3:$J$1002,0))/$B$6,"")</f>
        <v/>
      </c>
      <c r="F61" s="35">
        <f>IFERROR(INDEX(Aplicacoes!$G$3:$G$1002,MATCH(38,Aplicacoes!$J$3:$J$1002,0)),"")</f>
        <v/>
      </c>
    </row>
    <row r="62">
      <c r="A62" s="4">
        <f>IFERROR(INDEX(Aplicacoes!$C$3:$C$1002,MATCH(39,Aplicacoes!$J$3:$J$1002,0)),"")</f>
        <v/>
      </c>
      <c r="B62" s="4">
        <f>IFERROR(INDEX(Aplicacoes!$D$3:$D$1002,MATCH(39,Aplicacoes!$J$3:$J$1002,0)),"")</f>
        <v/>
      </c>
      <c r="C62" s="32">
        <f>IFERROR(INDEX(Aplicacoes!$E$3:$E$1002,MATCH(39,Aplicacoes!$J$3:$J$1002,0)),"")</f>
        <v/>
      </c>
      <c r="D62" s="26">
        <f>IFERROR(INDEX(Aplicacoes!$F$3:$F$1002,MATCH(39,Aplicacoes!$J$3:$J$1002,0)),"")</f>
        <v/>
      </c>
      <c r="E62" s="27">
        <f>IFERROR(INDEX(Aplicacoes!$F$3:$F$1002,MATCH(39,Aplicacoes!$J$3:$J$1002,0))/$B$6,"")</f>
        <v/>
      </c>
      <c r="F62" s="33">
        <f>IFERROR(INDEX(Aplicacoes!$G$3:$G$1002,MATCH(39,Aplicacoes!$J$3:$J$1002,0)),"")</f>
        <v/>
      </c>
    </row>
    <row r="63">
      <c r="A63" s="6">
        <f>IFERROR(INDEX(Aplicacoes!$C$3:$C$1002,MATCH(40,Aplicacoes!$J$3:$J$1002,0)),"")</f>
        <v/>
      </c>
      <c r="B63" s="6">
        <f>IFERROR(INDEX(Aplicacoes!$D$3:$D$1002,MATCH(40,Aplicacoes!$J$3:$J$1002,0)),"")</f>
        <v/>
      </c>
      <c r="C63" s="34">
        <f>IFERROR(INDEX(Aplicacoes!$E$3:$E$1002,MATCH(40,Aplicacoes!$J$3:$J$1002,0)),"")</f>
        <v/>
      </c>
      <c r="D63" s="24">
        <f>IFERROR(INDEX(Aplicacoes!$F$3:$F$1002,MATCH(40,Aplicacoes!$J$3:$J$1002,0)),"")</f>
        <v/>
      </c>
      <c r="E63" s="25">
        <f>IFERROR(INDEX(Aplicacoes!$F$3:$F$1002,MATCH(40,Aplicacoes!$J$3:$J$1002,0))/$B$6,"")</f>
        <v/>
      </c>
      <c r="F63" s="35">
        <f>IFERROR(INDEX(Aplicacoes!$G$3:$G$1002,MATCH(40,Aplicacoes!$J$3:$J$1002,0)),"")</f>
        <v/>
      </c>
    </row>
    <row r="64">
      <c r="A64" s="4">
        <f>IFERROR(INDEX(Aplicacoes!$C$3:$C$1002,MATCH(41,Aplicacoes!$J$3:$J$1002,0)),"")</f>
        <v/>
      </c>
      <c r="B64" s="4">
        <f>IFERROR(INDEX(Aplicacoes!$D$3:$D$1002,MATCH(41,Aplicacoes!$J$3:$J$1002,0)),"")</f>
        <v/>
      </c>
      <c r="C64" s="32">
        <f>IFERROR(INDEX(Aplicacoes!$E$3:$E$1002,MATCH(41,Aplicacoes!$J$3:$J$1002,0)),"")</f>
        <v/>
      </c>
      <c r="D64" s="26">
        <f>IFERROR(INDEX(Aplicacoes!$F$3:$F$1002,MATCH(41,Aplicacoes!$J$3:$J$1002,0)),"")</f>
        <v/>
      </c>
      <c r="E64" s="27">
        <f>IFERROR(INDEX(Aplicacoes!$F$3:$F$1002,MATCH(41,Aplicacoes!$J$3:$J$1002,0))/$B$6,"")</f>
        <v/>
      </c>
      <c r="F64" s="33">
        <f>IFERROR(INDEX(Aplicacoes!$G$3:$G$1002,MATCH(41,Aplicacoes!$J$3:$J$1002,0)),"")</f>
        <v/>
      </c>
    </row>
    <row r="65">
      <c r="A65" s="6">
        <f>IFERROR(INDEX(Aplicacoes!$C$3:$C$1002,MATCH(42,Aplicacoes!$J$3:$J$1002,0)),"")</f>
        <v/>
      </c>
      <c r="B65" s="6">
        <f>IFERROR(INDEX(Aplicacoes!$D$3:$D$1002,MATCH(42,Aplicacoes!$J$3:$J$1002,0)),"")</f>
        <v/>
      </c>
      <c r="C65" s="34">
        <f>IFERROR(INDEX(Aplicacoes!$E$3:$E$1002,MATCH(42,Aplicacoes!$J$3:$J$1002,0)),"")</f>
        <v/>
      </c>
      <c r="D65" s="24">
        <f>IFERROR(INDEX(Aplicacoes!$F$3:$F$1002,MATCH(42,Aplicacoes!$J$3:$J$1002,0)),"")</f>
        <v/>
      </c>
      <c r="E65" s="25">
        <f>IFERROR(INDEX(Aplicacoes!$F$3:$F$1002,MATCH(42,Aplicacoes!$J$3:$J$1002,0))/$B$6,"")</f>
        <v/>
      </c>
      <c r="F65" s="35">
        <f>IFERROR(INDEX(Aplicacoes!$G$3:$G$1002,MATCH(42,Aplicacoes!$J$3:$J$1002,0)),"")</f>
        <v/>
      </c>
    </row>
    <row r="66">
      <c r="A66" s="4">
        <f>IFERROR(INDEX(Aplicacoes!$C$3:$C$1002,MATCH(43,Aplicacoes!$J$3:$J$1002,0)),"")</f>
        <v/>
      </c>
      <c r="B66" s="4">
        <f>IFERROR(INDEX(Aplicacoes!$D$3:$D$1002,MATCH(43,Aplicacoes!$J$3:$J$1002,0)),"")</f>
        <v/>
      </c>
      <c r="C66" s="32">
        <f>IFERROR(INDEX(Aplicacoes!$E$3:$E$1002,MATCH(43,Aplicacoes!$J$3:$J$1002,0)),"")</f>
        <v/>
      </c>
      <c r="D66" s="26">
        <f>IFERROR(INDEX(Aplicacoes!$F$3:$F$1002,MATCH(43,Aplicacoes!$J$3:$J$1002,0)),"")</f>
        <v/>
      </c>
      <c r="E66" s="27">
        <f>IFERROR(INDEX(Aplicacoes!$F$3:$F$1002,MATCH(43,Aplicacoes!$J$3:$J$1002,0))/$B$6,"")</f>
        <v/>
      </c>
      <c r="F66" s="33">
        <f>IFERROR(INDEX(Aplicacoes!$G$3:$G$1002,MATCH(43,Aplicacoes!$J$3:$J$1002,0)),"")</f>
        <v/>
      </c>
    </row>
    <row r="67">
      <c r="A67" s="6">
        <f>IFERROR(INDEX(Aplicacoes!$C$3:$C$1002,MATCH(44,Aplicacoes!$J$3:$J$1002,0)),"")</f>
        <v/>
      </c>
      <c r="B67" s="6">
        <f>IFERROR(INDEX(Aplicacoes!$D$3:$D$1002,MATCH(44,Aplicacoes!$J$3:$J$1002,0)),"")</f>
        <v/>
      </c>
      <c r="C67" s="34">
        <f>IFERROR(INDEX(Aplicacoes!$E$3:$E$1002,MATCH(44,Aplicacoes!$J$3:$J$1002,0)),"")</f>
        <v/>
      </c>
      <c r="D67" s="24">
        <f>IFERROR(INDEX(Aplicacoes!$F$3:$F$1002,MATCH(44,Aplicacoes!$J$3:$J$1002,0)),"")</f>
        <v/>
      </c>
      <c r="E67" s="25">
        <f>IFERROR(INDEX(Aplicacoes!$F$3:$F$1002,MATCH(44,Aplicacoes!$J$3:$J$1002,0))/$B$6,"")</f>
        <v/>
      </c>
      <c r="F67" s="35">
        <f>IFERROR(INDEX(Aplicacoes!$G$3:$G$1002,MATCH(44,Aplicacoes!$J$3:$J$1002,0)),"")</f>
        <v/>
      </c>
    </row>
    <row r="68">
      <c r="A68" s="4">
        <f>IFERROR(INDEX(Aplicacoes!$C$3:$C$1002,MATCH(45,Aplicacoes!$J$3:$J$1002,0)),"")</f>
        <v/>
      </c>
      <c r="B68" s="4">
        <f>IFERROR(INDEX(Aplicacoes!$D$3:$D$1002,MATCH(45,Aplicacoes!$J$3:$J$1002,0)),"")</f>
        <v/>
      </c>
      <c r="C68" s="32">
        <f>IFERROR(INDEX(Aplicacoes!$E$3:$E$1002,MATCH(45,Aplicacoes!$J$3:$J$1002,0)),"")</f>
        <v/>
      </c>
      <c r="D68" s="26">
        <f>IFERROR(INDEX(Aplicacoes!$F$3:$F$1002,MATCH(45,Aplicacoes!$J$3:$J$1002,0)),"")</f>
        <v/>
      </c>
      <c r="E68" s="27">
        <f>IFERROR(INDEX(Aplicacoes!$F$3:$F$1002,MATCH(45,Aplicacoes!$J$3:$J$1002,0))/$B$6,"")</f>
        <v/>
      </c>
      <c r="F68" s="33">
        <f>IFERROR(INDEX(Aplicacoes!$G$3:$G$1002,MATCH(45,Aplicacoes!$J$3:$J$1002,0)),"")</f>
        <v/>
      </c>
    </row>
    <row r="69">
      <c r="A69" s="6">
        <f>IFERROR(INDEX(Aplicacoes!$C$3:$C$1002,MATCH(46,Aplicacoes!$J$3:$J$1002,0)),"")</f>
        <v/>
      </c>
      <c r="B69" s="6">
        <f>IFERROR(INDEX(Aplicacoes!$D$3:$D$1002,MATCH(46,Aplicacoes!$J$3:$J$1002,0)),"")</f>
        <v/>
      </c>
      <c r="C69" s="34">
        <f>IFERROR(INDEX(Aplicacoes!$E$3:$E$1002,MATCH(46,Aplicacoes!$J$3:$J$1002,0)),"")</f>
        <v/>
      </c>
      <c r="D69" s="24">
        <f>IFERROR(INDEX(Aplicacoes!$F$3:$F$1002,MATCH(46,Aplicacoes!$J$3:$J$1002,0)),"")</f>
        <v/>
      </c>
      <c r="E69" s="25">
        <f>IFERROR(INDEX(Aplicacoes!$F$3:$F$1002,MATCH(46,Aplicacoes!$J$3:$J$1002,0))/$B$6,"")</f>
        <v/>
      </c>
      <c r="F69" s="35">
        <f>IFERROR(INDEX(Aplicacoes!$G$3:$G$1002,MATCH(46,Aplicacoes!$J$3:$J$1002,0)),"")</f>
        <v/>
      </c>
    </row>
    <row r="70">
      <c r="A70" s="4">
        <f>IFERROR(INDEX(Aplicacoes!$C$3:$C$1002,MATCH(47,Aplicacoes!$J$3:$J$1002,0)),"")</f>
        <v/>
      </c>
      <c r="B70" s="4">
        <f>IFERROR(INDEX(Aplicacoes!$D$3:$D$1002,MATCH(47,Aplicacoes!$J$3:$J$1002,0)),"")</f>
        <v/>
      </c>
      <c r="C70" s="32">
        <f>IFERROR(INDEX(Aplicacoes!$E$3:$E$1002,MATCH(47,Aplicacoes!$J$3:$J$1002,0)),"")</f>
        <v/>
      </c>
      <c r="D70" s="26">
        <f>IFERROR(INDEX(Aplicacoes!$F$3:$F$1002,MATCH(47,Aplicacoes!$J$3:$J$1002,0)),"")</f>
        <v/>
      </c>
      <c r="E70" s="27">
        <f>IFERROR(INDEX(Aplicacoes!$F$3:$F$1002,MATCH(47,Aplicacoes!$J$3:$J$1002,0))/$B$6,"")</f>
        <v/>
      </c>
      <c r="F70" s="33">
        <f>IFERROR(INDEX(Aplicacoes!$G$3:$G$1002,MATCH(47,Aplicacoes!$J$3:$J$1002,0)),"")</f>
        <v/>
      </c>
    </row>
    <row r="71">
      <c r="A71" s="6">
        <f>IFERROR(INDEX(Aplicacoes!$C$3:$C$1002,MATCH(48,Aplicacoes!$J$3:$J$1002,0)),"")</f>
        <v/>
      </c>
      <c r="B71" s="6">
        <f>IFERROR(INDEX(Aplicacoes!$D$3:$D$1002,MATCH(48,Aplicacoes!$J$3:$J$1002,0)),"")</f>
        <v/>
      </c>
      <c r="C71" s="34">
        <f>IFERROR(INDEX(Aplicacoes!$E$3:$E$1002,MATCH(48,Aplicacoes!$J$3:$J$1002,0)),"")</f>
        <v/>
      </c>
      <c r="D71" s="24">
        <f>IFERROR(INDEX(Aplicacoes!$F$3:$F$1002,MATCH(48,Aplicacoes!$J$3:$J$1002,0)),"")</f>
        <v/>
      </c>
      <c r="E71" s="25">
        <f>IFERROR(INDEX(Aplicacoes!$F$3:$F$1002,MATCH(48,Aplicacoes!$J$3:$J$1002,0))/$B$6,"")</f>
        <v/>
      </c>
      <c r="F71" s="35">
        <f>IFERROR(INDEX(Aplicacoes!$G$3:$G$1002,MATCH(48,Aplicacoes!$J$3:$J$1002,0)),"")</f>
        <v/>
      </c>
    </row>
    <row r="72">
      <c r="A72" s="4">
        <f>IFERROR(INDEX(Aplicacoes!$C$3:$C$1002,MATCH(49,Aplicacoes!$J$3:$J$1002,0)),"")</f>
        <v/>
      </c>
      <c r="B72" s="4">
        <f>IFERROR(INDEX(Aplicacoes!$D$3:$D$1002,MATCH(49,Aplicacoes!$J$3:$J$1002,0)),"")</f>
        <v/>
      </c>
      <c r="C72" s="32">
        <f>IFERROR(INDEX(Aplicacoes!$E$3:$E$1002,MATCH(49,Aplicacoes!$J$3:$J$1002,0)),"")</f>
        <v/>
      </c>
      <c r="D72" s="26">
        <f>IFERROR(INDEX(Aplicacoes!$F$3:$F$1002,MATCH(49,Aplicacoes!$J$3:$J$1002,0)),"")</f>
        <v/>
      </c>
      <c r="E72" s="27">
        <f>IFERROR(INDEX(Aplicacoes!$F$3:$F$1002,MATCH(49,Aplicacoes!$J$3:$J$1002,0))/$B$6,"")</f>
        <v/>
      </c>
      <c r="F72" s="33">
        <f>IFERROR(INDEX(Aplicacoes!$G$3:$G$1002,MATCH(49,Aplicacoes!$J$3:$J$1002,0)),"")</f>
        <v/>
      </c>
    </row>
    <row r="73">
      <c r="A73" s="6">
        <f>IFERROR(INDEX(Aplicacoes!$C$3:$C$1002,MATCH(50,Aplicacoes!$J$3:$J$1002,0)),"")</f>
        <v/>
      </c>
      <c r="B73" s="6">
        <f>IFERROR(INDEX(Aplicacoes!$D$3:$D$1002,MATCH(50,Aplicacoes!$J$3:$J$1002,0)),"")</f>
        <v/>
      </c>
      <c r="C73" s="34">
        <f>IFERROR(INDEX(Aplicacoes!$E$3:$E$1002,MATCH(50,Aplicacoes!$J$3:$J$1002,0)),"")</f>
        <v/>
      </c>
      <c r="D73" s="24">
        <f>IFERROR(INDEX(Aplicacoes!$F$3:$F$1002,MATCH(50,Aplicacoes!$J$3:$J$1002,0)),"")</f>
        <v/>
      </c>
      <c r="E73" s="25">
        <f>IFERROR(INDEX(Aplicacoes!$F$3:$F$1002,MATCH(50,Aplicacoes!$J$3:$J$1002,0))/$B$6,"")</f>
        <v/>
      </c>
      <c r="F73" s="35">
        <f>IFERROR(INDEX(Aplicacoes!$G$3:$G$1002,MATCH(50,Aplicacoes!$J$3:$J$1002,0)),"")</f>
        <v/>
      </c>
    </row>
    <row r="74">
      <c r="A74" s="4">
        <f>IFERROR(INDEX(Aplicacoes!$C$3:$C$1002,MATCH(51,Aplicacoes!$J$3:$J$1002,0)),"")</f>
        <v/>
      </c>
      <c r="B74" s="4">
        <f>IFERROR(INDEX(Aplicacoes!$D$3:$D$1002,MATCH(51,Aplicacoes!$J$3:$J$1002,0)),"")</f>
        <v/>
      </c>
      <c r="C74" s="32">
        <f>IFERROR(INDEX(Aplicacoes!$E$3:$E$1002,MATCH(51,Aplicacoes!$J$3:$J$1002,0)),"")</f>
        <v/>
      </c>
      <c r="D74" s="26">
        <f>IFERROR(INDEX(Aplicacoes!$F$3:$F$1002,MATCH(51,Aplicacoes!$J$3:$J$1002,0)),"")</f>
        <v/>
      </c>
      <c r="E74" s="27">
        <f>IFERROR(INDEX(Aplicacoes!$F$3:$F$1002,MATCH(51,Aplicacoes!$J$3:$J$1002,0))/$B$6,"")</f>
        <v/>
      </c>
      <c r="F74" s="33">
        <f>IFERROR(INDEX(Aplicacoes!$G$3:$G$1002,MATCH(51,Aplicacoes!$J$3:$J$1002,0)),"")</f>
        <v/>
      </c>
    </row>
    <row r="75">
      <c r="A75" s="6">
        <f>IFERROR(INDEX(Aplicacoes!$C$3:$C$1002,MATCH(52,Aplicacoes!$J$3:$J$1002,0)),"")</f>
        <v/>
      </c>
      <c r="B75" s="6">
        <f>IFERROR(INDEX(Aplicacoes!$D$3:$D$1002,MATCH(52,Aplicacoes!$J$3:$J$1002,0)),"")</f>
        <v/>
      </c>
      <c r="C75" s="34">
        <f>IFERROR(INDEX(Aplicacoes!$E$3:$E$1002,MATCH(52,Aplicacoes!$J$3:$J$1002,0)),"")</f>
        <v/>
      </c>
      <c r="D75" s="24">
        <f>IFERROR(INDEX(Aplicacoes!$F$3:$F$1002,MATCH(52,Aplicacoes!$J$3:$J$1002,0)),"")</f>
        <v/>
      </c>
      <c r="E75" s="25">
        <f>IFERROR(INDEX(Aplicacoes!$F$3:$F$1002,MATCH(52,Aplicacoes!$J$3:$J$1002,0))/$B$6,"")</f>
        <v/>
      </c>
      <c r="F75" s="35">
        <f>IFERROR(INDEX(Aplicacoes!$G$3:$G$1002,MATCH(52,Aplicacoes!$J$3:$J$1002,0)),"")</f>
        <v/>
      </c>
    </row>
    <row r="76">
      <c r="A76" s="4">
        <f>IFERROR(INDEX(Aplicacoes!$C$3:$C$1002,MATCH(53,Aplicacoes!$J$3:$J$1002,0)),"")</f>
        <v/>
      </c>
      <c r="B76" s="4">
        <f>IFERROR(INDEX(Aplicacoes!$D$3:$D$1002,MATCH(53,Aplicacoes!$J$3:$J$1002,0)),"")</f>
        <v/>
      </c>
      <c r="C76" s="32">
        <f>IFERROR(INDEX(Aplicacoes!$E$3:$E$1002,MATCH(53,Aplicacoes!$J$3:$J$1002,0)),"")</f>
        <v/>
      </c>
      <c r="D76" s="26">
        <f>IFERROR(INDEX(Aplicacoes!$F$3:$F$1002,MATCH(53,Aplicacoes!$J$3:$J$1002,0)),"")</f>
        <v/>
      </c>
      <c r="E76" s="27">
        <f>IFERROR(INDEX(Aplicacoes!$F$3:$F$1002,MATCH(53,Aplicacoes!$J$3:$J$1002,0))/$B$6,"")</f>
        <v/>
      </c>
      <c r="F76" s="33">
        <f>IFERROR(INDEX(Aplicacoes!$G$3:$G$1002,MATCH(53,Aplicacoes!$J$3:$J$1002,0)),"")</f>
        <v/>
      </c>
    </row>
    <row r="77">
      <c r="A77" s="6">
        <f>IFERROR(INDEX(Aplicacoes!$C$3:$C$1002,MATCH(54,Aplicacoes!$J$3:$J$1002,0)),"")</f>
        <v/>
      </c>
      <c r="B77" s="6">
        <f>IFERROR(INDEX(Aplicacoes!$D$3:$D$1002,MATCH(54,Aplicacoes!$J$3:$J$1002,0)),"")</f>
        <v/>
      </c>
      <c r="C77" s="34">
        <f>IFERROR(INDEX(Aplicacoes!$E$3:$E$1002,MATCH(54,Aplicacoes!$J$3:$J$1002,0)),"")</f>
        <v/>
      </c>
      <c r="D77" s="24">
        <f>IFERROR(INDEX(Aplicacoes!$F$3:$F$1002,MATCH(54,Aplicacoes!$J$3:$J$1002,0)),"")</f>
        <v/>
      </c>
      <c r="E77" s="25">
        <f>IFERROR(INDEX(Aplicacoes!$F$3:$F$1002,MATCH(54,Aplicacoes!$J$3:$J$1002,0))/$B$6,"")</f>
        <v/>
      </c>
      <c r="F77" s="35">
        <f>IFERROR(INDEX(Aplicacoes!$G$3:$G$1002,MATCH(54,Aplicacoes!$J$3:$J$1002,0)),"")</f>
        <v/>
      </c>
    </row>
    <row r="78">
      <c r="A78" s="4">
        <f>IFERROR(INDEX(Aplicacoes!$C$3:$C$1002,MATCH(55,Aplicacoes!$J$3:$J$1002,0)),"")</f>
        <v/>
      </c>
      <c r="B78" s="4">
        <f>IFERROR(INDEX(Aplicacoes!$D$3:$D$1002,MATCH(55,Aplicacoes!$J$3:$J$1002,0)),"")</f>
        <v/>
      </c>
      <c r="C78" s="32">
        <f>IFERROR(INDEX(Aplicacoes!$E$3:$E$1002,MATCH(55,Aplicacoes!$J$3:$J$1002,0)),"")</f>
        <v/>
      </c>
      <c r="D78" s="26">
        <f>IFERROR(INDEX(Aplicacoes!$F$3:$F$1002,MATCH(55,Aplicacoes!$J$3:$J$1002,0)),"")</f>
        <v/>
      </c>
      <c r="E78" s="27">
        <f>IFERROR(INDEX(Aplicacoes!$F$3:$F$1002,MATCH(55,Aplicacoes!$J$3:$J$1002,0))/$B$6,"")</f>
        <v/>
      </c>
      <c r="F78" s="33">
        <f>IFERROR(INDEX(Aplicacoes!$G$3:$G$1002,MATCH(55,Aplicacoes!$J$3:$J$1002,0)),"")</f>
        <v/>
      </c>
    </row>
    <row r="79">
      <c r="A79" s="6">
        <f>IFERROR(INDEX(Aplicacoes!$C$3:$C$1002,MATCH(56,Aplicacoes!$J$3:$J$1002,0)),"")</f>
        <v/>
      </c>
      <c r="B79" s="6">
        <f>IFERROR(INDEX(Aplicacoes!$D$3:$D$1002,MATCH(56,Aplicacoes!$J$3:$J$1002,0)),"")</f>
        <v/>
      </c>
      <c r="C79" s="34">
        <f>IFERROR(INDEX(Aplicacoes!$E$3:$E$1002,MATCH(56,Aplicacoes!$J$3:$J$1002,0)),"")</f>
        <v/>
      </c>
      <c r="D79" s="24">
        <f>IFERROR(INDEX(Aplicacoes!$F$3:$F$1002,MATCH(56,Aplicacoes!$J$3:$J$1002,0)),"")</f>
        <v/>
      </c>
      <c r="E79" s="25">
        <f>IFERROR(INDEX(Aplicacoes!$F$3:$F$1002,MATCH(56,Aplicacoes!$J$3:$J$1002,0))/$B$6,"")</f>
        <v/>
      </c>
      <c r="F79" s="35">
        <f>IFERROR(INDEX(Aplicacoes!$G$3:$G$1002,MATCH(56,Aplicacoes!$J$3:$J$1002,0)),"")</f>
        <v/>
      </c>
    </row>
    <row r="80">
      <c r="A80" s="4">
        <f>IFERROR(INDEX(Aplicacoes!$C$3:$C$1002,MATCH(57,Aplicacoes!$J$3:$J$1002,0)),"")</f>
        <v/>
      </c>
      <c r="B80" s="4">
        <f>IFERROR(INDEX(Aplicacoes!$D$3:$D$1002,MATCH(57,Aplicacoes!$J$3:$J$1002,0)),"")</f>
        <v/>
      </c>
      <c r="C80" s="32">
        <f>IFERROR(INDEX(Aplicacoes!$E$3:$E$1002,MATCH(57,Aplicacoes!$J$3:$J$1002,0)),"")</f>
        <v/>
      </c>
      <c r="D80" s="26">
        <f>IFERROR(INDEX(Aplicacoes!$F$3:$F$1002,MATCH(57,Aplicacoes!$J$3:$J$1002,0)),"")</f>
        <v/>
      </c>
      <c r="E80" s="27">
        <f>IFERROR(INDEX(Aplicacoes!$F$3:$F$1002,MATCH(57,Aplicacoes!$J$3:$J$1002,0))/$B$6,"")</f>
        <v/>
      </c>
      <c r="F80" s="33">
        <f>IFERROR(INDEX(Aplicacoes!$G$3:$G$1002,MATCH(57,Aplicacoes!$J$3:$J$1002,0)),"")</f>
        <v/>
      </c>
    </row>
    <row r="81">
      <c r="A81" s="6">
        <f>IFERROR(INDEX(Aplicacoes!$C$3:$C$1002,MATCH(58,Aplicacoes!$J$3:$J$1002,0)),"")</f>
        <v/>
      </c>
      <c r="B81" s="6">
        <f>IFERROR(INDEX(Aplicacoes!$D$3:$D$1002,MATCH(58,Aplicacoes!$J$3:$J$1002,0)),"")</f>
        <v/>
      </c>
      <c r="C81" s="34">
        <f>IFERROR(INDEX(Aplicacoes!$E$3:$E$1002,MATCH(58,Aplicacoes!$J$3:$J$1002,0)),"")</f>
        <v/>
      </c>
      <c r="D81" s="24">
        <f>IFERROR(INDEX(Aplicacoes!$F$3:$F$1002,MATCH(58,Aplicacoes!$J$3:$J$1002,0)),"")</f>
        <v/>
      </c>
      <c r="E81" s="25">
        <f>IFERROR(INDEX(Aplicacoes!$F$3:$F$1002,MATCH(58,Aplicacoes!$J$3:$J$1002,0))/$B$6,"")</f>
        <v/>
      </c>
      <c r="F81" s="35">
        <f>IFERROR(INDEX(Aplicacoes!$G$3:$G$1002,MATCH(58,Aplicacoes!$J$3:$J$1002,0)),"")</f>
        <v/>
      </c>
    </row>
    <row r="82">
      <c r="A82" s="4">
        <f>IFERROR(INDEX(Aplicacoes!$C$3:$C$1002,MATCH(59,Aplicacoes!$J$3:$J$1002,0)),"")</f>
        <v/>
      </c>
      <c r="B82" s="4">
        <f>IFERROR(INDEX(Aplicacoes!$D$3:$D$1002,MATCH(59,Aplicacoes!$J$3:$J$1002,0)),"")</f>
        <v/>
      </c>
      <c r="C82" s="32">
        <f>IFERROR(INDEX(Aplicacoes!$E$3:$E$1002,MATCH(59,Aplicacoes!$J$3:$J$1002,0)),"")</f>
        <v/>
      </c>
      <c r="D82" s="26">
        <f>IFERROR(INDEX(Aplicacoes!$F$3:$F$1002,MATCH(59,Aplicacoes!$J$3:$J$1002,0)),"")</f>
        <v/>
      </c>
      <c r="E82" s="27">
        <f>IFERROR(INDEX(Aplicacoes!$F$3:$F$1002,MATCH(59,Aplicacoes!$J$3:$J$1002,0))/$B$6,"")</f>
        <v/>
      </c>
      <c r="F82" s="33">
        <f>IFERROR(INDEX(Aplicacoes!$G$3:$G$1002,MATCH(59,Aplicacoes!$J$3:$J$1002,0)),"")</f>
        <v/>
      </c>
    </row>
    <row r="83">
      <c r="A83" s="6">
        <f>IFERROR(INDEX(Aplicacoes!$C$3:$C$1002,MATCH(60,Aplicacoes!$J$3:$J$1002,0)),"")</f>
        <v/>
      </c>
      <c r="B83" s="6">
        <f>IFERROR(INDEX(Aplicacoes!$D$3:$D$1002,MATCH(60,Aplicacoes!$J$3:$J$1002,0)),"")</f>
        <v/>
      </c>
      <c r="C83" s="34">
        <f>IFERROR(INDEX(Aplicacoes!$E$3:$E$1002,MATCH(60,Aplicacoes!$J$3:$J$1002,0)),"")</f>
        <v/>
      </c>
      <c r="D83" s="24">
        <f>IFERROR(INDEX(Aplicacoes!$F$3:$F$1002,MATCH(60,Aplicacoes!$J$3:$J$1002,0)),"")</f>
        <v/>
      </c>
      <c r="E83" s="25">
        <f>IFERROR(INDEX(Aplicacoes!$F$3:$F$1002,MATCH(60,Aplicacoes!$J$3:$J$1002,0))/$B$6,"")</f>
        <v/>
      </c>
      <c r="F83" s="35">
        <f>IFERROR(INDEX(Aplicacoes!$G$3:$G$1002,MATCH(60,Aplicacoes!$J$3:$J$1002,0)),"")</f>
        <v/>
      </c>
    </row>
  </sheetData>
  <mergeCells count="4">
    <mergeCell ref="B3:D3"/>
    <mergeCell ref="A1:F1"/>
    <mergeCell ref="A22:F22"/>
    <mergeCell ref="A9:F9"/>
  </mergeCells>
  <dataValidations count="1">
    <dataValidation sqref="B3" showDropDown="0" showInputMessage="0" showErrorMessage="0" allowBlank="1" prompt="Escolha o cliente na lista" type="list">
      <formula1>=Clientes!$B$3:$B$1002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30" customHeight="1">
      <c r="A1" s="1" t="inlineStr">
        <is>
          <t>PROPOSTA DE CARTEIRA</t>
        </is>
      </c>
    </row>
    <row r="3" ht="22" customHeight="1">
      <c r="A3" s="17" t="inlineStr">
        <is>
          <t>Cliente:</t>
        </is>
      </c>
      <c r="B3" s="36">
        <f>'Carteira do Cliente'!B3</f>
        <v/>
      </c>
      <c r="H3" s="37" t="inlineStr">
        <is>
          <t>PATRIMÔNIO PROPOSTO</t>
        </is>
      </c>
    </row>
    <row r="4" ht="30" customHeight="1">
      <c r="A4" s="17" t="inlineStr">
        <is>
          <t>Patrimônio Atual:</t>
        </is>
      </c>
      <c r="B4" s="20">
        <f>'Carteira do Cliente'!B6</f>
        <v/>
      </c>
      <c r="H4" s="38">
        <f>SUM(E8:E32)</f>
        <v/>
      </c>
    </row>
    <row r="6" ht="20" customHeight="1">
      <c r="A6" s="22" t="inlineStr">
        <is>
          <t>CARTEIRA RECOMENDADA</t>
        </is>
      </c>
    </row>
    <row r="7" ht="32" customHeight="1">
      <c r="A7" s="2" t="inlineStr">
        <is>
          <t>Classe</t>
        </is>
      </c>
      <c r="B7" s="2" t="inlineStr">
        <is>
          <t>Ativo sugerido</t>
        </is>
      </c>
      <c r="C7" s="2" t="inlineStr">
        <is>
          <t>Carência
(dias corridos)</t>
        </is>
      </c>
      <c r="D7" s="2" t="inlineStr">
        <is>
          <t>Liquidez
(D + dias)</t>
        </is>
      </c>
      <c r="E7" s="2" t="inlineStr">
        <is>
          <t>Valor (R$)</t>
        </is>
      </c>
      <c r="F7" s="2" t="inlineStr">
        <is>
          <t>%</t>
        </is>
      </c>
      <c r="Q7" s="39" t="inlineStr">
        <is>
          <t>Classe</t>
        </is>
      </c>
      <c r="R7" s="39" t="inlineStr">
        <is>
          <t>Valor</t>
        </is>
      </c>
      <c r="S7" s="39" t="inlineStr">
        <is>
          <t>D+</t>
        </is>
      </c>
      <c r="T7" s="39" t="inlineStr">
        <is>
          <t>Valor</t>
        </is>
      </c>
    </row>
    <row r="8">
      <c r="A8" s="23" t="n"/>
      <c r="B8" s="23" t="n"/>
      <c r="C8" s="40" t="n"/>
      <c r="D8" s="40" t="n"/>
      <c r="E8" s="41" t="n"/>
      <c r="F8" s="25">
        <f>IFERROR($E8/SUM($E$8:$E$32),"")</f>
        <v/>
      </c>
      <c r="Q8">
        <f>'Carteira do Cliente'!A11</f>
        <v/>
      </c>
      <c r="R8">
        <f>IF($Q8="",0,SUMIFS($E$8:$E$32,$A$8:$A$32,$Q8))</f>
        <v/>
      </c>
      <c r="S8" t="n">
        <v>0</v>
      </c>
      <c r="T8">
        <f>SUMIFS($E$8:$E$32,$D$8:$D$32,$S8)</f>
        <v/>
      </c>
    </row>
    <row r="9">
      <c r="A9" s="23" t="n"/>
      <c r="B9" s="23" t="n"/>
      <c r="C9" s="40" t="n"/>
      <c r="D9" s="40" t="n"/>
      <c r="E9" s="41" t="n"/>
      <c r="F9" s="25">
        <f>IFERROR($E9/SUM($E$8:$E$32),"")</f>
        <v/>
      </c>
      <c r="Q9">
        <f>'Carteira do Cliente'!A12</f>
        <v/>
      </c>
      <c r="R9">
        <f>IF($Q9="",0,SUMIFS($E$8:$E$32,$A$8:$A$32,$Q9))</f>
        <v/>
      </c>
      <c r="S9" t="n">
        <v>1</v>
      </c>
      <c r="T9">
        <f>SUMIFS($E$8:$E$32,$D$8:$D$32,$S9)</f>
        <v/>
      </c>
    </row>
    <row r="10">
      <c r="A10" s="23" t="n"/>
      <c r="B10" s="23" t="n"/>
      <c r="C10" s="40" t="n"/>
      <c r="D10" s="40" t="n"/>
      <c r="E10" s="41" t="n"/>
      <c r="F10" s="25">
        <f>IFERROR($E10/SUM($E$8:$E$32),"")</f>
        <v/>
      </c>
      <c r="Q10">
        <f>'Carteira do Cliente'!A13</f>
        <v/>
      </c>
      <c r="R10">
        <f>IF($Q10="",0,SUMIFS($E$8:$E$32,$A$8:$A$32,$Q10))</f>
        <v/>
      </c>
      <c r="S10" t="n">
        <v>10</v>
      </c>
      <c r="T10">
        <f>SUMIFS($E$8:$E$32,$D$8:$D$32,$S10)</f>
        <v/>
      </c>
    </row>
    <row r="11">
      <c r="A11" s="23" t="n"/>
      <c r="B11" s="23" t="n"/>
      <c r="C11" s="40" t="n"/>
      <c r="D11" s="40" t="n"/>
      <c r="E11" s="41" t="n"/>
      <c r="F11" s="25">
        <f>IFERROR($E11/SUM($E$8:$E$32),"")</f>
        <v/>
      </c>
      <c r="Q11">
        <f>'Carteira do Cliente'!A14</f>
        <v/>
      </c>
      <c r="R11">
        <f>IF($Q11="",0,SUMIFS($E$8:$E$32,$A$8:$A$32,$Q11))</f>
        <v/>
      </c>
      <c r="S11" t="n">
        <v>30</v>
      </c>
      <c r="T11">
        <f>SUMIFS($E$8:$E$32,$D$8:$D$32,$S11)</f>
        <v/>
      </c>
    </row>
    <row r="12">
      <c r="A12" s="23" t="n"/>
      <c r="B12" s="23" t="n"/>
      <c r="C12" s="40" t="n"/>
      <c r="D12" s="40" t="n"/>
      <c r="E12" s="41" t="n"/>
      <c r="F12" s="25">
        <f>IFERROR($E12/SUM($E$8:$E$32),"")</f>
        <v/>
      </c>
      <c r="Q12">
        <f>'Carteira do Cliente'!A15</f>
        <v/>
      </c>
      <c r="R12">
        <f>IF($Q12="",0,SUMIFS($E$8:$E$32,$A$8:$A$32,$Q12))</f>
        <v/>
      </c>
      <c r="S12" t="n">
        <v>45</v>
      </c>
      <c r="T12">
        <f>SUMIFS($E$8:$E$32,$D$8:$D$32,$S12)</f>
        <v/>
      </c>
    </row>
    <row r="13">
      <c r="A13" s="23" t="n"/>
      <c r="B13" s="23" t="n"/>
      <c r="C13" s="40" t="n"/>
      <c r="D13" s="40" t="n"/>
      <c r="E13" s="41" t="n"/>
      <c r="F13" s="25">
        <f>IFERROR($E13/SUM($E$8:$E$32),"")</f>
        <v/>
      </c>
      <c r="Q13">
        <f>'Carteira do Cliente'!A16</f>
        <v/>
      </c>
      <c r="R13">
        <f>IF($Q13="",0,SUMIFS($E$8:$E$32,$A$8:$A$32,$Q13))</f>
        <v/>
      </c>
      <c r="S13" t="n">
        <v>90</v>
      </c>
      <c r="T13">
        <f>SUMIFS($E$8:$E$32,$D$8:$D$32,$S13)</f>
        <v/>
      </c>
    </row>
    <row r="14">
      <c r="A14" s="23" t="n"/>
      <c r="B14" s="23" t="n"/>
      <c r="C14" s="40" t="n"/>
      <c r="D14" s="40" t="n"/>
      <c r="E14" s="41" t="n"/>
      <c r="F14" s="25">
        <f>IFERROR($E14/SUM($E$8:$E$32),"")</f>
        <v/>
      </c>
      <c r="Q14">
        <f>'Carteira do Cliente'!A17</f>
        <v/>
      </c>
      <c r="R14">
        <f>IF($Q14="",0,SUMIFS($E$8:$E$32,$A$8:$A$32,$Q14))</f>
        <v/>
      </c>
      <c r="S14" t="n">
        <v>180</v>
      </c>
      <c r="T14">
        <f>SUMIFS($E$8:$E$32,$D$8:$D$32,$S14)</f>
        <v/>
      </c>
    </row>
    <row r="15">
      <c r="A15" s="23" t="n"/>
      <c r="B15" s="23" t="n"/>
      <c r="C15" s="40" t="n"/>
      <c r="D15" s="40" t="n"/>
      <c r="E15" s="41" t="n"/>
      <c r="F15" s="25">
        <f>IFERROR($E15/SUM($E$8:$E$32),"")</f>
        <v/>
      </c>
      <c r="Q15">
        <f>'Carteira do Cliente'!A18</f>
        <v/>
      </c>
      <c r="R15">
        <f>IF($Q15="",0,SUMIFS($E$8:$E$32,$A$8:$A$32,$Q15))</f>
        <v/>
      </c>
      <c r="S15" t="n">
        <v>270</v>
      </c>
      <c r="T15">
        <f>SUMIFS($E$8:$E$32,$D$8:$D$32,$S15)</f>
        <v/>
      </c>
    </row>
    <row r="16">
      <c r="A16" s="23" t="n"/>
      <c r="B16" s="23" t="n"/>
      <c r="C16" s="40" t="n"/>
      <c r="D16" s="40" t="n"/>
      <c r="E16" s="41" t="n"/>
      <c r="F16" s="25">
        <f>IFERROR($E16/SUM($E$8:$E$32),"")</f>
        <v/>
      </c>
      <c r="S16" t="n">
        <v>365</v>
      </c>
      <c r="T16">
        <f>SUMIFS($E$8:$E$32,$D$8:$D$32,$S16)</f>
        <v/>
      </c>
    </row>
    <row r="17">
      <c r="A17" s="23" t="n"/>
      <c r="B17" s="23" t="n"/>
      <c r="C17" s="40" t="n"/>
      <c r="D17" s="40" t="n"/>
      <c r="E17" s="41" t="n"/>
      <c r="F17" s="25">
        <f>IFERROR($E17/SUM($E$8:$E$32),"")</f>
        <v/>
      </c>
      <c r="S17" t="n">
        <v>720</v>
      </c>
      <c r="T17">
        <f>SUMIFS($E$8:$E$32,$D$8:$D$32,$S17)</f>
        <v/>
      </c>
    </row>
    <row r="18">
      <c r="A18" s="23" t="n"/>
      <c r="B18" s="23" t="n"/>
      <c r="C18" s="40" t="n"/>
      <c r="D18" s="40" t="n"/>
      <c r="E18" s="41" t="n"/>
      <c r="F18" s="25">
        <f>IFERROR($E18/SUM($E$8:$E$32),"")</f>
        <v/>
      </c>
      <c r="S18" t="n">
        <v>1800</v>
      </c>
      <c r="T18">
        <f>SUMIFS($E$8:$E$32,$D$8:$D$32,$S18)</f>
        <v/>
      </c>
    </row>
    <row r="19">
      <c r="A19" s="23" t="n"/>
      <c r="B19" s="23" t="n"/>
      <c r="C19" s="40" t="n"/>
      <c r="D19" s="40" t="n"/>
      <c r="E19" s="41" t="n"/>
      <c r="F19" s="25">
        <f>IFERROR($E19/SUM($E$8:$E$32),"")</f>
        <v/>
      </c>
    </row>
    <row r="20">
      <c r="A20" s="23" t="n"/>
      <c r="B20" s="23" t="n"/>
      <c r="C20" s="40" t="n"/>
      <c r="D20" s="40" t="n"/>
      <c r="E20" s="41" t="n"/>
      <c r="F20" s="25">
        <f>IFERROR($E20/SUM($E$8:$E$32),"")</f>
        <v/>
      </c>
    </row>
    <row r="21">
      <c r="A21" s="23" t="n"/>
      <c r="B21" s="23" t="n"/>
      <c r="C21" s="40" t="n"/>
      <c r="D21" s="40" t="n"/>
      <c r="E21" s="41" t="n"/>
      <c r="F21" s="25">
        <f>IFERROR($E21/SUM($E$8:$E$32),"")</f>
        <v/>
      </c>
    </row>
    <row r="22">
      <c r="A22" s="23" t="n"/>
      <c r="B22" s="23" t="n"/>
      <c r="C22" s="40" t="n"/>
      <c r="D22" s="40" t="n"/>
      <c r="E22" s="41" t="n"/>
      <c r="F22" s="25">
        <f>IFERROR($E22/SUM($E$8:$E$32),"")</f>
        <v/>
      </c>
    </row>
    <row r="23">
      <c r="A23" s="23" t="n"/>
      <c r="B23" s="23" t="n"/>
      <c r="C23" s="40" t="n"/>
      <c r="D23" s="40" t="n"/>
      <c r="E23" s="41" t="n"/>
      <c r="F23" s="25">
        <f>IFERROR($E23/SUM($E$8:$E$32),"")</f>
        <v/>
      </c>
    </row>
    <row r="24">
      <c r="A24" s="23" t="n"/>
      <c r="B24" s="23" t="n"/>
      <c r="C24" s="40" t="n"/>
      <c r="D24" s="40" t="n"/>
      <c r="E24" s="41" t="n"/>
      <c r="F24" s="25">
        <f>IFERROR($E24/SUM($E$8:$E$32),"")</f>
        <v/>
      </c>
    </row>
    <row r="25">
      <c r="A25" s="23" t="n"/>
      <c r="B25" s="23" t="n"/>
      <c r="C25" s="40" t="n"/>
      <c r="D25" s="40" t="n"/>
      <c r="E25" s="41" t="n"/>
      <c r="F25" s="25">
        <f>IFERROR($E25/SUM($E$8:$E$32),"")</f>
        <v/>
      </c>
    </row>
    <row r="26">
      <c r="A26" s="23" t="n"/>
      <c r="B26" s="23" t="n"/>
      <c r="C26" s="40" t="n"/>
      <c r="D26" s="40" t="n"/>
      <c r="E26" s="41" t="n"/>
      <c r="F26" s="25">
        <f>IFERROR($E26/SUM($E$8:$E$32),"")</f>
        <v/>
      </c>
    </row>
    <row r="27">
      <c r="A27" s="23" t="n"/>
      <c r="B27" s="23" t="n"/>
      <c r="C27" s="40" t="n"/>
      <c r="D27" s="40" t="n"/>
      <c r="E27" s="41" t="n"/>
      <c r="F27" s="25">
        <f>IFERROR($E27/SUM($E$8:$E$32),"")</f>
        <v/>
      </c>
    </row>
    <row r="28">
      <c r="A28" s="23" t="n"/>
      <c r="B28" s="23" t="n"/>
      <c r="C28" s="40" t="n"/>
      <c r="D28" s="40" t="n"/>
      <c r="E28" s="41" t="n"/>
      <c r="F28" s="25">
        <f>IFERROR($E28/SUM($E$8:$E$32),"")</f>
        <v/>
      </c>
    </row>
    <row r="29">
      <c r="A29" s="23" t="n"/>
      <c r="B29" s="23" t="n"/>
      <c r="C29" s="40" t="n"/>
      <c r="D29" s="40" t="n"/>
      <c r="E29" s="41" t="n"/>
      <c r="F29" s="25">
        <f>IFERROR($E29/SUM($E$8:$E$32),"")</f>
        <v/>
      </c>
    </row>
    <row r="30">
      <c r="A30" s="23" t="n"/>
      <c r="B30" s="23" t="n"/>
      <c r="C30" s="40" t="n"/>
      <c r="D30" s="40" t="n"/>
      <c r="E30" s="41" t="n"/>
      <c r="F30" s="25">
        <f>IFERROR($E30/SUM($E$8:$E$32),"")</f>
        <v/>
      </c>
    </row>
    <row r="31">
      <c r="A31" s="23" t="n"/>
      <c r="B31" s="23" t="n"/>
      <c r="C31" s="40" t="n"/>
      <c r="D31" s="40" t="n"/>
      <c r="E31" s="41" t="n"/>
      <c r="F31" s="25">
        <f>IFERROR($E31/SUM($E$8:$E$32),"")</f>
        <v/>
      </c>
    </row>
    <row r="32">
      <c r="A32" s="23" t="n"/>
      <c r="B32" s="23" t="n"/>
      <c r="C32" s="40" t="n"/>
      <c r="D32" s="40" t="n"/>
      <c r="E32" s="41" t="n"/>
      <c r="F32" s="25">
        <f>IFERROR($E32/SUM($E$8:$E$32),"")</f>
        <v/>
      </c>
    </row>
    <row r="33">
      <c r="A33" s="28" t="inlineStr">
        <is>
          <t>TOTAL</t>
        </is>
      </c>
      <c r="B33" s="29" t="n"/>
      <c r="C33" s="29" t="n"/>
      <c r="D33" s="29" t="n"/>
      <c r="E33" s="42">
        <f>SUM(E8:E32)</f>
        <v/>
      </c>
      <c r="F33" s="43">
        <f>SUM(F8:F32)</f>
        <v/>
      </c>
    </row>
    <row r="37" ht="20" customHeight="1">
      <c r="A37" s="22" t="inlineStr">
        <is>
          <t>OTIMIZAÇÕES REALIZADAS</t>
        </is>
      </c>
    </row>
    <row r="38" ht="22" customHeight="1">
      <c r="A38" s="44" t="n"/>
    </row>
    <row r="39" ht="22" customHeight="1">
      <c r="A39" s="44" t="n"/>
    </row>
    <row r="40" ht="22" customHeight="1">
      <c r="A40" s="44" t="n"/>
    </row>
    <row r="41" ht="22" customHeight="1">
      <c r="A41" s="44" t="n"/>
    </row>
    <row r="42" ht="22" customHeight="1">
      <c r="A42" s="44" t="n"/>
    </row>
    <row r="44" ht="20" customHeight="1">
      <c r="A44" s="22" t="inlineStr">
        <is>
          <t>RACIONAL POR MOVIMENTAÇÃO</t>
        </is>
      </c>
    </row>
    <row r="45">
      <c r="A45" s="2" t="inlineStr">
        <is>
          <t>Ativo</t>
        </is>
      </c>
      <c r="B45" s="2" t="inlineStr">
        <is>
          <t>Racional (objetivo e justificativa)</t>
        </is>
      </c>
    </row>
    <row r="46" ht="32" customHeight="1">
      <c r="A46" s="45" t="n"/>
      <c r="B46" s="44" t="n"/>
    </row>
    <row r="47" ht="32" customHeight="1">
      <c r="A47" s="45" t="n"/>
      <c r="B47" s="44" t="n"/>
    </row>
    <row r="48" ht="32" customHeight="1">
      <c r="A48" s="45" t="n"/>
      <c r="B48" s="44" t="n"/>
    </row>
    <row r="49" ht="32" customHeight="1">
      <c r="A49" s="45" t="n"/>
      <c r="B49" s="44" t="n"/>
    </row>
    <row r="50" ht="32" customHeight="1">
      <c r="A50" s="45" t="n"/>
      <c r="B50" s="44" t="n"/>
    </row>
    <row r="51" ht="32" customHeight="1">
      <c r="A51" s="45" t="n"/>
      <c r="B51" s="44" t="n"/>
    </row>
    <row r="52" ht="32" customHeight="1">
      <c r="A52" s="45" t="n"/>
      <c r="B52" s="44" t="n"/>
    </row>
    <row r="53" ht="32" customHeight="1">
      <c r="A53" s="45" t="n"/>
      <c r="B53" s="44" t="n"/>
    </row>
    <row r="54" ht="32" customHeight="1">
      <c r="A54" s="45" t="n"/>
      <c r="B54" s="44" t="n"/>
    </row>
    <row r="55" ht="32" customHeight="1">
      <c r="A55" s="45" t="n"/>
      <c r="B55" s="44" t="n"/>
    </row>
    <row r="57" ht="20" customHeight="1">
      <c r="A57" s="22" t="inlineStr">
        <is>
          <t>COMPARATIVO: ATUAL x SUGERIDA</t>
        </is>
      </c>
    </row>
    <row r="58">
      <c r="A58" s="2" t="inlineStr">
        <is>
          <t>Classe</t>
        </is>
      </c>
      <c r="B58" s="2" t="inlineStr">
        <is>
          <t>% Atual</t>
        </is>
      </c>
      <c r="C58" s="2" t="inlineStr">
        <is>
          <t>% Sugerido</t>
        </is>
      </c>
      <c r="D58" s="2" t="inlineStr">
        <is>
          <t>Saldo Atual (R$)</t>
        </is>
      </c>
      <c r="E58" s="2" t="inlineStr">
        <is>
          <t>Valor Sugerido (R$)</t>
        </is>
      </c>
      <c r="F58" s="2" t="inlineStr">
        <is>
          <t>Diferença (R$)</t>
        </is>
      </c>
      <c r="G58" s="2" t="inlineStr">
        <is>
          <t>Ação</t>
        </is>
      </c>
    </row>
    <row r="59">
      <c r="A59" s="6">
        <f>'Carteira do Cliente'!A11</f>
        <v/>
      </c>
      <c r="B59" s="25">
        <f>'Carteira do Cliente'!D11</f>
        <v/>
      </c>
      <c r="C59" s="25">
        <f>IFERROR($E59/SUM($E$8:$E$32),0)</f>
        <v/>
      </c>
      <c r="D59" s="24">
        <f>'Carteira do Cliente'!C11</f>
        <v/>
      </c>
      <c r="E59" s="24">
        <f>SUMIFS($E$8:$E$32,$A$8:$A$32,$A59)</f>
        <v/>
      </c>
      <c r="F59" s="24">
        <f>$E59-$D59</f>
        <v/>
      </c>
      <c r="G59" s="6">
        <f>IF(AND($D59=0,$E59=0),"",IF(ROUND($F59,2)&gt;0,"Aumentar",IF(ROUND($F59,2)&lt;0,"Reduzir","Manter")))</f>
        <v/>
      </c>
    </row>
    <row r="60">
      <c r="A60" s="4">
        <f>'Carteira do Cliente'!A12</f>
        <v/>
      </c>
      <c r="B60" s="27">
        <f>'Carteira do Cliente'!D12</f>
        <v/>
      </c>
      <c r="C60" s="27">
        <f>IFERROR($E60/SUM($E$8:$E$32),0)</f>
        <v/>
      </c>
      <c r="D60" s="26">
        <f>'Carteira do Cliente'!C12</f>
        <v/>
      </c>
      <c r="E60" s="26">
        <f>SUMIFS($E$8:$E$32,$A$8:$A$32,$A60)</f>
        <v/>
      </c>
      <c r="F60" s="26">
        <f>$E60-$D60</f>
        <v/>
      </c>
      <c r="G60" s="4">
        <f>IF(AND($D60=0,$E60=0),"",IF(ROUND($F60,2)&gt;0,"Aumentar",IF(ROUND($F60,2)&lt;0,"Reduzir","Manter")))</f>
        <v/>
      </c>
    </row>
    <row r="61">
      <c r="A61" s="6">
        <f>'Carteira do Cliente'!A13</f>
        <v/>
      </c>
      <c r="B61" s="25">
        <f>'Carteira do Cliente'!D13</f>
        <v/>
      </c>
      <c r="C61" s="25">
        <f>IFERROR($E61/SUM($E$8:$E$32),0)</f>
        <v/>
      </c>
      <c r="D61" s="24">
        <f>'Carteira do Cliente'!C13</f>
        <v/>
      </c>
      <c r="E61" s="24">
        <f>SUMIFS($E$8:$E$32,$A$8:$A$32,$A61)</f>
        <v/>
      </c>
      <c r="F61" s="24">
        <f>$E61-$D61</f>
        <v/>
      </c>
      <c r="G61" s="6">
        <f>IF(AND($D61=0,$E61=0),"",IF(ROUND($F61,2)&gt;0,"Aumentar",IF(ROUND($F61,2)&lt;0,"Reduzir","Manter")))</f>
        <v/>
      </c>
    </row>
    <row r="62">
      <c r="A62" s="4">
        <f>'Carteira do Cliente'!A14</f>
        <v/>
      </c>
      <c r="B62" s="27">
        <f>'Carteira do Cliente'!D14</f>
        <v/>
      </c>
      <c r="C62" s="27">
        <f>IFERROR($E62/SUM($E$8:$E$32),0)</f>
        <v/>
      </c>
      <c r="D62" s="26">
        <f>'Carteira do Cliente'!C14</f>
        <v/>
      </c>
      <c r="E62" s="26">
        <f>SUMIFS($E$8:$E$32,$A$8:$A$32,$A62)</f>
        <v/>
      </c>
      <c r="F62" s="26">
        <f>$E62-$D62</f>
        <v/>
      </c>
      <c r="G62" s="4">
        <f>IF(AND($D62=0,$E62=0),"",IF(ROUND($F62,2)&gt;0,"Aumentar",IF(ROUND($F62,2)&lt;0,"Reduzir","Manter")))</f>
        <v/>
      </c>
    </row>
    <row r="63">
      <c r="A63" s="6">
        <f>'Carteira do Cliente'!A15</f>
        <v/>
      </c>
      <c r="B63" s="25">
        <f>'Carteira do Cliente'!D15</f>
        <v/>
      </c>
      <c r="C63" s="25">
        <f>IFERROR($E63/SUM($E$8:$E$32),0)</f>
        <v/>
      </c>
      <c r="D63" s="24">
        <f>'Carteira do Cliente'!C15</f>
        <v/>
      </c>
      <c r="E63" s="24">
        <f>SUMIFS($E$8:$E$32,$A$8:$A$32,$A63)</f>
        <v/>
      </c>
      <c r="F63" s="24">
        <f>$E63-$D63</f>
        <v/>
      </c>
      <c r="G63" s="6">
        <f>IF(AND($D63=0,$E63=0),"",IF(ROUND($F63,2)&gt;0,"Aumentar",IF(ROUND($F63,2)&lt;0,"Reduzir","Manter")))</f>
        <v/>
      </c>
    </row>
    <row r="64">
      <c r="A64" s="4">
        <f>'Carteira do Cliente'!A16</f>
        <v/>
      </c>
      <c r="B64" s="27">
        <f>'Carteira do Cliente'!D16</f>
        <v/>
      </c>
      <c r="C64" s="27">
        <f>IFERROR($E64/SUM($E$8:$E$32),0)</f>
        <v/>
      </c>
      <c r="D64" s="26">
        <f>'Carteira do Cliente'!C16</f>
        <v/>
      </c>
      <c r="E64" s="26">
        <f>SUMIFS($E$8:$E$32,$A$8:$A$32,$A64)</f>
        <v/>
      </c>
      <c r="F64" s="26">
        <f>$E64-$D64</f>
        <v/>
      </c>
      <c r="G64" s="4">
        <f>IF(AND($D64=0,$E64=0),"",IF(ROUND($F64,2)&gt;0,"Aumentar",IF(ROUND($F64,2)&lt;0,"Reduzir","Manter")))</f>
        <v/>
      </c>
    </row>
    <row r="65">
      <c r="A65" s="6">
        <f>'Carteira do Cliente'!A17</f>
        <v/>
      </c>
      <c r="B65" s="25">
        <f>'Carteira do Cliente'!D17</f>
        <v/>
      </c>
      <c r="C65" s="25">
        <f>IFERROR($E65/SUM($E$8:$E$32),0)</f>
        <v/>
      </c>
      <c r="D65" s="24">
        <f>'Carteira do Cliente'!C17</f>
        <v/>
      </c>
      <c r="E65" s="24">
        <f>SUMIFS($E$8:$E$32,$A$8:$A$32,$A65)</f>
        <v/>
      </c>
      <c r="F65" s="24">
        <f>$E65-$D65</f>
        <v/>
      </c>
      <c r="G65" s="6">
        <f>IF(AND($D65=0,$E65=0),"",IF(ROUND($F65,2)&gt;0,"Aumentar",IF(ROUND($F65,2)&lt;0,"Reduzir","Manter")))</f>
        <v/>
      </c>
    </row>
    <row r="66">
      <c r="A66" s="4">
        <f>'Carteira do Cliente'!A18</f>
        <v/>
      </c>
      <c r="B66" s="27">
        <f>'Carteira do Cliente'!D18</f>
        <v/>
      </c>
      <c r="C66" s="27">
        <f>IFERROR($E66/SUM($E$8:$E$32),0)</f>
        <v/>
      </c>
      <c r="D66" s="26">
        <f>'Carteira do Cliente'!C18</f>
        <v/>
      </c>
      <c r="E66" s="26">
        <f>SUMIFS($E$8:$E$32,$A$8:$A$32,$A66)</f>
        <v/>
      </c>
      <c r="F66" s="26">
        <f>$E66-$D66</f>
        <v/>
      </c>
      <c r="G66" s="4">
        <f>IF(AND($D66=0,$E66=0),"",IF(ROUND($F66,2)&gt;0,"Aumentar",IF(ROUND($F66,2)&lt;0,"Reduzir","Manter")))</f>
        <v/>
      </c>
    </row>
    <row r="67">
      <c r="A67" s="28" t="inlineStr">
        <is>
          <t>TOTAL</t>
        </is>
      </c>
      <c r="D67" s="42">
        <f>SUM(D59:D66)</f>
        <v/>
      </c>
      <c r="E67" s="42">
        <f>SUM(E59:E66)</f>
        <v/>
      </c>
      <c r="F67" s="42">
        <f>SUM(F59:F66)</f>
        <v/>
      </c>
    </row>
  </sheetData>
  <mergeCells count="25">
    <mergeCell ref="A40:N40"/>
    <mergeCell ref="A39:N39"/>
    <mergeCell ref="B49:N49"/>
    <mergeCell ref="H3:N3"/>
    <mergeCell ref="B55:N55"/>
    <mergeCell ref="B51:N51"/>
    <mergeCell ref="A1:N1"/>
    <mergeCell ref="B45:N45"/>
    <mergeCell ref="B4:E4"/>
    <mergeCell ref="B50:N50"/>
    <mergeCell ref="A41:N41"/>
    <mergeCell ref="B3:E3"/>
    <mergeCell ref="A37:N37"/>
    <mergeCell ref="B47:N47"/>
    <mergeCell ref="B54:N54"/>
    <mergeCell ref="B46:N46"/>
    <mergeCell ref="H4:N4"/>
    <mergeCell ref="B52:N52"/>
    <mergeCell ref="B48:N48"/>
    <mergeCell ref="A42:N42"/>
    <mergeCell ref="A38:N38"/>
    <mergeCell ref="A6:F6"/>
    <mergeCell ref="B53:N53"/>
    <mergeCell ref="A57:G57"/>
    <mergeCell ref="A44:N44"/>
  </mergeCells>
  <conditionalFormatting sqref="G59:G66">
    <cfRule type="expression" priority="1" dxfId="1">
      <formula>$G59="Aumentar"</formula>
    </cfRule>
    <cfRule type="expression" priority="2" dxfId="0">
      <formula>$G59="Reduzir"</formula>
    </cfRule>
  </conditionalFormatting>
  <dataValidations count="1">
    <dataValidation sqref="A8:A32" showDropDown="0" showInputMessage="0" showErrorMessage="0" allowBlank="1" type="list">
      <formula1>='Carteira do Cliente'!$A$11:$A$18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" customWidth="1" min="3" max="3"/>
    <col width="38" customWidth="1" min="4" max="4"/>
    <col width="16" customWidth="1" min="5" max="5"/>
    <col width="4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30" customHeight="1">
      <c r="A1" s="1" t="inlineStr">
        <is>
          <t>PLANEJAMENTO FINANCEIRO &amp; APOSENTADORIA</t>
        </is>
      </c>
    </row>
    <row r="3">
      <c r="A3" s="17" t="inlineStr">
        <is>
          <t>Cliente:</t>
        </is>
      </c>
      <c r="B3" s="36">
        <f>'Carteira do Cliente'!B3</f>
        <v/>
      </c>
    </row>
    <row r="5" ht="20" customHeight="1">
      <c r="A5" s="22" t="inlineStr">
        <is>
          <t>INFORMAÇÕES GERAIS E PATRIMÔNIO ATUAL</t>
        </is>
      </c>
      <c r="D5" s="22" t="inlineStr">
        <is>
          <t>INFLAÇÃO, CDI, ALÍQUOTA IR E TAXA NOMINAL</t>
        </is>
      </c>
    </row>
    <row r="6">
      <c r="A6" s="17" t="inlineStr">
        <is>
          <t>Idade atual (anos)</t>
        </is>
      </c>
      <c r="B6" s="46" t="n">
        <v>51</v>
      </c>
      <c r="D6" s="17" t="inlineStr">
        <is>
          <t>Inflação anual projetada</t>
        </is>
      </c>
      <c r="E6" s="47" t="n">
        <v>0.04</v>
      </c>
    </row>
    <row r="7">
      <c r="A7" s="17" t="inlineStr">
        <is>
          <t>Idade de aposentadoria (anos)</t>
        </is>
      </c>
      <c r="B7" s="46" t="n">
        <v>64</v>
      </c>
      <c r="D7" s="17" t="inlineStr">
        <is>
          <t>Alíquota de IR (sobre rendimentos)</t>
        </is>
      </c>
      <c r="E7" s="47" t="n">
        <v>0.15</v>
      </c>
    </row>
    <row r="8">
      <c r="A8" s="17" t="inlineStr">
        <is>
          <t>Expectativa de vida (anos)</t>
        </is>
      </c>
      <c r="B8" s="46" t="n">
        <v>90</v>
      </c>
      <c r="D8" s="17" t="inlineStr">
        <is>
          <t>Taxa CDI anual</t>
        </is>
      </c>
      <c r="E8" s="47" t="n">
        <v>0.1065</v>
      </c>
    </row>
    <row r="9">
      <c r="A9" s="17" t="inlineStr">
        <is>
          <t>Horizonte de produção/acumulação (anos)</t>
        </is>
      </c>
      <c r="B9" s="12">
        <f>B7-B6</f>
        <v/>
      </c>
      <c r="D9" s="17" t="inlineStr">
        <is>
          <t>% do CDI esperado (rentabilidade)</t>
        </is>
      </c>
      <c r="E9" s="47" t="n">
        <v>0.72</v>
      </c>
    </row>
    <row r="10">
      <c r="A10" s="17" t="inlineStr">
        <is>
          <t>Patrimônio líquido disponível (R$)</t>
        </is>
      </c>
      <c r="B10" s="48" t="n">
        <v>0</v>
      </c>
      <c r="D10" s="17" t="inlineStr">
        <is>
          <t>Taxa nominal anual bruta (calc)</t>
        </is>
      </c>
      <c r="E10" s="49">
        <f>E8*E9</f>
        <v/>
      </c>
    </row>
    <row r="11">
      <c r="A11" s="17" t="inlineStr">
        <is>
          <t>Aplicação mensal (Prev + Meta) (R$)</t>
        </is>
      </c>
      <c r="B11" s="48" t="n">
        <v>0</v>
      </c>
      <c r="D11" s="17" t="inlineStr">
        <is>
          <t>Taxa nominal anual líquida (calc)</t>
        </is>
      </c>
      <c r="E11" s="49">
        <f>E10*(1-E7)</f>
        <v/>
      </c>
    </row>
    <row r="13" ht="20" customHeight="1">
      <c r="A13" s="22" t="inlineStr">
        <is>
          <t>PREMISSAS DE APOSENTADORIA</t>
        </is>
      </c>
      <c r="D13" s="22" t="inlineStr">
        <is>
          <t>TAXA DE JUROS REAL</t>
        </is>
      </c>
    </row>
    <row r="14">
      <c r="A14" s="17" t="inlineStr">
        <is>
          <t>Renda desejada na aposentadoria (R$ / mês)</t>
        </is>
      </c>
      <c r="B14" s="48" t="n">
        <v>0</v>
      </c>
      <c r="D14" s="17" t="inlineStr">
        <is>
          <t>Taxa real anual bruta</t>
        </is>
      </c>
      <c r="E14" s="49">
        <f>(1+E10)/(1+E6)-1</f>
        <v/>
      </c>
    </row>
    <row r="15">
      <c r="A15" s="17" t="inlineStr">
        <is>
          <t>Renda projetada do INSS (R$ / mês)</t>
        </is>
      </c>
      <c r="B15" s="48" t="n">
        <v>0</v>
      </c>
      <c r="D15" s="17" t="inlineStr">
        <is>
          <t>Taxa real anual líquida</t>
        </is>
      </c>
      <c r="E15" s="49">
        <f>(1+E11)/(1+E6)-1</f>
        <v/>
      </c>
    </row>
    <row r="16">
      <c r="A16" s="17" t="inlineStr">
        <is>
          <t>Outras fontes de renda (R$ / mês)</t>
        </is>
      </c>
      <c r="B16" s="48" t="n">
        <v>0</v>
      </c>
      <c r="D16" s="17" t="inlineStr">
        <is>
          <t>Taxa real anual líquida pós-aposentadoria</t>
        </is>
      </c>
      <c r="E16" s="47" t="n">
        <v>0.03</v>
      </c>
    </row>
    <row r="17">
      <c r="A17" s="17" t="inlineStr">
        <is>
          <t>Renda a sustentar pelo patrimônio (R$ / mês)</t>
        </is>
      </c>
      <c r="B17" s="14">
        <f>MAX(0,B14-B15-B16)</f>
        <v/>
      </c>
      <c r="D17" s="17" t="inlineStr">
        <is>
          <t>Taxa real mensal líquida pós-aposentadoria</t>
        </is>
      </c>
      <c r="E17" s="50">
        <f>(1+E16)^(1/12)-1</f>
        <v/>
      </c>
    </row>
    <row r="18">
      <c r="A18" s="17" t="inlineStr">
        <is>
          <t>Renda a sustentar pelo patrimônio (R$ / ano)</t>
        </is>
      </c>
      <c r="B18" s="14">
        <f>B17*12</f>
        <v/>
      </c>
    </row>
    <row r="20" ht="20" customHeight="1">
      <c r="A20" s="22" t="inlineStr">
        <is>
          <t>APOSENTADORIA — VIVER DE RENDA (preservando)</t>
        </is>
      </c>
      <c r="D20" s="22" t="inlineStr">
        <is>
          <t>APOSENTADORIA — CONSUMO COM SUCESSÃO</t>
        </is>
      </c>
    </row>
    <row r="21">
      <c r="A21" s="17" t="inlineStr">
        <is>
          <t>Patrimônio necessário na aposentadoria</t>
        </is>
      </c>
      <c r="B21" s="20">
        <f>IFERROR(B18/E16,0)</f>
        <v/>
      </c>
      <c r="D21" s="17" t="inlineStr">
        <is>
          <t>Patrimônio de sucessão desejado (R$)</t>
        </is>
      </c>
      <c r="E21" s="48" t="n">
        <v>0</v>
      </c>
    </row>
    <row r="22">
      <c r="A22" s="17" t="inlineStr">
        <is>
          <t>Parcela mensal necessária a aplicar</t>
        </is>
      </c>
      <c r="B22" s="20">
        <f>IFERROR(-PMT(E17,B9*12,-B10,B21),0)</f>
        <v/>
      </c>
      <c r="D22" s="17" t="inlineStr">
        <is>
          <t>Patrimônio necessário na aposentadoria</t>
        </is>
      </c>
      <c r="E22" s="20">
        <f>IFERROR(PV(E16,B8-B7,-B18,-E21),0)</f>
        <v/>
      </c>
    </row>
    <row r="23">
      <c r="D23" s="17" t="inlineStr">
        <is>
          <t>Parcela mensal necessária a aplicar</t>
        </is>
      </c>
      <c r="E23" s="20">
        <f>IFERROR(-PMT(E17,B9*12,-B10,E22),0)</f>
        <v/>
      </c>
    </row>
    <row r="25" ht="20" customHeight="1">
      <c r="A25" s="22" t="inlineStr">
        <is>
          <t>OBJETIVOS DE VIDA (1-6 anos)</t>
        </is>
      </c>
    </row>
    <row r="26">
      <c r="A26" s="2" t="inlineStr">
        <is>
          <t>Projeto</t>
        </is>
      </c>
      <c r="B26" s="2" t="inlineStr">
        <is>
          <t>Valor hoje (R$)</t>
        </is>
      </c>
      <c r="D26" s="2" t="inlineStr">
        <is>
          <t>Acumulação projetada (R$)</t>
        </is>
      </c>
      <c r="E26" s="2" t="inlineStr">
        <is>
          <t>Anos</t>
        </is>
      </c>
    </row>
    <row r="27">
      <c r="A27" s="17" t="inlineStr">
        <is>
          <t>Projetos 1-2 anos</t>
        </is>
      </c>
      <c r="B27" s="48" t="n">
        <v>0</v>
      </c>
      <c r="D27" s="20">
        <f>B27*(1+E10)^E27</f>
        <v/>
      </c>
      <c r="E27" s="51" t="n">
        <v>2</v>
      </c>
    </row>
    <row r="28">
      <c r="A28" s="17" t="inlineStr">
        <is>
          <t>Projetos 3-4 anos</t>
        </is>
      </c>
      <c r="B28" s="48" t="n">
        <v>0</v>
      </c>
      <c r="D28" s="20">
        <f>B28*(1+E10)^E28</f>
        <v/>
      </c>
      <c r="E28" s="51" t="n">
        <v>4</v>
      </c>
    </row>
    <row r="29">
      <c r="A29" s="17" t="inlineStr">
        <is>
          <t>Projetos 5-6 anos</t>
        </is>
      </c>
      <c r="B29" s="48" t="n">
        <v>0</v>
      </c>
      <c r="D29" s="20">
        <f>B29*(1+E10)^E29</f>
        <v/>
      </c>
      <c r="E29" s="51" t="n">
        <v>6</v>
      </c>
    </row>
    <row r="30">
      <c r="A30" s="17" t="inlineStr">
        <is>
          <t>Total de Projetos e Acumulação</t>
        </is>
      </c>
      <c r="B30" s="20">
        <f>SUM(B27:B29)</f>
        <v/>
      </c>
      <c r="D30" s="20">
        <f>SUM(D27:D29)</f>
        <v/>
      </c>
    </row>
    <row r="33" ht="20" customHeight="1">
      <c r="G33" s="22" t="inlineStr">
        <is>
          <t>PROJEÇÃO PATRIMONIAL (em R$ reais de hoje)</t>
        </is>
      </c>
    </row>
    <row r="34">
      <c r="G34" s="2" t="inlineStr">
        <is>
          <t>Ano</t>
        </is>
      </c>
      <c r="H34" s="2" t="inlineStr">
        <is>
          <t>Idade</t>
        </is>
      </c>
      <c r="I34" s="2" t="inlineStr">
        <is>
          <t>Saldo Real</t>
        </is>
      </c>
      <c r="J34" s="2" t="inlineStr">
        <is>
          <t>Viver de Renda</t>
        </is>
      </c>
    </row>
    <row r="35">
      <c r="G35" s="52" t="n">
        <v>0</v>
      </c>
      <c r="H35" s="52">
        <f>B6+G35</f>
        <v/>
      </c>
      <c r="I35" s="53">
        <f>B10</f>
        <v/>
      </c>
      <c r="J35" s="53">
        <f>IF(H35&lt;B7,NA(),B21)</f>
        <v/>
      </c>
    </row>
    <row r="36">
      <c r="G36" s="54" t="n">
        <v>1</v>
      </c>
      <c r="H36" s="54">
        <f>B6+G36</f>
        <v/>
      </c>
      <c r="I36" s="55">
        <f>IF(H36&lt;=B7,I35*(1+E15)+B11*12,MAX(0,I35*(1+E16)-B18))</f>
        <v/>
      </c>
      <c r="J36" s="55">
        <f>IF(H36&lt;B7,NA(),B21)</f>
        <v/>
      </c>
    </row>
    <row r="37">
      <c r="G37" s="52" t="n">
        <v>2</v>
      </c>
      <c r="H37" s="52">
        <f>B6+G37</f>
        <v/>
      </c>
      <c r="I37" s="53">
        <f>IF(H37&lt;=B7,I36*(1+E15)+B11*12,MAX(0,I36*(1+E16)-B18))</f>
        <v/>
      </c>
      <c r="J37" s="53">
        <f>IF(H37&lt;B7,NA(),B21)</f>
        <v/>
      </c>
    </row>
    <row r="38">
      <c r="G38" s="54" t="n">
        <v>3</v>
      </c>
      <c r="H38" s="54">
        <f>B6+G38</f>
        <v/>
      </c>
      <c r="I38" s="55">
        <f>IF(H38&lt;=B7,I37*(1+E15)+B11*12,MAX(0,I37*(1+E16)-B18))</f>
        <v/>
      </c>
      <c r="J38" s="55">
        <f>IF(H38&lt;B7,NA(),B21)</f>
        <v/>
      </c>
    </row>
    <row r="39">
      <c r="G39" s="52" t="n">
        <v>4</v>
      </c>
      <c r="H39" s="52">
        <f>B6+G39</f>
        <v/>
      </c>
      <c r="I39" s="53">
        <f>IF(H39&lt;=B7,I38*(1+E15)+B11*12,MAX(0,I38*(1+E16)-B18))</f>
        <v/>
      </c>
      <c r="J39" s="53">
        <f>IF(H39&lt;B7,NA(),B21)</f>
        <v/>
      </c>
    </row>
    <row r="40">
      <c r="G40" s="54" t="n">
        <v>5</v>
      </c>
      <c r="H40" s="54">
        <f>B6+G40</f>
        <v/>
      </c>
      <c r="I40" s="55">
        <f>IF(H40&lt;=B7,I39*(1+E15)+B11*12,MAX(0,I39*(1+E16)-B18))</f>
        <v/>
      </c>
      <c r="J40" s="55">
        <f>IF(H40&lt;B7,NA(),B21)</f>
        <v/>
      </c>
    </row>
    <row r="41">
      <c r="G41" s="52" t="n">
        <v>6</v>
      </c>
      <c r="H41" s="52">
        <f>B6+G41</f>
        <v/>
      </c>
      <c r="I41" s="53">
        <f>IF(H41&lt;=B7,I40*(1+E15)+B11*12,MAX(0,I40*(1+E16)-B18))</f>
        <v/>
      </c>
      <c r="J41" s="53">
        <f>IF(H41&lt;B7,NA(),B21)</f>
        <v/>
      </c>
    </row>
    <row r="42">
      <c r="G42" s="54" t="n">
        <v>7</v>
      </c>
      <c r="H42" s="54">
        <f>B6+G42</f>
        <v/>
      </c>
      <c r="I42" s="55">
        <f>IF(H42&lt;=B7,I41*(1+E15)+B11*12,MAX(0,I41*(1+E16)-B18))</f>
        <v/>
      </c>
      <c r="J42" s="55">
        <f>IF(H42&lt;B7,NA(),B21)</f>
        <v/>
      </c>
    </row>
    <row r="43">
      <c r="G43" s="52" t="n">
        <v>8</v>
      </c>
      <c r="H43" s="52">
        <f>B6+G43</f>
        <v/>
      </c>
      <c r="I43" s="53">
        <f>IF(H43&lt;=B7,I42*(1+E15)+B11*12,MAX(0,I42*(1+E16)-B18))</f>
        <v/>
      </c>
      <c r="J43" s="53">
        <f>IF(H43&lt;B7,NA(),B21)</f>
        <v/>
      </c>
    </row>
    <row r="44">
      <c r="G44" s="54" t="n">
        <v>9</v>
      </c>
      <c r="H44" s="54">
        <f>B6+G44</f>
        <v/>
      </c>
      <c r="I44" s="55">
        <f>IF(H44&lt;=B7,I43*(1+E15)+B11*12,MAX(0,I43*(1+E16)-B18))</f>
        <v/>
      </c>
      <c r="J44" s="55">
        <f>IF(H44&lt;B7,NA(),B21)</f>
        <v/>
      </c>
    </row>
    <row r="45">
      <c r="G45" s="52" t="n">
        <v>10</v>
      </c>
      <c r="H45" s="52">
        <f>B6+G45</f>
        <v/>
      </c>
      <c r="I45" s="53">
        <f>IF(H45&lt;=B7,I44*(1+E15)+B11*12,MAX(0,I44*(1+E16)-B18))</f>
        <v/>
      </c>
      <c r="J45" s="53">
        <f>IF(H45&lt;B7,NA(),B21)</f>
        <v/>
      </c>
    </row>
    <row r="46">
      <c r="G46" s="54" t="n">
        <v>11</v>
      </c>
      <c r="H46" s="54">
        <f>B6+G46</f>
        <v/>
      </c>
      <c r="I46" s="55">
        <f>IF(H46&lt;=B7,I45*(1+E15)+B11*12,MAX(0,I45*(1+E16)-B18))</f>
        <v/>
      </c>
      <c r="J46" s="55">
        <f>IF(H46&lt;B7,NA(),B21)</f>
        <v/>
      </c>
    </row>
    <row r="47">
      <c r="G47" s="52" t="n">
        <v>12</v>
      </c>
      <c r="H47" s="52">
        <f>B6+G47</f>
        <v/>
      </c>
      <c r="I47" s="53">
        <f>IF(H47&lt;=B7,I46*(1+E15)+B11*12,MAX(0,I46*(1+E16)-B18))</f>
        <v/>
      </c>
      <c r="J47" s="53">
        <f>IF(H47&lt;B7,NA(),B21)</f>
        <v/>
      </c>
    </row>
    <row r="48">
      <c r="G48" s="54" t="n">
        <v>13</v>
      </c>
      <c r="H48" s="54">
        <f>B6+G48</f>
        <v/>
      </c>
      <c r="I48" s="55">
        <f>IF(H48&lt;=B7,I47*(1+E15)+B11*12,MAX(0,I47*(1+E16)-B18))</f>
        <v/>
      </c>
      <c r="J48" s="55">
        <f>IF(H48&lt;B7,NA(),B21)</f>
        <v/>
      </c>
    </row>
    <row r="49">
      <c r="G49" s="52" t="n">
        <v>14</v>
      </c>
      <c r="H49" s="52">
        <f>B6+G49</f>
        <v/>
      </c>
      <c r="I49" s="53">
        <f>IF(H49&lt;=B7,I48*(1+E15)+B11*12,MAX(0,I48*(1+E16)-B18))</f>
        <v/>
      </c>
      <c r="J49" s="53">
        <f>IF(H49&lt;B7,NA(),B21)</f>
        <v/>
      </c>
    </row>
    <row r="50">
      <c r="G50" s="54" t="n">
        <v>15</v>
      </c>
      <c r="H50" s="54">
        <f>B6+G50</f>
        <v/>
      </c>
      <c r="I50" s="55">
        <f>IF(H50&lt;=B7,I49*(1+E15)+B11*12,MAX(0,I49*(1+E16)-B18))</f>
        <v/>
      </c>
      <c r="J50" s="55">
        <f>IF(H50&lt;B7,NA(),B21)</f>
        <v/>
      </c>
    </row>
    <row r="51">
      <c r="G51" s="52" t="n">
        <v>16</v>
      </c>
      <c r="H51" s="52">
        <f>B6+G51</f>
        <v/>
      </c>
      <c r="I51" s="53">
        <f>IF(H51&lt;=B7,I50*(1+E15)+B11*12,MAX(0,I50*(1+E16)-B18))</f>
        <v/>
      </c>
      <c r="J51" s="53">
        <f>IF(H51&lt;B7,NA(),B21)</f>
        <v/>
      </c>
    </row>
    <row r="52">
      <c r="G52" s="54" t="n">
        <v>17</v>
      </c>
      <c r="H52" s="54">
        <f>B6+G52</f>
        <v/>
      </c>
      <c r="I52" s="55">
        <f>IF(H52&lt;=B7,I51*(1+E15)+B11*12,MAX(0,I51*(1+E16)-B18))</f>
        <v/>
      </c>
      <c r="J52" s="55">
        <f>IF(H52&lt;B7,NA(),B21)</f>
        <v/>
      </c>
    </row>
    <row r="53">
      <c r="G53" s="52" t="n">
        <v>18</v>
      </c>
      <c r="H53" s="52">
        <f>B6+G53</f>
        <v/>
      </c>
      <c r="I53" s="53">
        <f>IF(H53&lt;=B7,I52*(1+E15)+B11*12,MAX(0,I52*(1+E16)-B18))</f>
        <v/>
      </c>
      <c r="J53" s="53">
        <f>IF(H53&lt;B7,NA(),B21)</f>
        <v/>
      </c>
    </row>
    <row r="54">
      <c r="G54" s="54" t="n">
        <v>19</v>
      </c>
      <c r="H54" s="54">
        <f>B6+G54</f>
        <v/>
      </c>
      <c r="I54" s="55">
        <f>IF(H54&lt;=B7,I53*(1+E15)+B11*12,MAX(0,I53*(1+E16)-B18))</f>
        <v/>
      </c>
      <c r="J54" s="55">
        <f>IF(H54&lt;B7,NA(),B21)</f>
        <v/>
      </c>
    </row>
    <row r="55">
      <c r="G55" s="52" t="n">
        <v>20</v>
      </c>
      <c r="H55" s="52">
        <f>B6+G55</f>
        <v/>
      </c>
      <c r="I55" s="53">
        <f>IF(H55&lt;=B7,I54*(1+E15)+B11*12,MAX(0,I54*(1+E16)-B18))</f>
        <v/>
      </c>
      <c r="J55" s="53">
        <f>IF(H55&lt;B7,NA(),B21)</f>
        <v/>
      </c>
    </row>
    <row r="56">
      <c r="G56" s="54" t="n">
        <v>21</v>
      </c>
      <c r="H56" s="54">
        <f>B6+G56</f>
        <v/>
      </c>
      <c r="I56" s="55">
        <f>IF(H56&lt;=B7,I55*(1+E15)+B11*12,MAX(0,I55*(1+E16)-B18))</f>
        <v/>
      </c>
      <c r="J56" s="55">
        <f>IF(H56&lt;B7,NA(),B21)</f>
        <v/>
      </c>
    </row>
    <row r="57">
      <c r="G57" s="52" t="n">
        <v>22</v>
      </c>
      <c r="H57" s="52">
        <f>B6+G57</f>
        <v/>
      </c>
      <c r="I57" s="53">
        <f>IF(H57&lt;=B7,I56*(1+E15)+B11*12,MAX(0,I56*(1+E16)-B18))</f>
        <v/>
      </c>
      <c r="J57" s="53">
        <f>IF(H57&lt;B7,NA(),B21)</f>
        <v/>
      </c>
    </row>
    <row r="58">
      <c r="G58" s="54" t="n">
        <v>23</v>
      </c>
      <c r="H58" s="54">
        <f>B6+G58</f>
        <v/>
      </c>
      <c r="I58" s="55">
        <f>IF(H58&lt;=B7,I57*(1+E15)+B11*12,MAX(0,I57*(1+E16)-B18))</f>
        <v/>
      </c>
      <c r="J58" s="55">
        <f>IF(H58&lt;B7,NA(),B21)</f>
        <v/>
      </c>
    </row>
    <row r="59">
      <c r="G59" s="52" t="n">
        <v>24</v>
      </c>
      <c r="H59" s="52">
        <f>B6+G59</f>
        <v/>
      </c>
      <c r="I59" s="53">
        <f>IF(H59&lt;=B7,I58*(1+E15)+B11*12,MAX(0,I58*(1+E16)-B18))</f>
        <v/>
      </c>
      <c r="J59" s="53">
        <f>IF(H59&lt;B7,NA(),B21)</f>
        <v/>
      </c>
    </row>
    <row r="60">
      <c r="G60" s="54" t="n">
        <v>25</v>
      </c>
      <c r="H60" s="54">
        <f>B6+G60</f>
        <v/>
      </c>
      <c r="I60" s="55">
        <f>IF(H60&lt;=B7,I59*(1+E15)+B11*12,MAX(0,I59*(1+E16)-B18))</f>
        <v/>
      </c>
      <c r="J60" s="55">
        <f>IF(H60&lt;B7,NA(),B21)</f>
        <v/>
      </c>
    </row>
    <row r="61">
      <c r="G61" s="52" t="n">
        <v>26</v>
      </c>
      <c r="H61" s="52">
        <f>B6+G61</f>
        <v/>
      </c>
      <c r="I61" s="53">
        <f>IF(H61&lt;=B7,I60*(1+E15)+B11*12,MAX(0,I60*(1+E16)-B18))</f>
        <v/>
      </c>
      <c r="J61" s="53">
        <f>IF(H61&lt;B7,NA(),B21)</f>
        <v/>
      </c>
    </row>
    <row r="62">
      <c r="G62" s="54" t="n">
        <v>27</v>
      </c>
      <c r="H62" s="54">
        <f>B6+G62</f>
        <v/>
      </c>
      <c r="I62" s="55">
        <f>IF(H62&lt;=B7,I61*(1+E15)+B11*12,MAX(0,I61*(1+E16)-B18))</f>
        <v/>
      </c>
      <c r="J62" s="55">
        <f>IF(H62&lt;B7,NA(),B21)</f>
        <v/>
      </c>
    </row>
    <row r="63">
      <c r="G63" s="52" t="n">
        <v>28</v>
      </c>
      <c r="H63" s="52">
        <f>B6+G63</f>
        <v/>
      </c>
      <c r="I63" s="53">
        <f>IF(H63&lt;=B7,I62*(1+E15)+B11*12,MAX(0,I62*(1+E16)-B18))</f>
        <v/>
      </c>
      <c r="J63" s="53">
        <f>IF(H63&lt;B7,NA(),B21)</f>
        <v/>
      </c>
    </row>
    <row r="64">
      <c r="G64" s="54" t="n">
        <v>29</v>
      </c>
      <c r="H64" s="54">
        <f>B6+G64</f>
        <v/>
      </c>
      <c r="I64" s="55">
        <f>IF(H64&lt;=B7,I63*(1+E15)+B11*12,MAX(0,I63*(1+E16)-B18))</f>
        <v/>
      </c>
      <c r="J64" s="55">
        <f>IF(H64&lt;B7,NA(),B21)</f>
        <v/>
      </c>
    </row>
    <row r="65">
      <c r="G65" s="52" t="n">
        <v>30</v>
      </c>
      <c r="H65" s="52">
        <f>B6+G65</f>
        <v/>
      </c>
      <c r="I65" s="53">
        <f>IF(H65&lt;=B7,I64*(1+E15)+B11*12,MAX(0,I64*(1+E16)-B18))</f>
        <v/>
      </c>
      <c r="J65" s="53">
        <f>IF(H65&lt;B7,NA(),B21)</f>
        <v/>
      </c>
    </row>
    <row r="66">
      <c r="G66" s="54" t="n">
        <v>31</v>
      </c>
      <c r="H66" s="54">
        <f>B6+G66</f>
        <v/>
      </c>
      <c r="I66" s="55">
        <f>IF(H66&lt;=B7,I65*(1+E15)+B11*12,MAX(0,I65*(1+E16)-B18))</f>
        <v/>
      </c>
      <c r="J66" s="55">
        <f>IF(H66&lt;B7,NA(),B21)</f>
        <v/>
      </c>
    </row>
    <row r="67">
      <c r="G67" s="52" t="n">
        <v>32</v>
      </c>
      <c r="H67" s="52">
        <f>B6+G67</f>
        <v/>
      </c>
      <c r="I67" s="53">
        <f>IF(H67&lt;=B7,I66*(1+E15)+B11*12,MAX(0,I66*(1+E16)-B18))</f>
        <v/>
      </c>
      <c r="J67" s="53">
        <f>IF(H67&lt;B7,NA(),B21)</f>
        <v/>
      </c>
    </row>
    <row r="68">
      <c r="G68" s="54" t="n">
        <v>33</v>
      </c>
      <c r="H68" s="54">
        <f>B6+G68</f>
        <v/>
      </c>
      <c r="I68" s="55">
        <f>IF(H68&lt;=B7,I67*(1+E15)+B11*12,MAX(0,I67*(1+E16)-B18))</f>
        <v/>
      </c>
      <c r="J68" s="55">
        <f>IF(H68&lt;B7,NA(),B21)</f>
        <v/>
      </c>
    </row>
    <row r="69">
      <c r="G69" s="52" t="n">
        <v>34</v>
      </c>
      <c r="H69" s="52">
        <f>B6+G69</f>
        <v/>
      </c>
      <c r="I69" s="53">
        <f>IF(H69&lt;=B7,I68*(1+E15)+B11*12,MAX(0,I68*(1+E16)-B18))</f>
        <v/>
      </c>
      <c r="J69" s="53">
        <f>IF(H69&lt;B7,NA(),B21)</f>
        <v/>
      </c>
    </row>
    <row r="70">
      <c r="G70" s="54" t="n">
        <v>35</v>
      </c>
      <c r="H70" s="54">
        <f>B6+G70</f>
        <v/>
      </c>
      <c r="I70" s="55">
        <f>IF(H70&lt;=B7,I69*(1+E15)+B11*12,MAX(0,I69*(1+E16)-B18))</f>
        <v/>
      </c>
      <c r="J70" s="55">
        <f>IF(H70&lt;B7,NA(),B21)</f>
        <v/>
      </c>
    </row>
    <row r="71">
      <c r="G71" s="52" t="n">
        <v>36</v>
      </c>
      <c r="H71" s="52">
        <f>B6+G71</f>
        <v/>
      </c>
      <c r="I71" s="53">
        <f>IF(H71&lt;=B7,I70*(1+E15)+B11*12,MAX(0,I70*(1+E16)-B18))</f>
        <v/>
      </c>
      <c r="J71" s="53">
        <f>IF(H71&lt;B7,NA(),B21)</f>
        <v/>
      </c>
    </row>
    <row r="72">
      <c r="G72" s="54" t="n">
        <v>37</v>
      </c>
      <c r="H72" s="54">
        <f>B6+G72</f>
        <v/>
      </c>
      <c r="I72" s="55">
        <f>IF(H72&lt;=B7,I71*(1+E15)+B11*12,MAX(0,I71*(1+E16)-B18))</f>
        <v/>
      </c>
      <c r="J72" s="55">
        <f>IF(H72&lt;B7,NA(),B21)</f>
        <v/>
      </c>
    </row>
    <row r="73">
      <c r="G73" s="52" t="n">
        <v>38</v>
      </c>
      <c r="H73" s="52">
        <f>B6+G73</f>
        <v/>
      </c>
      <c r="I73" s="53">
        <f>IF(H73&lt;=B7,I72*(1+E15)+B11*12,MAX(0,I72*(1+E16)-B18))</f>
        <v/>
      </c>
      <c r="J73" s="53">
        <f>IF(H73&lt;B7,NA(),B21)</f>
        <v/>
      </c>
    </row>
    <row r="74">
      <c r="G74" s="54" t="n">
        <v>39</v>
      </c>
      <c r="H74" s="54">
        <f>B6+G74</f>
        <v/>
      </c>
      <c r="I74" s="55">
        <f>IF(H74&lt;=B7,I73*(1+E15)+B11*12,MAX(0,I73*(1+E16)-B18))</f>
        <v/>
      </c>
      <c r="J74" s="55">
        <f>IF(H74&lt;B7,NA(),B21)</f>
        <v/>
      </c>
    </row>
  </sheetData>
  <mergeCells count="10">
    <mergeCell ref="D20:E20"/>
    <mergeCell ref="A1:J1"/>
    <mergeCell ref="B3:D3"/>
    <mergeCell ref="A20:B20"/>
    <mergeCell ref="D13:E13"/>
    <mergeCell ref="A25:E25"/>
    <mergeCell ref="D5:E5"/>
    <mergeCell ref="A5:B5"/>
    <mergeCell ref="A13:B13"/>
    <mergeCell ref="G33:J3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TABELA PERIÓDICA DOS INVESTIMENTOS — RETORNO ANUAL</t>
        </is>
      </c>
    </row>
    <row r="3" ht="22" customHeight="1">
      <c r="A3" s="2" t="inlineStr">
        <is>
          <t>Índice / Classe</t>
        </is>
      </c>
      <c r="B3" s="2" t="inlineStr">
        <is>
          <t>2017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2023</t>
        </is>
      </c>
      <c r="I3" s="2" t="inlineStr">
        <is>
          <t>2024</t>
        </is>
      </c>
      <c r="J3" s="2" t="inlineStr">
        <is>
          <t>Acumulado</t>
        </is>
      </c>
    </row>
    <row r="4">
      <c r="A4" s="56" t="inlineStr">
        <is>
          <t>S&amp;P 500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8">
        <f>IFERROR(PRODUCT(IF(ISNUMBER(B4:I4),1+B4:I4,1))-1,"")</f>
        <v/>
      </c>
    </row>
    <row r="5">
      <c r="A5" s="59" t="inlineStr">
        <is>
          <t>Euro Stoxx 50</t>
        </is>
      </c>
      <c r="B5" s="57" t="n"/>
      <c r="C5" s="57" t="n"/>
      <c r="D5" s="57" t="n"/>
      <c r="E5" s="57" t="n"/>
      <c r="F5" s="57" t="n"/>
      <c r="G5" s="57" t="n"/>
      <c r="H5" s="57" t="n"/>
      <c r="I5" s="57" t="n"/>
      <c r="J5" s="58">
        <f>IFERROR(PRODUCT(IF(ISNUMBER(B5:I5),1+B5:I5,1))-1,"")</f>
        <v/>
      </c>
    </row>
    <row r="6">
      <c r="A6" s="56" t="inlineStr">
        <is>
          <t>Ibovespa</t>
        </is>
      </c>
      <c r="B6" s="57" t="n"/>
      <c r="C6" s="57" t="n"/>
      <c r="D6" s="57" t="n"/>
      <c r="E6" s="57" t="n"/>
      <c r="F6" s="57" t="n"/>
      <c r="G6" s="57" t="n"/>
      <c r="H6" s="57" t="n"/>
      <c r="I6" s="57" t="n"/>
      <c r="J6" s="58">
        <f>IFERROR(PRODUCT(IF(ISNUMBER(B6:I6),1+B6:I6,1))-1,"")</f>
        <v/>
      </c>
    </row>
    <row r="7">
      <c r="A7" s="59" t="inlineStr">
        <is>
          <t>IFIX</t>
        </is>
      </c>
      <c r="B7" s="57" t="n"/>
      <c r="C7" s="57" t="n"/>
      <c r="D7" s="57" t="n"/>
      <c r="E7" s="57" t="n"/>
      <c r="F7" s="57" t="n"/>
      <c r="G7" s="57" t="n"/>
      <c r="H7" s="57" t="n"/>
      <c r="I7" s="57" t="n"/>
      <c r="J7" s="58">
        <f>IFERROR(PRODUCT(IF(ISNUMBER(B7:I7),1+B7:I7,1))-1,"")</f>
        <v/>
      </c>
    </row>
    <row r="8">
      <c r="A8" s="56" t="inlineStr">
        <is>
          <t>IMA-B</t>
        </is>
      </c>
      <c r="B8" s="57" t="n"/>
      <c r="C8" s="57" t="n"/>
      <c r="D8" s="57" t="n"/>
      <c r="E8" s="57" t="n"/>
      <c r="F8" s="57" t="n"/>
      <c r="G8" s="57" t="n"/>
      <c r="H8" s="57" t="n"/>
      <c r="I8" s="57" t="n"/>
      <c r="J8" s="58">
        <f>IFERROR(PRODUCT(IF(ISNUMBER(B8:I8),1+B8:I8,1))-1,"")</f>
        <v/>
      </c>
    </row>
    <row r="9">
      <c r="A9" s="59" t="inlineStr">
        <is>
          <t>IRF-M</t>
        </is>
      </c>
      <c r="B9" s="57" t="n"/>
      <c r="C9" s="57" t="n"/>
      <c r="D9" s="57" t="n"/>
      <c r="E9" s="57" t="n"/>
      <c r="F9" s="57" t="n"/>
      <c r="G9" s="57" t="n"/>
      <c r="H9" s="57" t="n"/>
      <c r="I9" s="57" t="n"/>
      <c r="J9" s="58">
        <f>IFERROR(PRODUCT(IF(ISNUMBER(B9:I9),1+B9:I9,1))-1,"")</f>
        <v/>
      </c>
    </row>
    <row r="10">
      <c r="A10" s="56" t="inlineStr">
        <is>
          <t>IHFA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8">
        <f>IFERROR(PRODUCT(IF(ISNUMBER(B10:I10),1+B10:I10,1))-1,"")</f>
        <v/>
      </c>
    </row>
    <row r="11">
      <c r="A11" s="59" t="inlineStr">
        <is>
          <t>CDI</t>
        </is>
      </c>
      <c r="B11" s="57" t="n"/>
      <c r="C11" s="57" t="n"/>
      <c r="D11" s="57" t="n"/>
      <c r="E11" s="57" t="n"/>
      <c r="F11" s="57" t="n"/>
      <c r="G11" s="57" t="n"/>
      <c r="H11" s="57" t="n"/>
      <c r="I11" s="57" t="n"/>
      <c r="J11" s="58">
        <f>IFERROR(PRODUCT(IF(ISNUMBER(B11:I11),1+B11:I11,1))-1,"")</f>
        <v/>
      </c>
    </row>
    <row r="12">
      <c r="A12" s="56" t="inlineStr">
        <is>
          <t>Dólar</t>
        </is>
      </c>
      <c r="B12" s="57" t="n"/>
      <c r="C12" s="57" t="n"/>
      <c r="D12" s="57" t="n"/>
      <c r="E12" s="57" t="n"/>
      <c r="F12" s="57" t="n"/>
      <c r="G12" s="57" t="n"/>
      <c r="H12" s="57" t="n"/>
      <c r="I12" s="57" t="n"/>
      <c r="J12" s="58">
        <f>IFERROR(PRODUCT(IF(ISNUMBER(B12:I12),1+B12:I12,1))-1,"")</f>
        <v/>
      </c>
    </row>
    <row r="13">
      <c r="A13" s="59" t="inlineStr">
        <is>
          <t>Inflação</t>
        </is>
      </c>
      <c r="B13" s="57" t="n"/>
      <c r="C13" s="57" t="n"/>
      <c r="D13" s="57" t="n"/>
      <c r="E13" s="57" t="n"/>
      <c r="F13" s="57" t="n"/>
      <c r="G13" s="57" t="n"/>
      <c r="H13" s="57" t="n"/>
      <c r="I13" s="57" t="n"/>
      <c r="J13" s="58">
        <f>IFERROR(PRODUCT(IF(ISNUMBER(B13:I13),1+B13:I13,1))-1,"")</f>
        <v/>
      </c>
    </row>
    <row r="16" ht="30" customHeight="1">
      <c r="A16" s="60" t="inlineStr">
        <is>
          <t>Preencha os retornos anuais (em %) de cada índice/classe. A coluna Acumulado é calculada automaticamente; a cor destaca os melhores (verde) e piores (vermelho) de cada ano.</t>
        </is>
      </c>
    </row>
  </sheetData>
  <mergeCells count="2">
    <mergeCell ref="A1:L1"/>
    <mergeCell ref="A16:J16"/>
  </mergeCells>
  <conditionalFormatting sqref="B4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:C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:D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8" customHeight="1">
      <c r="A1" s="61" t="inlineStr">
        <is>
          <t>COMO USAR ESTA PLANILHA</t>
        </is>
      </c>
    </row>
    <row r="2" ht="18" customHeight="1">
      <c r="A2" s="62" t="inlineStr"/>
    </row>
    <row r="3" ht="18" customHeight="1">
      <c r="A3" s="63" t="inlineStr">
        <is>
          <t>1. Aba 'Clientes': cadastre cada cliente uma única vez — Penumper, Nome e CPF. O Penumper é a chave que liga tudo; pode ter letras (ex.: 1297217A), por isso a coluna é formatada como texto.</t>
        </is>
      </c>
    </row>
    <row r="4" ht="18" customHeight="1">
      <c r="A4" s="62" t="inlineStr">
        <is>
          <t xml:space="preserve">     Penumper ou CPF repetidos ficam destacados em vermelho.</t>
        </is>
      </c>
    </row>
    <row r="5" ht="18" customHeight="1">
      <c r="A5" s="62" t="inlineStr"/>
    </row>
    <row r="6" ht="18" customHeight="1">
      <c r="A6" s="63" t="inlineStr">
        <is>
          <t>2. Aba 'Aplicacoes': cole aqui a posição vinda do sistema — Penumper, Mês, Produto, Subproduto, Vencimento, Saldo Ponta e Idade.</t>
        </is>
      </c>
    </row>
    <row r="7" ht="18" customHeight="1">
      <c r="A7" s="62" t="inlineStr">
        <is>
          <t xml:space="preserve">     As colunas Nome e CPF se preenchem sozinhas por PROCV usando o Penumper. Se aparecer 'NÃO CADASTRADO', falta cadastrar o cliente na aba 'Clientes'.</t>
        </is>
      </c>
    </row>
    <row r="8" ht="18" customHeight="1">
      <c r="A8" s="62" t="inlineStr">
        <is>
          <t xml:space="preserve">     Cada linha é um investimento (um produto/subproduto com saldo).</t>
        </is>
      </c>
    </row>
    <row r="9" ht="18" customHeight="1">
      <c r="A9" s="62" t="inlineStr"/>
    </row>
    <row r="10" ht="18" customHeight="1">
      <c r="A10" s="63" t="inlineStr">
        <is>
          <t>3. Aba 'Carteira do Cliente': escolha o cliente no menu suspenso. A planilha mostra o patrimônio total, a alocação por classe (com gráfico) e a lista das aplicações daquele cliente.</t>
        </is>
      </c>
    </row>
    <row r="11" ht="18" customHeight="1">
      <c r="A11" s="62" t="inlineStr">
        <is>
          <t xml:space="preserve">     A linha 'Não classificado' indica saldo cujo Produto não casou com nenhum filtro — ajuste os filtros da coluna B se isso acontecer.</t>
        </is>
      </c>
    </row>
    <row r="12" ht="18" customHeight="1">
      <c r="A12" s="62" t="inlineStr"/>
    </row>
    <row r="13" ht="18" customHeight="1">
      <c r="A13" s="63" t="inlineStr">
        <is>
          <t>4. Classes: na aba 'Carteira do Cliente' a coluna 'Filtro (contém)' define como cada classe é somada. Ex.: o filtro FUNDOS soma todo Produto que contenha 'FUNDOS'. Edite rótulos e filtros à vontade.</t>
        </is>
      </c>
    </row>
    <row r="14" ht="18" customHeight="1">
      <c r="A14" s="62" t="inlineStr"/>
    </row>
    <row r="15" ht="18" customHeight="1">
      <c r="A15" s="63" t="inlineStr">
        <is>
          <t>5. Aba 'Carteira Sugerida' (proposta): monte a carteira recomendada — Classe, Ativo sugerido, Carência (dias), Liquidez (dias) e Valor. O banner 'Patrimônio Proposto' soma sozinho e os dois gráficos (composição por classe e distribuição de liquidez) se atualizam.</t>
        </is>
      </c>
    </row>
    <row r="16" ht="18" customHeight="1">
      <c r="A16" s="62" t="inlineStr">
        <is>
          <t xml:space="preserve">     Logo abaixo há campos livres para você descrever as Otimizações Realizadas e o Racional por movimentação (objetivo, justificativa).</t>
        </is>
      </c>
    </row>
    <row r="17" ht="18" customHeight="1">
      <c r="A17" s="62" t="inlineStr">
        <is>
          <t xml:space="preserve">     O Comparativo no fim mostra, classe a classe, o % atual x o % sugerido e quanto Aumentar ou Reduzir.</t>
        </is>
      </c>
    </row>
    <row r="18" ht="18" customHeight="1">
      <c r="A18" s="62" t="inlineStr"/>
    </row>
    <row r="19" ht="18" customHeight="1">
      <c r="A19" s="63" t="inlineStr">
        <is>
          <t>6. Aba 'Planejamento': preencha os campos amarelos (idades, patrimônio, aplicação mensal, renda desejada, INSS, premissas de inflação/CDI/IR/taxa real). A planilha calcula sozinha: o patrimônio necessário na aposentadoria nos cenários 'Viver de Renda' (preservando) e 'Consumo com Sucessão', a parcela mensal a aplicar em cada cenário, os objetivos de vida (projetos 1-6 anos) e a Projeção Patrimonial em R$ de hoje (gráfico de área).</t>
        </is>
      </c>
    </row>
    <row r="20" ht="18" customHeight="1">
      <c r="A20" s="62" t="inlineStr"/>
    </row>
    <row r="21" ht="18" customHeight="1">
      <c r="A21" s="63" t="inlineStr">
        <is>
          <t>7. Aba 'Tabela Periódica': preencha os retornos anuais (%) de cada índice/classe nas colunas dos anos. A coluna 'Acumulado' calcula sozinha e a cor destaca, em cada ano, o melhor (verde) e o pior (vermelho) desempenho.</t>
        </is>
      </c>
    </row>
    <row r="22" ht="18" customHeight="1">
      <c r="A22" s="62" t="inlineStr"/>
    </row>
    <row r="23" ht="18" customHeight="1">
      <c r="A23" s="62" t="inlineStr">
        <is>
          <t>Observação: a planilha trabalha com a posição atual (foto). Para acrescentar uma nova posição, basta colar mais linhas na aba 'Aplicacoes' — as fórmulas se estendem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2026-05-20T13:14:16Z</dcterms:created>
  <dcterms:modified xsi:type="dcterms:W3CDTF">2026-05-20T13:14:19Z</dcterms:modified>
</cp:coreProperties>
</file>