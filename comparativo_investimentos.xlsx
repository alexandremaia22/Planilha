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Parâmetros" sheetId="1" state="visible" r:id="rId1"/>
    <sheet name="Comparativo Anual" sheetId="2" state="visible" r:id="rId2"/>
    <sheet name="Alíquotas e IR" sheetId="3" state="visible" r:id="rId3"/>
    <sheet name="Gráfico – Valor Líquido" sheetId="4" state="visible" r:id="rId4"/>
    <sheet name="Resumo Fi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  <font>
      <b val="1"/>
      <color rgb="001F4E79"/>
      <sz val="10"/>
    </font>
    <font>
      <b val="1"/>
      <color rgb="00FFFFFF"/>
      <sz val="11"/>
    </font>
    <font>
      <b val="1"/>
      <sz val="10"/>
    </font>
    <font>
      <b val="1"/>
      <i val="1"/>
      <color rgb="00555555"/>
      <sz val="10"/>
    </font>
    <font>
      <b val="1"/>
      <color rgb="00FFFFFF"/>
      <sz val="13"/>
    </font>
    <font>
      <i val="1"/>
      <color rgb="00555555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4472C4"/>
      </patternFill>
    </fill>
    <fill>
      <patternFill patternType="solid">
        <fgColor rgb="00E2750C"/>
      </patternFill>
    </fill>
    <fill>
      <patternFill patternType="solid">
        <fgColor rgb="00548235"/>
      </patternFill>
    </fill>
    <fill>
      <patternFill patternType="solid">
        <fgColor rgb="00D6E4F0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FD70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indent="1"/>
    </xf>
    <xf numFmtId="164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/>
    </xf>
    <xf numFmtId="165" fontId="2" fillId="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indent="1"/>
    </xf>
    <xf numFmtId="164" fontId="2" fillId="11" borderId="1" applyAlignment="1" pivotButton="0" quotePrefix="0" xfId="0">
      <alignment horizontal="right" vertical="center" indent="1"/>
    </xf>
    <xf numFmtId="164" fontId="5" fillId="11" borderId="1" applyAlignment="1" pivotButton="0" quotePrefix="0" xfId="0">
      <alignment horizontal="right" vertical="center" indent="1"/>
    </xf>
    <xf numFmtId="10" fontId="2" fillId="11" borderId="1" applyAlignment="1" pivotButton="0" quotePrefix="0" xfId="0">
      <alignment horizontal="right" vertical="center" indent="1"/>
    </xf>
    <xf numFmtId="0" fontId="2" fillId="11" borderId="1" applyAlignment="1" pivotButton="0" quotePrefix="0" xfId="0">
      <alignment horizontal="right" vertical="center" indent="1"/>
    </xf>
    <xf numFmtId="0" fontId="5" fillId="14" borderId="1" applyAlignment="1" pivotButton="0" quotePrefix="0" xfId="0">
      <alignment horizontal="left" vertical="center" indent="1"/>
    </xf>
    <xf numFmtId="164" fontId="5" fillId="14" borderId="1" applyAlignment="1" pivotButton="0" quotePrefix="0" xfId="0">
      <alignment horizontal="right" vertical="center" indent="1"/>
    </xf>
    <xf numFmtId="10" fontId="5" fillId="14" borderId="1" applyAlignment="1" pivotButton="0" quotePrefix="0" xfId="0">
      <alignment horizontal="right" vertical="center" indent="1"/>
    </xf>
    <xf numFmtId="0" fontId="5" fillId="14" borderId="1" applyAlignment="1" pivotButton="0" quotePrefix="0" xfId="0">
      <alignment horizontal="right" vertical="center" indent="1"/>
    </xf>
    <xf numFmtId="0" fontId="2" fillId="12" borderId="1" applyAlignment="1" pivotButton="0" quotePrefix="0" xfId="0">
      <alignment horizontal="left" vertical="center" indent="1"/>
    </xf>
    <xf numFmtId="164" fontId="2" fillId="12" borderId="1" applyAlignment="1" pivotButton="0" quotePrefix="0" xfId="0">
      <alignment horizontal="right" vertical="center" indent="1"/>
    </xf>
    <xf numFmtId="164" fontId="5" fillId="12" borderId="1" applyAlignment="1" pivotButton="0" quotePrefix="0" xfId="0">
      <alignment horizontal="right" vertical="center" indent="1"/>
    </xf>
    <xf numFmtId="10" fontId="2" fillId="12" borderId="1" applyAlignment="1" pivotButton="0" quotePrefix="0" xfId="0">
      <alignment horizontal="right" vertical="center" indent="1"/>
    </xf>
    <xf numFmtId="0" fontId="2" fillId="12" borderId="1" applyAlignment="1" pivotButton="0" quotePrefix="0" xfId="0">
      <alignment horizontal="right" vertical="center" indent="1"/>
    </xf>
    <xf numFmtId="0" fontId="2" fillId="13" borderId="1" applyAlignment="1" pivotButton="0" quotePrefix="0" xfId="0">
      <alignment horizontal="left" vertical="center" indent="1"/>
    </xf>
    <xf numFmtId="164" fontId="2" fillId="13" borderId="1" applyAlignment="1" pivotButton="0" quotePrefix="0" xfId="0">
      <alignment horizontal="right" vertical="center" indent="1"/>
    </xf>
    <xf numFmtId="164" fontId="5" fillId="13" borderId="1" applyAlignment="1" pivotButton="0" quotePrefix="0" xfId="0">
      <alignment horizontal="right" vertical="center" indent="1"/>
    </xf>
    <xf numFmtId="10" fontId="2" fillId="13" borderId="1" applyAlignment="1" pivotButton="0" quotePrefix="0" xfId="0">
      <alignment horizontal="right" vertical="center" indent="1"/>
    </xf>
    <xf numFmtId="0" fontId="2" fillId="13" borderId="1" applyAlignment="1" pivotButton="0" quotePrefix="0" xfId="0">
      <alignment horizontal="right" vertical="center" inden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do Valor Líquido por Produto</a:t>
            </a:r>
          </a:p>
        </rich>
      </tx>
    </title>
    <plotArea>
      <lineChart>
        <grouping val="standard"/>
        <ser>
          <idx val="0"/>
          <order val="0"/>
          <tx>
            <v>CDB DI (c/ reaplicação)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'Comparativo Anual'!$A$3:$A$12</f>
            </numRef>
          </cat>
          <val>
            <numRef>
              <f>'Comparativo Anual'!$C$3:$C$12</f>
            </numRef>
          </val>
        </ser>
        <ser>
          <idx val="1"/>
          <order val="1"/>
          <tx>
            <v>CDB DI (sem vencimento)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'Comparativo Anual'!$A$3:$A$12</f>
            </numRef>
          </cat>
          <val>
            <numRef>
              <f>'Comparativo Anual'!$D$3:$D$12</f>
            </numRef>
          </val>
        </ser>
        <ser>
          <idx val="2"/>
          <order val="2"/>
          <tx>
            <v>Fundo DI LP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'Comparativo Anual'!$A$3:$A$12</f>
            </numRef>
          </cat>
          <val>
            <numRef>
              <f>'Comparativo Anual'!$F$3:$F$12</f>
            </numRef>
          </val>
        </ser>
        <ser>
          <idx val="3"/>
          <order val="3"/>
          <tx>
            <v>Fundo DI CP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'Comparativo Anual'!$A$3:$A$12</f>
            </numRef>
          </cat>
          <val>
            <numRef>
              <f>'Comparativo Anual'!$G$3:$G$12</f>
            </numRef>
          </val>
        </ser>
        <ser>
          <idx val="4"/>
          <order val="4"/>
          <tx>
            <v>Prev. VGBL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'Comparativo Anual'!$A$3:$A$12</f>
            </numRef>
          </cat>
          <val>
            <numRef>
              <f>'Comparativo Anual'!$I$3:$I$12</f>
            </numRef>
          </val>
        </ser>
        <ser>
          <idx val="5"/>
          <order val="5"/>
          <tx>
            <v>Prev. PGBL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'Comparativo Anual'!$A$3:$A$12</f>
            </numRef>
          </cat>
          <val>
            <numRef>
              <f>'Comparativo Anual'!$J$3:$J$12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08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22" customHeight="1">
      <c r="A1" s="1" t="inlineStr">
        <is>
          <t>⚙  PARÂMETROS DA SIMULAÇÃO</t>
        </is>
      </c>
      <c r="B1" s="2" t="n"/>
    </row>
    <row r="2" ht="22" customHeight="1">
      <c r="A2" s="3" t="inlineStr">
        <is>
          <t>Geral</t>
        </is>
      </c>
      <c r="B2" s="2" t="n"/>
    </row>
    <row r="3" ht="20" customHeight="1">
      <c r="A3" s="4" t="inlineStr">
        <is>
          <t>Aporte Inicial</t>
        </is>
      </c>
      <c r="B3" s="5" t="n">
        <v>100000</v>
      </c>
    </row>
    <row r="4" ht="20" customHeight="1">
      <c r="A4" s="4" t="inlineStr">
        <is>
          <t>CDI Anual</t>
        </is>
      </c>
      <c r="B4" s="6" t="n">
        <v>0.1075</v>
      </c>
    </row>
    <row r="5" ht="20" customHeight="1">
      <c r="A5" s="4" t="inlineStr">
        <is>
          <t>Prazo da Simulação (anos)</t>
        </is>
      </c>
      <c r="B5" s="7" t="n">
        <v>10</v>
      </c>
    </row>
    <row r="7" ht="22" customHeight="1">
      <c r="A7" s="3" t="inlineStr">
        <is>
          <t>CDB DI</t>
        </is>
      </c>
      <c r="B7" s="2" t="n"/>
    </row>
    <row r="8" ht="20" customHeight="1">
      <c r="A8" s="4" t="inlineStr">
        <is>
          <t>% do CDI</t>
        </is>
      </c>
      <c r="B8" s="6" t="n">
        <v>1</v>
      </c>
    </row>
    <row r="9" ht="20" customHeight="1">
      <c r="A9" s="4" t="inlineStr">
        <is>
          <t>Vencimento / Reaplicação (anos)</t>
        </is>
      </c>
      <c r="B9" s="7" t="n">
        <v>2</v>
      </c>
    </row>
    <row r="11" ht="22" customHeight="1">
      <c r="A11" s="3" t="inlineStr">
        <is>
          <t>Fundo DI</t>
        </is>
      </c>
      <c r="B11" s="2" t="n"/>
    </row>
    <row r="12" ht="20" customHeight="1">
      <c r="A12" s="4" t="inlineStr">
        <is>
          <t>Taxa de Administração</t>
        </is>
      </c>
      <c r="B12" s="6" t="n">
        <v>0.005</v>
      </c>
    </row>
    <row r="13" ht="20" customHeight="1">
      <c r="A13" s="4" t="inlineStr">
        <is>
          <t>Tipo (Longo Prazo)</t>
        </is>
      </c>
      <c r="B13" s="7" t="inlineStr">
        <is>
          <t>Sim – come-cotas 15%</t>
        </is>
      </c>
    </row>
    <row r="14" ht="20" customHeight="1">
      <c r="A14" s="4" t="inlineStr">
        <is>
          <t>Come-cotas (curto prazo)</t>
        </is>
      </c>
      <c r="B14" s="7" t="inlineStr">
        <is>
          <t>20% – maio e novembro</t>
        </is>
      </c>
    </row>
    <row r="16" ht="22" customHeight="1">
      <c r="A16" s="3" t="inlineStr">
        <is>
          <t>Previdência Privada (VGBL/PGBL)</t>
        </is>
      </c>
      <c r="B16" s="2" t="n"/>
    </row>
    <row r="17" ht="20" customHeight="1">
      <c r="A17" s="4" t="inlineStr">
        <is>
          <t>Taxa de Administração</t>
        </is>
      </c>
      <c r="B17" s="6" t="n">
        <v>0.01</v>
      </c>
    </row>
    <row r="18" ht="20" customHeight="1">
      <c r="A18" s="4" t="inlineStr">
        <is>
          <t>VGBL – Base de IR</t>
        </is>
      </c>
      <c r="B18" s="7" t="inlineStr">
        <is>
          <t>Somente rendimentos</t>
        </is>
      </c>
    </row>
    <row r="19" ht="20" customHeight="1">
      <c r="A19" s="4" t="inlineStr">
        <is>
          <t>PGBL – Base de IR</t>
        </is>
      </c>
      <c r="B19" s="7" t="inlineStr">
        <is>
          <t>Valor total resgatado</t>
        </is>
      </c>
    </row>
    <row r="20" ht="20" customHeight="1">
      <c r="A20" s="4" t="inlineStr">
        <is>
          <t>Come-cotas</t>
        </is>
      </c>
      <c r="B20" s="7" t="inlineStr">
        <is>
          <t>NÃO</t>
        </is>
      </c>
    </row>
    <row r="22" ht="22" customHeight="1">
      <c r="A22" s="8" t="inlineStr">
        <is>
          <t>TABELA REGRESSIVA – IR PADRÃO (CDB / Fundo)</t>
        </is>
      </c>
      <c r="B22" s="2" t="n"/>
    </row>
    <row r="23" ht="20" customHeight="1">
      <c r="A23" s="4" t="inlineStr">
        <is>
          <t>Até 180 dias</t>
        </is>
      </c>
      <c r="B23" s="7" t="inlineStr">
        <is>
          <t>22,5%</t>
        </is>
      </c>
    </row>
    <row r="24" ht="20" customHeight="1">
      <c r="A24" s="4" t="inlineStr">
        <is>
          <t>181 a 360 dias</t>
        </is>
      </c>
      <c r="B24" s="7" t="inlineStr">
        <is>
          <t>20,0%</t>
        </is>
      </c>
    </row>
    <row r="25" ht="20" customHeight="1">
      <c r="A25" s="4" t="inlineStr">
        <is>
          <t>361 a 720 dias</t>
        </is>
      </c>
      <c r="B25" s="7" t="inlineStr">
        <is>
          <t>17,5%</t>
        </is>
      </c>
    </row>
    <row r="26" ht="20" customHeight="1">
      <c r="A26" s="4" t="inlineStr">
        <is>
          <t>Acima de 720 dias</t>
        </is>
      </c>
      <c r="B26" s="7" t="inlineStr">
        <is>
          <t>15,0%</t>
        </is>
      </c>
    </row>
    <row r="28" ht="22" customHeight="1">
      <c r="A28" s="9" t="inlineStr">
        <is>
          <t>TABELA REGRESSIVA – PREVIDÊNCIA</t>
        </is>
      </c>
      <c r="B28" s="2" t="n"/>
    </row>
    <row r="29" ht="20" customHeight="1">
      <c r="A29" s="4" t="inlineStr">
        <is>
          <t>Até 2 anos</t>
        </is>
      </c>
      <c r="B29" s="7" t="inlineStr">
        <is>
          <t>35,0%</t>
        </is>
      </c>
    </row>
    <row r="30" ht="20" customHeight="1">
      <c r="A30" s="4" t="inlineStr">
        <is>
          <t>2 a 4 anos</t>
        </is>
      </c>
      <c r="B30" s="7" t="inlineStr">
        <is>
          <t>30,0%</t>
        </is>
      </c>
    </row>
    <row r="31" ht="20" customHeight="1">
      <c r="A31" s="4" t="inlineStr">
        <is>
          <t>4 a 6 anos</t>
        </is>
      </c>
      <c r="B31" s="7" t="inlineStr">
        <is>
          <t>25,0%</t>
        </is>
      </c>
    </row>
    <row r="32" ht="20" customHeight="1">
      <c r="A32" s="4" t="inlineStr">
        <is>
          <t>6 a 8 anos</t>
        </is>
      </c>
      <c r="B32" s="7" t="inlineStr">
        <is>
          <t>20,0%</t>
        </is>
      </c>
    </row>
    <row r="33" ht="20" customHeight="1">
      <c r="A33" s="4" t="inlineStr">
        <is>
          <t>8 a 10 anos</t>
        </is>
      </c>
      <c r="B33" s="7" t="inlineStr">
        <is>
          <t>15,0%</t>
        </is>
      </c>
    </row>
    <row r="34" ht="20" customHeight="1">
      <c r="A34" s="4" t="inlineStr">
        <is>
          <t>Acima de 10 anos</t>
        </is>
      </c>
      <c r="B34" s="7" t="inlineStr">
        <is>
          <t>10,0%</t>
        </is>
      </c>
    </row>
  </sheetData>
  <mergeCells count="7">
    <mergeCell ref="A16:B16"/>
    <mergeCell ref="A2:B2"/>
    <mergeCell ref="A7:B7"/>
    <mergeCell ref="A11:B11"/>
    <mergeCell ref="A28:B28"/>
    <mergeCell ref="A1:B1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16" customWidth="1" min="8" max="8"/>
    <col width="16" customWidth="1" min="9" max="9"/>
    <col width="16" customWidth="1" min="10" max="10"/>
  </cols>
  <sheetData>
    <row r="1" ht="52" customHeight="1">
      <c r="A1" s="10" t="inlineStr">
        <is>
          <t>Ano</t>
        </is>
      </c>
      <c r="B1" s="11" t="inlineStr">
        <is>
          <t>CDB DI
Bruto</t>
        </is>
      </c>
      <c r="C1" s="11" t="inlineStr">
        <is>
          <t>CDB DI
Líquido
(c/ reaplicação)</t>
        </is>
      </c>
      <c r="D1" s="12" t="inlineStr">
        <is>
          <t>CDB DI
Líquido
(sem vencimento)</t>
        </is>
      </c>
      <c r="E1" s="13" t="inlineStr">
        <is>
          <t>Fundo DI LP
Bruto</t>
        </is>
      </c>
      <c r="F1" s="14" t="inlineStr">
        <is>
          <t>Fundo DI LP
Líquido
(após come-cotas)</t>
        </is>
      </c>
      <c r="G1" s="14" t="inlineStr">
        <is>
          <t>Fundo DI CP
Líquido
(come-cotas 20%)</t>
        </is>
      </c>
      <c r="H1" s="15" t="inlineStr">
        <is>
          <t>Prev. VGBL
Bruto</t>
        </is>
      </c>
      <c r="I1" s="16" t="inlineStr">
        <is>
          <t>Prev. VGBL
Líquido</t>
        </is>
      </c>
      <c r="J1" s="16" t="inlineStr">
        <is>
          <t>Prev. PGBL
Líquido</t>
        </is>
      </c>
    </row>
    <row r="2" ht="18" customHeight="1">
      <c r="A2" s="17" t="inlineStr">
        <is>
          <t>Aporte</t>
        </is>
      </c>
      <c r="B2" s="18" t="n">
        <v>100000</v>
      </c>
      <c r="C2" s="18" t="n">
        <v>100000</v>
      </c>
      <c r="D2" s="18" t="n">
        <v>100000</v>
      </c>
      <c r="E2" s="18" t="n">
        <v>100000</v>
      </c>
      <c r="F2" s="18" t="n">
        <v>100000</v>
      </c>
      <c r="G2" s="18" t="n">
        <v>100000</v>
      </c>
      <c r="H2" s="18" t="n">
        <v>100000</v>
      </c>
      <c r="I2" s="18" t="n">
        <v>100000</v>
      </c>
      <c r="J2" s="18" t="n">
        <v>100000</v>
      </c>
    </row>
    <row r="3" ht="18" customHeight="1">
      <c r="A3" s="19" t="n">
        <v>1</v>
      </c>
      <c r="B3" s="20" t="n">
        <v>110750</v>
      </c>
      <c r="C3" s="20" t="n">
        <v>108600</v>
      </c>
      <c r="D3" s="20" t="n">
        <v>108600</v>
      </c>
      <c r="E3" s="20" t="n">
        <v>110212.5</v>
      </c>
      <c r="F3" s="20" t="n">
        <v>108170</v>
      </c>
      <c r="G3" s="20" t="n">
        <v>108160</v>
      </c>
      <c r="H3" s="20" t="n">
        <v>109750</v>
      </c>
      <c r="I3" s="20" t="n">
        <v>106337.5</v>
      </c>
      <c r="J3" s="20" t="n">
        <v>71337.5</v>
      </c>
    </row>
    <row r="4" ht="18" customHeight="1">
      <c r="A4" s="21" t="n">
        <v>2</v>
      </c>
      <c r="B4" s="22" t="n">
        <v>122655.625</v>
      </c>
      <c r="C4" s="22" t="n">
        <v>118690.890625</v>
      </c>
      <c r="D4" s="22" t="n">
        <v>118690.890625</v>
      </c>
      <c r="E4" s="22" t="n">
        <v>121311.508828125</v>
      </c>
      <c r="F4" s="22" t="n">
        <v>117581.9947832031</v>
      </c>
      <c r="G4" s="22" t="n">
        <v>116985.856</v>
      </c>
      <c r="H4" s="22" t="n">
        <v>120450.625</v>
      </c>
      <c r="I4" s="22" t="n">
        <v>113292.90625</v>
      </c>
      <c r="J4" s="22" t="n">
        <v>78292.90625</v>
      </c>
    </row>
    <row r="5" ht="18" customHeight="1">
      <c r="A5" s="19" t="n">
        <v>3</v>
      </c>
      <c r="B5" s="20" t="n">
        <v>135414.8957421875</v>
      </c>
      <c r="C5" s="20" t="n">
        <v>128898.30721875</v>
      </c>
      <c r="D5" s="20" t="n">
        <v>130464.938984375</v>
      </c>
      <c r="E5" s="20" t="n">
        <v>133373.9809913364</v>
      </c>
      <c r="F5" s="20" t="n">
        <v>128367.883842636</v>
      </c>
      <c r="G5" s="20" t="n">
        <v>126531.9018496</v>
      </c>
      <c r="H5" s="20" t="n">
        <v>132194.5609375</v>
      </c>
      <c r="I5" s="20" t="n">
        <v>122536.19265625</v>
      </c>
      <c r="J5" s="20" t="n">
        <v>92536.19265624999</v>
      </c>
    </row>
    <row r="6" ht="18" customHeight="1">
      <c r="A6" s="21" t="n">
        <v>4</v>
      </c>
      <c r="B6" s="22" t="n">
        <v>149545.7880891601</v>
      </c>
      <c r="C6" s="22" t="n">
        <v>140875.2751735571</v>
      </c>
      <c r="D6" s="22" t="n">
        <v>142877.4199251953</v>
      </c>
      <c r="E6" s="22" t="n">
        <v>146483.5511287657</v>
      </c>
      <c r="F6" s="22" t="n">
        <v>139511.0184594508</v>
      </c>
      <c r="G6" s="22" t="n">
        <v>136856.9050405274</v>
      </c>
      <c r="H6" s="22" t="n">
        <v>145083.5306289062</v>
      </c>
      <c r="I6" s="22" t="n">
        <v>131558.4714402343</v>
      </c>
      <c r="J6" s="22" t="n">
        <v>101558.4714402343</v>
      </c>
    </row>
    <row r="7" ht="18" customHeight="1">
      <c r="A7" s="19" t="n">
        <v>5</v>
      </c>
      <c r="B7" s="20" t="n">
        <v>164689.8801703175</v>
      </c>
      <c r="C7" s="20" t="n">
        <v>152990.548838483</v>
      </c>
      <c r="D7" s="20" t="n">
        <v>156624.2425671538</v>
      </c>
      <c r="E7" s="20" t="n">
        <v>160731.1138889371</v>
      </c>
      <c r="F7" s="20" t="n">
        <v>151621.4468055965</v>
      </c>
      <c r="G7" s="20" t="n">
        <v>148024.4284918344</v>
      </c>
      <c r="H7" s="20" t="n">
        <v>159229.1748652245</v>
      </c>
      <c r="I7" s="20" t="n">
        <v>144421.8811489184</v>
      </c>
      <c r="J7" s="20" t="n">
        <v>119421.8811489184</v>
      </c>
    </row>
    <row r="8" ht="18" customHeight="1">
      <c r="A8" s="21" t="n">
        <v>6</v>
      </c>
      <c r="B8" s="22" t="n">
        <v>181461.9621501993</v>
      </c>
      <c r="C8" s="22" t="n">
        <v>167206.1187739144</v>
      </c>
      <c r="D8" s="22" t="n">
        <v>171848.8486431228</v>
      </c>
      <c r="E8" s="22" t="n">
        <v>176215.4541439587</v>
      </c>
      <c r="F8" s="22" t="n">
        <v>164783.1360223649</v>
      </c>
      <c r="G8" s="22" t="n">
        <v>160103.2218567681</v>
      </c>
      <c r="H8" s="22" t="n">
        <v>174754.0194145839</v>
      </c>
      <c r="I8" s="22" t="n">
        <v>156065.5145609379</v>
      </c>
      <c r="J8" s="22" t="n">
        <v>131065.5145609379</v>
      </c>
    </row>
    <row r="9" ht="18" customHeight="1">
      <c r="A9" s="19" t="n">
        <v>7</v>
      </c>
      <c r="B9" s="20" t="n">
        <v>199436.6199183951</v>
      </c>
      <c r="C9" s="20" t="n">
        <v>181585.844988471</v>
      </c>
      <c r="D9" s="20" t="n">
        <v>188710.0998722585</v>
      </c>
      <c r="E9" s="20" t="n">
        <v>193043.9319102427</v>
      </c>
      <c r="F9" s="20" t="n">
        <v>179087.3421237063</v>
      </c>
      <c r="G9" s="20" t="n">
        <v>173167.6447602804</v>
      </c>
      <c r="H9" s="20" t="n">
        <v>191792.5363075059</v>
      </c>
      <c r="I9" s="20" t="n">
        <v>173434.0290460047</v>
      </c>
      <c r="J9" s="20" t="n">
        <v>153434.0290460047</v>
      </c>
    </row>
    <row r="10" ht="18" customHeight="1">
      <c r="A10" s="21" t="n">
        <v>8</v>
      </c>
      <c r="B10" s="22" t="n">
        <v>219343.5533966719</v>
      </c>
      <c r="C10" s="22" t="n">
        <v>198458.4315522543</v>
      </c>
      <c r="D10" s="22" t="n">
        <v>207383.9356085263</v>
      </c>
      <c r="E10" s="22" t="n">
        <v>211333.2267246262</v>
      </c>
      <c r="F10" s="22" t="n">
        <v>194633.2427159323</v>
      </c>
      <c r="G10" s="22" t="n">
        <v>187298.1245727193</v>
      </c>
      <c r="H10" s="22" t="n">
        <v>210492.3085974876</v>
      </c>
      <c r="I10" s="22" t="n">
        <v>188393.8468779901</v>
      </c>
      <c r="J10" s="22" t="n">
        <v>168393.8468779901</v>
      </c>
    </row>
    <row r="11" ht="18" customHeight="1">
      <c r="A11" s="19" t="n">
        <v>9</v>
      </c>
      <c r="B11" s="20" t="n">
        <v>240677.8347885392</v>
      </c>
      <c r="C11" s="20" t="n">
        <v>215525.8566657482</v>
      </c>
      <c r="D11" s="20" t="n">
        <v>228065.2086864428</v>
      </c>
      <c r="E11" s="20" t="n">
        <v>231210.1466369908</v>
      </c>
      <c r="F11" s="20" t="n">
        <v>211528.6246414421</v>
      </c>
      <c r="G11" s="20" t="n">
        <v>202581.6515378533</v>
      </c>
      <c r="H11" s="20" t="n">
        <v>231015.3086857427</v>
      </c>
      <c r="I11" s="20" t="n">
        <v>211363.0123828813</v>
      </c>
      <c r="J11" s="20" t="n">
        <v>196363.0123828813</v>
      </c>
    </row>
    <row r="12" ht="18" customHeight="1">
      <c r="A12" s="21" t="n">
        <v>10</v>
      </c>
      <c r="B12" s="22" t="n">
        <v>264305.5514300322</v>
      </c>
      <c r="C12" s="22" t="n">
        <v>235552.0799297766</v>
      </c>
      <c r="D12" s="22" t="n">
        <v>250969.7186202354</v>
      </c>
      <c r="E12" s="22" t="n">
        <v>252812.5074284981</v>
      </c>
      <c r="F12" s="22" t="n">
        <v>229890.6313142233</v>
      </c>
      <c r="G12" s="22" t="n">
        <v>219112.3143033421</v>
      </c>
      <c r="H12" s="22" t="n">
        <v>253539.3012826026</v>
      </c>
      <c r="I12" s="22" t="n">
        <v>230508.4060902122</v>
      </c>
      <c r="J12" s="22" t="n">
        <v>215508.4060902122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14" customWidth="1" min="4" max="4"/>
    <col width="18" customWidth="1" min="5" max="5"/>
    <col width="14" customWidth="1" min="6" max="6"/>
    <col width="16" customWidth="1" min="7" max="7"/>
    <col width="14" customWidth="1" min="8" max="8"/>
    <col width="16" customWidth="1" min="9" max="9"/>
  </cols>
  <sheetData>
    <row r="1" ht="52" customHeight="1">
      <c r="A1" s="10" t="inlineStr">
        <is>
          <t>Ano</t>
        </is>
      </c>
      <c r="B1" s="11" t="inlineStr">
        <is>
          <t>CDB
Alíquota</t>
        </is>
      </c>
      <c r="C1" s="11" t="inlineStr">
        <is>
          <t>CDB c/ Reapl.
IR pago total</t>
        </is>
      </c>
      <c r="D1" s="13" t="inlineStr">
        <is>
          <t>Fundo LP
Alíquota</t>
        </is>
      </c>
      <c r="E1" s="13" t="inlineStr">
        <is>
          <t>Fundo LP
Come-cotas
acumulado</t>
        </is>
      </c>
      <c r="F1" s="15" t="inlineStr">
        <is>
          <t>Prev. VGBL
Alíquota</t>
        </is>
      </c>
      <c r="G1" s="15" t="inlineStr">
        <is>
          <t>Prev. VGBL
IR no resgate</t>
        </is>
      </c>
      <c r="H1" s="15" t="inlineStr">
        <is>
          <t>Prev. PGBL
Alíquota</t>
        </is>
      </c>
      <c r="I1" s="15" t="inlineStr">
        <is>
          <t>Prev. PGBL
IR no resgate</t>
        </is>
      </c>
    </row>
    <row r="2" ht="18" customHeight="1">
      <c r="A2" s="23" t="n">
        <v>1</v>
      </c>
      <c r="B2" s="24" t="n">
        <v>0.2</v>
      </c>
      <c r="C2" s="20" t="n">
        <v>2150</v>
      </c>
      <c r="D2" s="24" t="n">
        <v>0.2</v>
      </c>
      <c r="E2" s="20" t="n">
        <v>1531.875</v>
      </c>
      <c r="F2" s="24" t="n">
        <v>0.35</v>
      </c>
      <c r="G2" s="20" t="n">
        <v>3412.5</v>
      </c>
      <c r="H2" s="24" t="n">
        <v>0.35</v>
      </c>
      <c r="I2" s="20" t="n">
        <v>38412.49999999999</v>
      </c>
    </row>
    <row r="3" ht="18" customHeight="1">
      <c r="A3" s="25" t="n">
        <v>2</v>
      </c>
      <c r="B3" s="26" t="n">
        <v>0.175</v>
      </c>
      <c r="C3" s="22" t="n">
        <v>3964.734375</v>
      </c>
      <c r="D3" s="26" t="n">
        <v>0.175</v>
      </c>
      <c r="E3" s="22" t="n">
        <v>3196.726324218751</v>
      </c>
      <c r="F3" s="26" t="n">
        <v>0.35</v>
      </c>
      <c r="G3" s="22" t="n">
        <v>7157.71875</v>
      </c>
      <c r="H3" s="26" t="n">
        <v>0.35</v>
      </c>
      <c r="I3" s="22" t="n">
        <v>42157.71874999999</v>
      </c>
    </row>
    <row r="4" ht="18" customHeight="1">
      <c r="A4" s="23" t="n">
        <v>3</v>
      </c>
      <c r="B4" s="24" t="n">
        <v>0.175</v>
      </c>
      <c r="C4" s="20" t="n">
        <v>6516.588523437502</v>
      </c>
      <c r="D4" s="24" t="n">
        <v>0.15</v>
      </c>
      <c r="E4" s="20" t="n">
        <v>5006.097148700466</v>
      </c>
      <c r="F4" s="24" t="n">
        <v>0.3</v>
      </c>
      <c r="G4" s="20" t="n">
        <v>9658.36828124999</v>
      </c>
      <c r="H4" s="24" t="n">
        <v>0.3</v>
      </c>
      <c r="I4" s="20" t="n">
        <v>39658.36828124999</v>
      </c>
    </row>
    <row r="5" ht="18" customHeight="1">
      <c r="A5" s="25" t="n">
        <v>4</v>
      </c>
      <c r="B5" s="26" t="n">
        <v>0.175</v>
      </c>
      <c r="C5" s="22" t="n">
        <v>8670.512915603031</v>
      </c>
      <c r="D5" s="26" t="n">
        <v>0.15</v>
      </c>
      <c r="E5" s="22" t="n">
        <v>6972.532669314848</v>
      </c>
      <c r="F5" s="26" t="n">
        <v>0.3</v>
      </c>
      <c r="G5" s="22" t="n">
        <v>13525.05918867185</v>
      </c>
      <c r="H5" s="26" t="n">
        <v>0.3</v>
      </c>
      <c r="I5" s="22" t="n">
        <v>43525.05918867185</v>
      </c>
    </row>
    <row r="6" ht="18" customHeight="1">
      <c r="A6" s="23" t="n">
        <v>5</v>
      </c>
      <c r="B6" s="24" t="n">
        <v>0.175</v>
      </c>
      <c r="C6" s="20" t="n">
        <v>11699.33133183452</v>
      </c>
      <c r="D6" s="24" t="n">
        <v>0.15</v>
      </c>
      <c r="E6" s="20" t="n">
        <v>9109.667083340566</v>
      </c>
      <c r="F6" s="24" t="n">
        <v>0.25</v>
      </c>
      <c r="G6" s="20" t="n">
        <v>14807.29371630613</v>
      </c>
      <c r="H6" s="24" t="n">
        <v>0.25</v>
      </c>
      <c r="I6" s="20" t="n">
        <v>39807.29371630613</v>
      </c>
    </row>
    <row r="7" ht="18" customHeight="1">
      <c r="A7" s="25" t="n">
        <v>6</v>
      </c>
      <c r="B7" s="26" t="n">
        <v>0.175</v>
      </c>
      <c r="C7" s="22" t="n">
        <v>14255.84337628487</v>
      </c>
      <c r="D7" s="26" t="n">
        <v>0.15</v>
      </c>
      <c r="E7" s="22" t="n">
        <v>11432.3181215938</v>
      </c>
      <c r="F7" s="26" t="n">
        <v>0.25</v>
      </c>
      <c r="G7" s="22" t="n">
        <v>18688.50485364598</v>
      </c>
      <c r="H7" s="26" t="n">
        <v>0.25</v>
      </c>
      <c r="I7" s="22" t="n">
        <v>43688.50485364598</v>
      </c>
    </row>
    <row r="8" ht="18" customHeight="1">
      <c r="A8" s="23" t="n">
        <v>7</v>
      </c>
      <c r="B8" s="24" t="n">
        <v>0.175</v>
      </c>
      <c r="C8" s="20" t="n">
        <v>17850.77492992402</v>
      </c>
      <c r="D8" s="24" t="n">
        <v>0.15</v>
      </c>
      <c r="E8" s="20" t="n">
        <v>13956.58978653641</v>
      </c>
      <c r="F8" s="24" t="n">
        <v>0.2</v>
      </c>
      <c r="G8" s="20" t="n">
        <v>18358.50726150116</v>
      </c>
      <c r="H8" s="24" t="n">
        <v>0.2</v>
      </c>
      <c r="I8" s="20" t="n">
        <v>38358.50726150116</v>
      </c>
    </row>
    <row r="9" ht="18" customHeight="1">
      <c r="A9" s="25" t="n">
        <v>8</v>
      </c>
      <c r="B9" s="26" t="n">
        <v>0.175</v>
      </c>
      <c r="C9" s="22" t="n">
        <v>20885.12184441759</v>
      </c>
      <c r="D9" s="26" t="n">
        <v>0.15</v>
      </c>
      <c r="E9" s="22" t="n">
        <v>16699.98400869393</v>
      </c>
      <c r="F9" s="26" t="n">
        <v>0.2</v>
      </c>
      <c r="G9" s="22" t="n">
        <v>22098.46171949751</v>
      </c>
      <c r="H9" s="26" t="n">
        <v>0.2</v>
      </c>
      <c r="I9" s="22" t="n">
        <v>42098.46171949751</v>
      </c>
    </row>
    <row r="10" ht="18" customHeight="1">
      <c r="A10" s="23" t="n">
        <v>9</v>
      </c>
      <c r="B10" s="24" t="n">
        <v>0.175</v>
      </c>
      <c r="C10" s="20" t="n">
        <v>25151.97812279104</v>
      </c>
      <c r="D10" s="24" t="n">
        <v>0.15</v>
      </c>
      <c r="E10" s="20" t="n">
        <v>19681.52199554862</v>
      </c>
      <c r="F10" s="24" t="n">
        <v>0.15</v>
      </c>
      <c r="G10" s="20" t="n">
        <v>19652.29630286139</v>
      </c>
      <c r="H10" s="24" t="n">
        <v>0.15</v>
      </c>
      <c r="I10" s="20" t="n">
        <v>34652.29630286139</v>
      </c>
    </row>
    <row r="11" ht="18" customHeight="1">
      <c r="A11" s="25" t="n">
        <v>10</v>
      </c>
      <c r="B11" s="26" t="n">
        <v>0.175</v>
      </c>
      <c r="C11" s="22" t="n">
        <v>28753.47150025563</v>
      </c>
      <c r="D11" s="26" t="n">
        <v>0.15</v>
      </c>
      <c r="E11" s="22" t="n">
        <v>22921.87611427472</v>
      </c>
      <c r="F11" s="26" t="n">
        <v>0.15</v>
      </c>
      <c r="G11" s="22" t="n">
        <v>23030.8951923904</v>
      </c>
      <c r="H11" s="26" t="n">
        <v>0.15</v>
      </c>
      <c r="I11" s="22" t="n">
        <v>38030.8951923904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18" customWidth="1" min="5" max="5"/>
    <col width="40" customWidth="1" min="6" max="6"/>
  </cols>
  <sheetData>
    <row r="1" ht="28" customHeight="1">
      <c r="A1" s="27" t="inlineStr">
        <is>
          <t>RESUMO FINAL – 10 ANOS  |  Aporte: R$ 100,000.00  |  CDI: 10.75% a.a.</t>
        </is>
      </c>
    </row>
    <row r="2" ht="22" customHeight="1">
      <c r="A2" s="11" t="inlineStr">
        <is>
          <t>Produto</t>
        </is>
      </c>
      <c r="B2" s="11" t="inlineStr">
        <is>
          <t>Valor Bruto Final</t>
        </is>
      </c>
      <c r="C2" s="11" t="inlineStr">
        <is>
          <t>Valor Líquido Final</t>
        </is>
      </c>
      <c r="D2" s="11" t="inlineStr">
        <is>
          <t>Rendimento Líquido</t>
        </is>
      </c>
      <c r="E2" s="11" t="inlineStr">
        <is>
          <t>Rentab. Líq. (%)</t>
        </is>
      </c>
      <c r="F2" s="11" t="inlineStr">
        <is>
          <t>Observação</t>
        </is>
      </c>
    </row>
    <row r="3" ht="22" customHeight="1">
      <c r="A3" s="28" t="inlineStr">
        <is>
          <t>CDB DI (c/ reaplicação a cada 2 anos)</t>
        </is>
      </c>
      <c r="B3" s="29" t="n">
        <v>264305.5514300322</v>
      </c>
      <c r="C3" s="30" t="n">
        <v>235552.0799297766</v>
      </c>
      <c r="D3" s="29" t="n">
        <v>135552.0799297766</v>
      </c>
      <c r="E3" s="31" t="n">
        <v>1.355520799297766</v>
      </c>
      <c r="F3" s="32" t="inlineStr">
        <is>
          <t>Reaplicação a cada 2 anos – reinicia alíquota</t>
        </is>
      </c>
    </row>
    <row r="4" ht="22" customHeight="1">
      <c r="A4" s="33" t="inlineStr">
        <is>
          <t>CDB DI (sem vencimento forçado)</t>
        </is>
      </c>
      <c r="B4" s="34" t="n">
        <v>277611.4336708652</v>
      </c>
      <c r="C4" s="34" t="n">
        <v>250969.7186202354</v>
      </c>
      <c r="D4" s="34" t="n">
        <v>150969.7186202354</v>
      </c>
      <c r="E4" s="35" t="n">
        <v>1.509697186202354</v>
      </c>
      <c r="F4" s="36" t="inlineStr">
        <is>
          <t>Mantido até o final – alíquota 15% (&gt;720 dias)</t>
        </is>
      </c>
    </row>
    <row r="5" ht="22" customHeight="1">
      <c r="A5" s="37" t="inlineStr">
        <is>
          <t>Fundo DI – Longo Prazo</t>
        </is>
      </c>
      <c r="B5" s="38" t="n">
        <v>252812.5074284981</v>
      </c>
      <c r="C5" s="39" t="n">
        <v>229890.6313142233</v>
      </c>
      <c r="D5" s="38" t="n">
        <v>129890.6313142233</v>
      </c>
      <c r="E5" s="40" t="n">
        <v>1.298906313142233</v>
      </c>
      <c r="F5" s="41" t="inlineStr">
        <is>
          <t>Come-cotas 15% (mai/nov) | Taxa adm: 0.50% a.a.</t>
        </is>
      </c>
    </row>
    <row r="6" ht="22" customHeight="1">
      <c r="A6" s="37" t="inlineStr">
        <is>
          <t>Fundo DI – Curto Prazo</t>
        </is>
      </c>
      <c r="B6" s="38" t="n">
        <v>248890.3928791776</v>
      </c>
      <c r="C6" s="39" t="n">
        <v>219112.3143033421</v>
      </c>
      <c r="D6" s="38" t="n">
        <v>119112.3143033421</v>
      </c>
      <c r="E6" s="40" t="n">
        <v>1.191123143033421</v>
      </c>
      <c r="F6" s="41" t="inlineStr">
        <is>
          <t>Come-cotas 20% (mai/nov) | Taxa adm: 0.50% a.a.</t>
        </is>
      </c>
    </row>
    <row r="7" ht="22" customHeight="1">
      <c r="A7" s="42" t="inlineStr">
        <is>
          <t>Previdência VGBL</t>
        </is>
      </c>
      <c r="B7" s="43" t="n">
        <v>253539.3012826026</v>
      </c>
      <c r="C7" s="44" t="n">
        <v>230508.4060902122</v>
      </c>
      <c r="D7" s="43" t="n">
        <v>130508.4060902122</v>
      </c>
      <c r="E7" s="45" t="n">
        <v>1.305084060902122</v>
      </c>
      <c r="F7" s="46" t="inlineStr">
        <is>
          <t>IR só rendimentos | Taxa adm: 1.00% | Alíq. 10%+ de 10 anos</t>
        </is>
      </c>
    </row>
    <row r="8" ht="22" customHeight="1">
      <c r="A8" s="42" t="inlineStr">
        <is>
          <t>Previdência PGBL</t>
        </is>
      </c>
      <c r="B8" s="43" t="n">
        <v>253539.3012826026</v>
      </c>
      <c r="C8" s="44" t="n">
        <v>215508.4060902122</v>
      </c>
      <c r="D8" s="43" t="n">
        <v>115508.4060902122</v>
      </c>
      <c r="E8" s="45" t="n">
        <v>1.155084060902122</v>
      </c>
      <c r="F8" s="46" t="inlineStr">
        <is>
          <t>IR sobre total | Taxa adm: 1.00% | Indicado p/ quem deduz IR</t>
        </is>
      </c>
    </row>
    <row r="11">
      <c r="A11" s="47" t="inlineStr">
        <is>
          <t>* Linha destacada em dourado = melhor rentabilidade líquida no período simulado.</t>
        </is>
      </c>
    </row>
    <row r="12">
      <c r="A12" s="47" t="inlineStr">
        <is>
          <t>* PGBL vantajoso somente para quem declara IR completo e tem dedução na fase de acumulação (economia de até 27,5% no aporte).</t>
        </is>
      </c>
    </row>
  </sheetData>
  <mergeCells count="3">
    <mergeCell ref="A11:F11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2026-04-22T13:49:50Z</dcterms:created>
  <dcterms:modified xsi:type="dcterms:W3CDTF">2026-04-22T13:49:50Z</dcterms:modified>
</cp:coreProperties>
</file>